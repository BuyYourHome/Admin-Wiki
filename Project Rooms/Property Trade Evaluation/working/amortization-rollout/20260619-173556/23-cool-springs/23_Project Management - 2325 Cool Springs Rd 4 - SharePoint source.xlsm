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trlProps/ctrlProp13.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ink/ink1.xml" ContentType="application/inkml+xml"/>
  <Override PartName="/xl/ink/ink2.xml" ContentType="application/inkml+xml"/>
  <Override PartName="/xl/drawings/drawing5.xml" ContentType="application/vnd.openxmlformats-officedocument.drawing+xml"/>
  <Override PartName="/xl/ink/ink3.xml" ContentType="application/inkml+xml"/>
  <Override PartName="/xl/drawings/drawing6.xml" ContentType="application/vnd.openxmlformats-officedocument.drawing+xml"/>
  <Override PartName="/xl/ink/ink4.xml" ContentType="application/inkml+xml"/>
  <Override PartName="/xl/drawings/drawing7.xml" ContentType="application/vnd.openxmlformats-officedocument.drawing+xml"/>
  <Override PartName="/xl/ink/ink5.xml" ContentType="application/inkml+xml"/>
  <Override PartName="/xl/drawings/drawing8.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3" documentId="13_ncr:1_{9A140C7D-0453-45BB-9867-6ACCDA87FF29}" xr6:coauthVersionLast="47" xr6:coauthVersionMax="47" xr10:uidLastSave="{1C80E14E-7B72-49C4-BA0D-5D2166F76B99}"/>
  <bookViews>
    <workbookView xWindow="38280" yWindow="1305" windowWidth="29040" windowHeight="15720" tabRatio="889" xr2:uid="{00000000-000D-0000-FFFF-FFFF00000000}"/>
  </bookViews>
  <sheets>
    <sheet name="Profit" sheetId="1" r:id="rId1"/>
    <sheet name="Amortization" sheetId="63" r:id="rId2"/>
    <sheet name="Docs" sheetId="64" r:id="rId3"/>
    <sheet name="MOG" sheetId="33" r:id="rId4"/>
    <sheet name="Contact" sheetId="10" r:id="rId5"/>
    <sheet name="Carrying" sheetId="57" r:id="rId6"/>
    <sheet name="Contract" sheetId="36" r:id="rId7"/>
    <sheet name="UpdateContract" sheetId="47" r:id="rId8"/>
    <sheet name="Gnatt Chart" sheetId="37" r:id="rId9"/>
    <sheet name="Recap" sheetId="52" r:id="rId10"/>
    <sheet name="Legal" sheetId="58" r:id="rId11"/>
    <sheet name="Seller Advance" sheetId="9" r:id="rId12"/>
    <sheet name="MISC" sheetId="50" r:id="rId13"/>
    <sheet name="Demo &amp; Trash Haul" sheetId="21" r:id="rId14"/>
    <sheet name="Appliances" sheetId="15" r:id="rId15"/>
    <sheet name="Plumbing Fixtures" sheetId="22" r:id="rId16"/>
    <sheet name="Windows &amp; Doors" sheetId="20" r:id="rId17"/>
    <sheet name="Cabinets" sheetId="6" r:id="rId18"/>
    <sheet name="Paint" sheetId="4" r:id="rId19"/>
    <sheet name="Flooring" sheetId="3" r:id="rId20"/>
    <sheet name="HVAC" sheetId="18" r:id="rId21"/>
    <sheet name="Electrical Fixtures" sheetId="35" r:id="rId22"/>
    <sheet name="2024" sheetId="62" r:id="rId23"/>
    <sheet name="STR" sheetId="59" r:id="rId24"/>
    <sheet name="Landscape" sheetId="13" r:id="rId25"/>
    <sheet name="Exterior" sheetId="16" r:id="rId26"/>
    <sheet name="2023" sheetId="56" r:id="rId27"/>
    <sheet name="2022" sheetId="55" r:id="rId28"/>
    <sheet name="2021" sheetId="54" r:id="rId29"/>
    <sheet name="2020" sheetId="53" r:id="rId30"/>
    <sheet name="Furnishing" sheetId="61" r:id="rId31"/>
  </sheets>
  <definedNames>
    <definedName name="_xlnm._FilterDatabase" localSheetId="8" hidden="1">'Gnatt Chart'!$A$1:$DU$26</definedName>
    <definedName name="_xlpm.cat" hidden="1" xlm="1">#NAME?</definedName>
    <definedName name="_xlpm.matches" hidden="1" xlm="1">#NAME?</definedName>
    <definedName name="_xlpm.n" hidden="1" xlm="1">#NAME?</definedName>
    <definedName name="_xlpm.sorted" hidden="1" xlm="1">#NAME?</definedName>
    <definedName name="ExternalData_2" localSheetId="9" hidden="1">'Recap'!$N$4:$S$5</definedName>
    <definedName name="ExternalData_3" localSheetId="7" hidden="1">UpdateContract!$B$4:$H$27</definedName>
    <definedName name="ExternalData_4" localSheetId="8" hidden="1">'Gnatt Chart'!$A$27:$O$50</definedName>
    <definedName name="Milestone_Marker">'Gnatt Chart'!$G$4</definedName>
    <definedName name="Project_Start">'Gnatt Chart'!$F$2</definedName>
    <definedName name="ProposalToGnatt__2" localSheetId="9" hidden="1">'Recap'!$A$4:$G$27</definedName>
    <definedName name="Scrolling_Increment">'Gnatt Chart'!$AB$24</definedName>
    <definedName name="Today" localSheetId="8">TODAY()</definedName>
  </definedNames>
  <calcPr calcId="191029" calcMode="autoNoTable" iterate="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4" i="57" l="1"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AF25" i="57"/>
  <c r="AC25" i="57"/>
  <c r="W25" i="57"/>
  <c r="T25" i="57"/>
  <c r="Q25" i="57"/>
  <c r="N25" i="57"/>
  <c r="K25" i="57"/>
  <c r="H25" i="57"/>
  <c r="E25" i="57"/>
  <c r="B25" i="57"/>
  <c r="AA4" i="57" l="1"/>
  <c r="Z25" i="57" s="1"/>
  <c r="B20" i="64" l="1"/>
  <c r="U2" i="64" s="1"/>
  <c r="AL2" i="64"/>
  <c r="B35" i="64"/>
  <c r="AD2" i="64" s="1"/>
  <c r="B34" i="64"/>
  <c r="AC2" i="64" s="1"/>
  <c r="B36" i="64"/>
  <c r="AE2" i="64" s="1"/>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Z543" i="63" s="1"/>
  <c r="L542" i="63"/>
  <c r="L541" i="63"/>
  <c r="Z541" i="63" s="1"/>
  <c r="L540" i="63"/>
  <c r="Z540" i="63" s="1"/>
  <c r="L539" i="63"/>
  <c r="Z539" i="63" s="1"/>
  <c r="L538" i="63"/>
  <c r="Z538" i="63" s="1"/>
  <c r="L537" i="63"/>
  <c r="Z537" i="63" s="1"/>
  <c r="L536" i="63"/>
  <c r="AM536" i="63" s="1"/>
  <c r="L535" i="63"/>
  <c r="Z535" i="63" s="1"/>
  <c r="L534" i="63"/>
  <c r="L533" i="63"/>
  <c r="Z533" i="63" s="1"/>
  <c r="L532" i="63"/>
  <c r="Z532" i="63" s="1"/>
  <c r="L531" i="63"/>
  <c r="Z531" i="63" s="1"/>
  <c r="L530" i="63"/>
  <c r="L529" i="63"/>
  <c r="Z529" i="63" s="1"/>
  <c r="L528" i="63"/>
  <c r="AM528" i="63" s="1"/>
  <c r="L527" i="63"/>
  <c r="Z527" i="63" s="1"/>
  <c r="L526" i="63"/>
  <c r="L525" i="63"/>
  <c r="Z525" i="63" s="1"/>
  <c r="L524" i="63"/>
  <c r="Z524" i="63" s="1"/>
  <c r="L523" i="63"/>
  <c r="Z523" i="63" s="1"/>
  <c r="L522" i="63"/>
  <c r="Z522" i="63" s="1"/>
  <c r="L521" i="63"/>
  <c r="Z521" i="63" s="1"/>
  <c r="L520" i="63"/>
  <c r="AM520" i="63" s="1"/>
  <c r="L519" i="63"/>
  <c r="Z519" i="63" s="1"/>
  <c r="L518" i="63"/>
  <c r="L517" i="63"/>
  <c r="Z517" i="63" s="1"/>
  <c r="L516" i="63"/>
  <c r="Z516" i="63" s="1"/>
  <c r="L515" i="63"/>
  <c r="Z515" i="63" s="1"/>
  <c r="L514" i="63"/>
  <c r="L513" i="63"/>
  <c r="Z513" i="63" s="1"/>
  <c r="L512" i="63"/>
  <c r="AM512" i="63" s="1"/>
  <c r="L511" i="63"/>
  <c r="Z511" i="63" s="1"/>
  <c r="L510" i="63"/>
  <c r="Z510" i="63" s="1"/>
  <c r="L509" i="63"/>
  <c r="Z509" i="63" s="1"/>
  <c r="L508" i="63"/>
  <c r="Z508" i="63" s="1"/>
  <c r="L507" i="63"/>
  <c r="Z507" i="63" s="1"/>
  <c r="L506" i="63"/>
  <c r="Z506" i="63" s="1"/>
  <c r="L505" i="63"/>
  <c r="Z505" i="63" s="1"/>
  <c r="L504" i="63"/>
  <c r="AM504" i="63" s="1"/>
  <c r="L503" i="63"/>
  <c r="Z503" i="63" s="1"/>
  <c r="L502" i="63"/>
  <c r="L501" i="63"/>
  <c r="Z501" i="63" s="1"/>
  <c r="L500" i="63"/>
  <c r="Z500" i="63" s="1"/>
  <c r="L499" i="63"/>
  <c r="Z499" i="63" s="1"/>
  <c r="L498" i="63"/>
  <c r="L497" i="63"/>
  <c r="Z497" i="63" s="1"/>
  <c r="L496" i="63"/>
  <c r="AM496" i="63" s="1"/>
  <c r="L495" i="63"/>
  <c r="L494" i="63"/>
  <c r="Z494" i="63" s="1"/>
  <c r="L493" i="63"/>
  <c r="Z493" i="63" s="1"/>
  <c r="L492" i="63"/>
  <c r="Z492" i="63" s="1"/>
  <c r="L491" i="63"/>
  <c r="Z491" i="63" s="1"/>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Y8" i="63"/>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AD6" i="63"/>
  <c r="AC6" i="63"/>
  <c r="AB6" i="63"/>
  <c r="AA9" i="63" s="1"/>
  <c r="Y9" i="63" s="1"/>
  <c r="P3" i="63"/>
  <c r="AC8" i="63"/>
  <c r="AC9" i="63" s="1"/>
  <c r="AA4" i="63"/>
  <c r="AA2" i="63"/>
  <c r="AO2" i="64"/>
  <c r="AN2" i="64"/>
  <c r="AM2" i="64"/>
  <c r="AK2" i="64"/>
  <c r="B31" i="64"/>
  <c r="AA2" i="64" s="1"/>
  <c r="B7" i="64"/>
  <c r="AI2" i="64"/>
  <c r="AH2" i="64"/>
  <c r="AG2" i="64"/>
  <c r="AB2" i="64"/>
  <c r="Y2" i="64"/>
  <c r="R2" i="64"/>
  <c r="I2" i="64"/>
  <c r="B6" i="64"/>
  <c r="D2" i="64" s="1"/>
  <c r="B19" i="64"/>
  <c r="T2" i="64" s="1"/>
  <c r="B41" i="64"/>
  <c r="AJ2" i="64" s="1"/>
  <c r="J72" i="1"/>
  <c r="B9" i="64"/>
  <c r="G2" i="64" s="1"/>
  <c r="AM515" i="63" l="1"/>
  <c r="Z9" i="63"/>
  <c r="B28" i="64" s="1"/>
  <c r="N2" i="64" s="1"/>
  <c r="B32" i="64"/>
  <c r="Z2" i="64" s="1"/>
  <c r="AM523" i="63"/>
  <c r="Y12"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Z15" i="63"/>
  <c r="AM503" i="63"/>
  <c r="Z496" i="63"/>
  <c r="AM492" i="63"/>
  <c r="AM519" i="63"/>
  <c r="AM535" i="63"/>
  <c r="AM505" i="63"/>
  <c r="AM538" i="63"/>
  <c r="AM530" i="63"/>
  <c r="Z530" i="63"/>
  <c r="AM497" i="63"/>
  <c r="Z504" i="63"/>
  <c r="AM529" i="63"/>
  <c r="AM521" i="63"/>
  <c r="Z512" i="63"/>
  <c r="AM514" i="63"/>
  <c r="Z514" i="63"/>
  <c r="AM522" i="63"/>
  <c r="Z520" i="63"/>
  <c r="AM498" i="63"/>
  <c r="Z498" i="63"/>
  <c r="AM502" i="63"/>
  <c r="Z502" i="63"/>
  <c r="AM518" i="63"/>
  <c r="Z518" i="63"/>
  <c r="AM526" i="63"/>
  <c r="Z526" i="63"/>
  <c r="AM534" i="63"/>
  <c r="Z534" i="63"/>
  <c r="AM542" i="63"/>
  <c r="Z542" i="63"/>
  <c r="Z528" i="63"/>
  <c r="AM513" i="63"/>
  <c r="AM537" i="63"/>
  <c r="AM495" i="63"/>
  <c r="Z495" i="63"/>
  <c r="Z536"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B10" i="64"/>
  <c r="H2" i="64" s="1"/>
  <c r="B8" i="64"/>
  <c r="E2" i="64"/>
  <c r="AE15" i="63" l="1"/>
  <c r="AF15" i="63" s="1"/>
  <c r="B37" i="64"/>
  <c r="AF2" i="64" s="1"/>
  <c r="F2" i="64"/>
  <c r="G14" i="1" l="1"/>
  <c r="E8" i="3"/>
  <c r="F8" i="3" s="1"/>
  <c r="G8" i="3" s="1"/>
  <c r="F19" i="3"/>
  <c r="F18" i="3"/>
  <c r="F17" i="3"/>
  <c r="F16" i="3"/>
  <c r="F15" i="3"/>
  <c r="F14" i="3"/>
  <c r="F13" i="3"/>
  <c r="F12" i="3"/>
  <c r="F11" i="3"/>
  <c r="F10" i="3"/>
  <c r="F9" i="3"/>
  <c r="J1" i="35"/>
  <c r="K1" i="18"/>
  <c r="K1" i="3"/>
  <c r="L1" i="4"/>
  <c r="K2" i="6"/>
  <c r="L2" i="20"/>
  <c r="J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O16" i="1" s="1"/>
  <c r="D19" i="1"/>
  <c r="I1" i="16"/>
  <c r="I1" i="13"/>
  <c r="E7" i="35"/>
  <c r="F7" i="35" s="1"/>
  <c r="E6" i="35"/>
  <c r="F6" i="35" s="1"/>
  <c r="E5" i="35"/>
  <c r="F5" i="35" s="1"/>
  <c r="E4" i="35"/>
  <c r="F4" i="35" s="1"/>
  <c r="G8" i="35"/>
  <c r="G4" i="18"/>
  <c r="H5" i="18"/>
  <c r="E4" i="3"/>
  <c r="F4" i="3" s="1"/>
  <c r="H41" i="4"/>
  <c r="I41" i="4" s="1"/>
  <c r="H40" i="4"/>
  <c r="I40" i="4" s="1"/>
  <c r="H39" i="4"/>
  <c r="I39" i="4" s="1"/>
  <c r="H38" i="4"/>
  <c r="I38" i="4" s="1"/>
  <c r="H37" i="4"/>
  <c r="I37" i="4" s="1"/>
  <c r="H34" i="4"/>
  <c r="I34" i="4" s="1"/>
  <c r="H33" i="4"/>
  <c r="I33" i="4" s="1"/>
  <c r="H31" i="4"/>
  <c r="I31" i="4" s="1"/>
  <c r="H30" i="4"/>
  <c r="I30" i="4" s="1"/>
  <c r="H28" i="4"/>
  <c r="I28" i="4" s="1"/>
  <c r="H27" i="4"/>
  <c r="I27" i="4" s="1"/>
  <c r="H25" i="4"/>
  <c r="I25" i="4" s="1"/>
  <c r="H22" i="4"/>
  <c r="I22" i="4" s="1"/>
  <c r="H18" i="4"/>
  <c r="I18" i="4" s="1"/>
  <c r="H17" i="4"/>
  <c r="I17" i="4" s="1"/>
  <c r="H16" i="4"/>
  <c r="I16" i="4" s="1"/>
  <c r="H15" i="4"/>
  <c r="I15" i="4" s="1"/>
  <c r="H12" i="4"/>
  <c r="I12" i="4" s="1"/>
  <c r="H21" i="4"/>
  <c r="F7" i="4"/>
  <c r="G6" i="4"/>
  <c r="F6" i="4"/>
  <c r="G4" i="3" l="1"/>
  <c r="D3" i="4" l="1"/>
  <c r="E9" i="22"/>
  <c r="F9" i="22" s="1"/>
  <c r="F8" i="22"/>
  <c r="E7" i="22"/>
  <c r="F7" i="22" s="1"/>
  <c r="E6" i="22"/>
  <c r="F6" i="22" s="1"/>
  <c r="E5" i="22"/>
  <c r="F5" i="22" s="1"/>
  <c r="E7" i="15"/>
  <c r="F7" i="15" s="1"/>
  <c r="E6" i="15"/>
  <c r="F6" i="15" s="1"/>
  <c r="E5" i="15"/>
  <c r="F5" i="15" s="1"/>
  <c r="G8" i="15"/>
  <c r="F19" i="21" l="1"/>
  <c r="H4" i="4"/>
  <c r="I4" i="4" s="1"/>
  <c r="H5" i="4"/>
  <c r="I5" i="4" s="1"/>
  <c r="H8" i="4"/>
  <c r="H7" i="4"/>
  <c r="I7" i="4" s="1"/>
  <c r="H6" i="4"/>
  <c r="I6" i="4" s="1"/>
  <c r="D8" i="4"/>
  <c r="G10" i="22"/>
  <c r="F13" i="21"/>
  <c r="F15" i="21"/>
  <c r="F8" i="21"/>
  <c r="F16" i="21"/>
  <c r="F14" i="21"/>
  <c r="F17" i="21"/>
  <c r="F7" i="21"/>
  <c r="F10" i="21"/>
  <c r="F18" i="21"/>
  <c r="F5" i="21"/>
  <c r="F11" i="21"/>
  <c r="F4" i="21"/>
  <c r="F6" i="21"/>
  <c r="F3" i="21"/>
  <c r="G5" i="21" l="1"/>
  <c r="J9" i="4"/>
  <c r="F47" i="1" l="1"/>
  <c r="F16" i="1"/>
  <c r="E15" i="1"/>
  <c r="D15" i="1"/>
  <c r="Q3" i="63"/>
  <c r="R3" i="63" s="1"/>
  <c r="B1" i="1"/>
  <c r="C1" i="1"/>
  <c r="D1" i="1"/>
  <c r="C22" i="1" l="1"/>
  <c r="H22" i="1" s="1"/>
  <c r="G8" i="1"/>
  <c r="F22" i="1"/>
  <c r="B59" i="1"/>
  <c r="O3" i="63" l="1"/>
  <c r="O6" i="63"/>
  <c r="B21" i="64" l="1"/>
  <c r="V2" i="64" s="1"/>
  <c r="N12" i="63"/>
  <c r="O4" i="63"/>
  <c r="B12" i="64" s="1"/>
  <c r="J2" i="64" s="1"/>
  <c r="AC4" i="63"/>
  <c r="AD4" i="63"/>
  <c r="B6" i="1"/>
  <c r="G6" i="1"/>
  <c r="B44" i="1"/>
  <c r="K44" i="1" s="1"/>
  <c r="R4" i="63"/>
  <c r="R5" i="63" s="1"/>
  <c r="Q4" i="63"/>
  <c r="Q5" i="63" s="1"/>
  <c r="P5" i="63"/>
  <c r="E80" i="1"/>
  <c r="G81" i="1"/>
  <c r="D81" i="1"/>
  <c r="B19" i="1"/>
  <c r="C7" i="1" l="1"/>
  <c r="E7" i="1" s="1"/>
  <c r="E10" i="1" s="1"/>
  <c r="O5" i="63"/>
  <c r="F19" i="1"/>
  <c r="V15" i="63" l="1"/>
  <c r="O15" i="63"/>
  <c r="P7" i="63"/>
  <c r="O8" i="63" s="1"/>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E44" i="1"/>
  <c r="A20" i="37"/>
  <c r="G20" i="37"/>
  <c r="H20" i="37" s="1"/>
  <c r="E3" i="59"/>
  <c r="C4" i="59"/>
  <c r="A5" i="47"/>
  <c r="A6" i="47"/>
  <c r="A7" i="47"/>
  <c r="A8" i="47"/>
  <c r="A9" i="47"/>
  <c r="A10" i="47"/>
  <c r="A11" i="47"/>
  <c r="A12" i="47"/>
  <c r="A13" i="47"/>
  <c r="A14" i="47"/>
  <c r="A15" i="47"/>
  <c r="A16" i="47"/>
  <c r="A17" i="47"/>
  <c r="A18" i="47"/>
  <c r="A19" i="47"/>
  <c r="A20" i="47"/>
  <c r="A21" i="47"/>
  <c r="A22" i="47"/>
  <c r="A23" i="47"/>
  <c r="A24" i="47"/>
  <c r="A25" i="47"/>
  <c r="A26" i="47"/>
  <c r="A27" i="47"/>
  <c r="H48" i="4"/>
  <c r="H47" i="4"/>
  <c r="D20" i="16"/>
  <c r="F17" i="1"/>
  <c r="D17" i="1"/>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G14" i="4"/>
  <c r="H14" i="4" s="1"/>
  <c r="I14" i="4" s="1"/>
  <c r="G13" i="4"/>
  <c r="H13" i="4" s="1"/>
  <c r="G26" i="4"/>
  <c r="H26" i="4" s="1"/>
  <c r="I26" i="4" s="1"/>
  <c r="G24" i="4"/>
  <c r="H24" i="4" s="1"/>
  <c r="I24" i="4" s="1"/>
  <c r="F17" i="58"/>
  <c r="F16" i="58"/>
  <c r="F15" i="58"/>
  <c r="F14" i="58"/>
  <c r="F13" i="58"/>
  <c r="D19" i="16"/>
  <c r="I13" i="4" l="1"/>
  <c r="AB20" i="63"/>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J16" i="59" l="1"/>
  <c r="G24" i="58"/>
  <c r="G16" i="37" s="1"/>
  <c r="H16" i="37" s="1"/>
  <c r="N16" i="37" s="1"/>
  <c r="B41" i="1"/>
  <c r="B39" i="1"/>
  <c r="B40" i="1"/>
  <c r="B37" i="1"/>
  <c r="B38" i="1"/>
  <c r="B35" i="1"/>
  <c r="B36" i="1"/>
  <c r="B33" i="1"/>
  <c r="B34" i="1"/>
  <c r="B31" i="1"/>
  <c r="B32" i="1"/>
  <c r="B22" i="63"/>
  <c r="E22" i="63" s="1"/>
  <c r="A21" i="63"/>
  <c r="G16" i="59"/>
  <c r="K14" i="59"/>
  <c r="D16" i="59"/>
  <c r="K13" i="59"/>
  <c r="N6" i="59"/>
  <c r="C6" i="53"/>
  <c r="C11" i="53"/>
  <c r="C10" i="53"/>
  <c r="C9" i="53"/>
  <c r="C8" i="53"/>
  <c r="C5" i="53"/>
  <c r="C4" i="53"/>
  <c r="C3" i="53"/>
  <c r="D20" i="1"/>
  <c r="K17" i="59" l="1"/>
  <c r="B29" i="1" s="1"/>
  <c r="H29" i="1" s="1"/>
  <c r="B42" i="1"/>
  <c r="D42" i="1" s="1"/>
  <c r="AA21" i="63"/>
  <c r="X21" i="63"/>
  <c r="AC21" i="63"/>
  <c r="J22" i="63"/>
  <c r="D22" i="63"/>
  <c r="C7" i="53"/>
  <c r="O4" i="37"/>
  <c r="M4" i="37" a="1"/>
  <c r="M4" i="37" s="1"/>
  <c r="E33" i="35"/>
  <c r="F33" i="35" s="1"/>
  <c r="E32" i="35"/>
  <c r="F32" i="35" s="1"/>
  <c r="E30" i="35"/>
  <c r="F30" i="35" s="1"/>
  <c r="E29" i="35"/>
  <c r="F29" i="35" s="1"/>
  <c r="F38" i="20"/>
  <c r="F37" i="20"/>
  <c r="G37" i="20" s="1"/>
  <c r="F36" i="20"/>
  <c r="G36" i="20" s="1"/>
  <c r="F35" i="20"/>
  <c r="G35" i="20" s="1"/>
  <c r="D18" i="16"/>
  <c r="F34" i="20"/>
  <c r="G34" i="20" s="1"/>
  <c r="D17" i="16"/>
  <c r="D16" i="16"/>
  <c r="F33" i="20"/>
  <c r="G33" i="20" s="1"/>
  <c r="F32" i="20"/>
  <c r="F31" i="20"/>
  <c r="G31" i="20" s="1"/>
  <c r="F30" i="20"/>
  <c r="G30" i="20" s="1"/>
  <c r="E29" i="22"/>
  <c r="F29" i="22" s="1"/>
  <c r="E28" i="22"/>
  <c r="F28" i="22" s="1"/>
  <c r="E27" i="22"/>
  <c r="F27" i="22" s="1"/>
  <c r="E26" i="22"/>
  <c r="F26" i="22" s="1"/>
  <c r="E25" i="22"/>
  <c r="F25" i="22" s="1"/>
  <c r="E24" i="22"/>
  <c r="F24" i="22" s="1"/>
  <c r="E23" i="22"/>
  <c r="F23" i="22" s="1"/>
  <c r="E22" i="22"/>
  <c r="F22" i="22" s="1"/>
  <c r="E21" i="22"/>
  <c r="F21" i="22" s="1"/>
  <c r="E20" i="22"/>
  <c r="F20" i="22" s="1"/>
  <c r="E19" i="22"/>
  <c r="F19" i="22" s="1"/>
  <c r="E18" i="22"/>
  <c r="A4" i="37"/>
  <c r="N2" i="52"/>
  <c r="D15" i="16"/>
  <c r="D14" i="16"/>
  <c r="D13" i="16"/>
  <c r="D12" i="16"/>
  <c r="D11" i="16"/>
  <c r="D10" i="16"/>
  <c r="D9" i="16"/>
  <c r="D8" i="16"/>
  <c r="D7" i="16"/>
  <c r="D6" i="16"/>
  <c r="D5" i="16"/>
  <c r="D4" i="16"/>
  <c r="F15" i="13"/>
  <c r="F14" i="13"/>
  <c r="F13" i="13"/>
  <c r="F11" i="13"/>
  <c r="F10" i="13"/>
  <c r="F9" i="13"/>
  <c r="F8" i="13"/>
  <c r="F7" i="13"/>
  <c r="F6" i="13"/>
  <c r="C5" i="13"/>
  <c r="C17" i="13" s="1"/>
  <c r="F4" i="13"/>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B5" i="3" s="1"/>
  <c r="F5" i="3" s="1"/>
  <c r="G5" i="3" s="1"/>
  <c r="H6" i="3" s="1"/>
  <c r="G29" i="4"/>
  <c r="H29" i="4" s="1"/>
  <c r="I29" i="4" s="1"/>
  <c r="G23" i="4"/>
  <c r="H23" i="4" s="1"/>
  <c r="D46" i="4"/>
  <c r="H46" i="4" s="1"/>
  <c r="J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E30" i="22"/>
  <c r="F30" i="22" s="1"/>
  <c r="F17" i="22"/>
  <c r="E16" i="22"/>
  <c r="F16" i="22" s="1"/>
  <c r="E15" i="22"/>
  <c r="F15" i="22" s="1"/>
  <c r="E14" i="22"/>
  <c r="E13" i="22"/>
  <c r="F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E11" i="9" s="1"/>
  <c r="E26" i="37"/>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D18" i="1"/>
  <c r="B21" i="1" s="1"/>
  <c r="H17" i="1"/>
  <c r="H16" i="1"/>
  <c r="G20" i="21" l="1"/>
  <c r="G24" i="21" s="1"/>
  <c r="G8" i="37" s="1"/>
  <c r="H8" i="37" s="1"/>
  <c r="D7" i="9"/>
  <c r="F22" i="16"/>
  <c r="G17" i="37" s="1"/>
  <c r="H17" i="37" s="1"/>
  <c r="N17" i="37" s="1"/>
  <c r="F5" i="13"/>
  <c r="G17" i="13" s="1"/>
  <c r="G18" i="37" s="1"/>
  <c r="H18" i="37" s="1"/>
  <c r="H17" i="18"/>
  <c r="I18" i="18" s="1"/>
  <c r="G42" i="6"/>
  <c r="I23" i="4"/>
  <c r="AB21" i="63"/>
  <c r="I34" i="1"/>
  <c r="H34" i="1"/>
  <c r="G32" i="20"/>
  <c r="F24" i="33"/>
  <c r="I26" i="33" s="1"/>
  <c r="F14" i="33"/>
  <c r="F14" i="22"/>
  <c r="F15" i="35"/>
  <c r="G35" i="35" s="1"/>
  <c r="H36" i="35" s="1"/>
  <c r="G15" i="37" s="1"/>
  <c r="H15" i="37" s="1"/>
  <c r="N15" i="37" s="1"/>
  <c r="G15" i="20"/>
  <c r="F9" i="15"/>
  <c r="I22" i="63"/>
  <c r="K22" i="63"/>
  <c r="C23" i="63" s="1"/>
  <c r="B20" i="3"/>
  <c r="F20" i="3" s="1"/>
  <c r="G20" i="3" s="1"/>
  <c r="B17" i="37"/>
  <c r="B18" i="37" s="1"/>
  <c r="B19" i="37" s="1"/>
  <c r="B20" i="37" s="1"/>
  <c r="B22" i="37" s="1"/>
  <c r="B16" i="37"/>
  <c r="I21" i="4"/>
  <c r="F10" i="1"/>
  <c r="G7" i="20"/>
  <c r="D48" i="4"/>
  <c r="G23" i="6"/>
  <c r="F11" i="15"/>
  <c r="P37" i="37"/>
  <c r="P7" i="37"/>
  <c r="F29" i="6"/>
  <c r="G32" i="6" s="1"/>
  <c r="F18" i="22"/>
  <c r="G62" i="50"/>
  <c r="D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J43" i="4" l="1"/>
  <c r="H44" i="6"/>
  <c r="G12" i="37" s="1"/>
  <c r="H12" i="37" s="1"/>
  <c r="G31" i="22"/>
  <c r="H31" i="22" s="1"/>
  <c r="G10" i="37" s="1"/>
  <c r="H10" i="37" s="1"/>
  <c r="N10" i="37" s="1"/>
  <c r="H38" i="20"/>
  <c r="G11" i="37" s="1"/>
  <c r="H11" i="37" s="1"/>
  <c r="G19" i="37"/>
  <c r="H19" i="37" s="1"/>
  <c r="G24" i="37"/>
  <c r="H24" i="37" s="1"/>
  <c r="O3" i="37" s="1"/>
  <c r="G30" i="15"/>
  <c r="N8" i="37"/>
  <c r="B23" i="37"/>
  <c r="B24" i="37" s="1"/>
  <c r="B25" i="37" s="1"/>
  <c r="G13" i="15"/>
  <c r="F48" i="1"/>
  <c r="F49" i="1"/>
  <c r="K47" i="1"/>
  <c r="E22" i="1"/>
  <c r="B23" i="63"/>
  <c r="E23" i="63" s="1"/>
  <c r="A22" i="63"/>
  <c r="G10" i="3"/>
  <c r="H21" i="3" s="1"/>
  <c r="I22" i="3" s="1"/>
  <c r="G14" i="37"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J3" i="37" l="1"/>
  <c r="M3" i="37" s="1"/>
  <c r="H31" i="15"/>
  <c r="G9" i="37" s="1"/>
  <c r="H9" i="37" s="1"/>
  <c r="AA22" i="63"/>
  <c r="X22" i="63"/>
  <c r="AC22" i="63"/>
  <c r="I31" i="1"/>
  <c r="H31" i="1"/>
  <c r="K50" i="4"/>
  <c r="G13" i="37" s="1"/>
  <c r="H13" i="37" s="1"/>
  <c r="N13" i="37" s="1"/>
  <c r="M2" i="37" s="1"/>
  <c r="D14" i="33"/>
  <c r="B14" i="33" s="1"/>
  <c r="I20" i="33" s="1"/>
  <c r="D23" i="63"/>
  <c r="J23" i="63"/>
  <c r="I33" i="33"/>
  <c r="H14" i="37"/>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AA52" i="63" l="1"/>
  <c r="X52" i="63"/>
  <c r="AC52" i="63"/>
  <c r="I33" i="1"/>
  <c r="H33" i="1"/>
  <c r="H54" i="1" s="1"/>
  <c r="K41" i="1" s="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O16" i="63"/>
  <c r="R17" i="63" l="1"/>
  <c r="AT16" i="63"/>
  <c r="AP17" i="63"/>
  <c r="AN17" i="63"/>
  <c r="AS17" i="63" s="1"/>
  <c r="N17" i="63"/>
  <c r="Q17" i="63" s="1"/>
  <c r="V17" i="63" s="1"/>
  <c r="AU16" i="63"/>
  <c r="AV16" i="63" s="1"/>
  <c r="Z16" i="63"/>
  <c r="AM16" i="63"/>
  <c r="P17" i="63" l="1"/>
  <c r="W17" i="63" s="1"/>
  <c r="O18" i="63" s="1"/>
  <c r="AI18" i="63" s="1"/>
  <c r="M17" i="63"/>
  <c r="R18" i="63"/>
  <c r="AN18" i="63"/>
  <c r="AS18" i="63" s="1"/>
  <c r="L17" i="63"/>
  <c r="AG16" i="63"/>
  <c r="AD17" i="63"/>
  <c r="U17" i="63"/>
  <c r="AO17" i="63" s="1"/>
  <c r="S17" i="63"/>
  <c r="T17" i="63" s="1"/>
  <c r="AE16" i="63"/>
  <c r="AF16" i="63" s="1"/>
  <c r="AT17" i="63"/>
  <c r="AU17" i="63"/>
  <c r="AV17" i="63" s="1"/>
  <c r="N18" i="63"/>
  <c r="Q18" i="63" s="1"/>
  <c r="V18" i="63" s="1"/>
  <c r="AP18" i="63" l="1"/>
  <c r="Z17" i="63"/>
  <c r="AM17" i="63"/>
  <c r="AG17" i="63"/>
  <c r="AE17" i="63"/>
  <c r="AF17" i="63" s="1"/>
  <c r="P18" i="63"/>
  <c r="W18" i="63" s="1"/>
  <c r="O19" i="63" s="1"/>
  <c r="M18" i="63"/>
  <c r="AI19" i="63" l="1"/>
  <c r="AP19" i="63"/>
  <c r="R19" i="63"/>
  <c r="AN19" i="63"/>
  <c r="AS19" i="63" s="1"/>
  <c r="L18" i="63"/>
  <c r="AD18" i="63"/>
  <c r="U18" i="63"/>
  <c r="AO18" i="63" s="1"/>
  <c r="S18" i="63"/>
  <c r="T18" i="63" s="1"/>
  <c r="AU18" i="63"/>
  <c r="AV18" i="63" s="1"/>
  <c r="AT18" i="63"/>
  <c r="N19" i="63"/>
  <c r="Q19" i="63" s="1"/>
  <c r="V19" i="63" s="1"/>
  <c r="Z18" i="63" l="1"/>
  <c r="AM18" i="63"/>
  <c r="AE18" i="63"/>
  <c r="AF18" i="63" s="1"/>
  <c r="AG18" i="63"/>
  <c r="P19" i="63"/>
  <c r="W19" i="63" s="1"/>
  <c r="O20" i="63" s="1"/>
  <c r="M19" i="63"/>
  <c r="AI20" i="63" l="1"/>
  <c r="AP20" i="63"/>
  <c r="R20" i="63"/>
  <c r="AN20" i="63"/>
  <c r="AS20" i="63" s="1"/>
  <c r="L19" i="63"/>
  <c r="AD19" i="63"/>
  <c r="U19" i="63"/>
  <c r="AO19" i="63" s="1"/>
  <c r="S19" i="63"/>
  <c r="T19" i="63" s="1"/>
  <c r="AU19" i="63"/>
  <c r="AV19" i="63" s="1"/>
  <c r="AT19" i="63"/>
  <c r="N20" i="63"/>
  <c r="Q20" i="63" s="1"/>
  <c r="V20" i="63" s="1"/>
  <c r="Z19" i="63" l="1"/>
  <c r="AM19" i="63"/>
  <c r="AG19" i="63"/>
  <c r="AE19" i="63"/>
  <c r="AF19" i="63" s="1"/>
  <c r="P20" i="63"/>
  <c r="W20" i="63" s="1"/>
  <c r="O21" i="63" s="1"/>
  <c r="M20" i="63"/>
  <c r="AI21" i="63" l="1"/>
  <c r="AP21" i="63"/>
  <c r="R21" i="63"/>
  <c r="AN21" i="63"/>
  <c r="AS21" i="63" s="1"/>
  <c r="L20" i="63"/>
  <c r="AD20" i="63"/>
  <c r="U20" i="63"/>
  <c r="AO20" i="63" s="1"/>
  <c r="S20" i="63"/>
  <c r="T20" i="63" s="1"/>
  <c r="AU20" i="63"/>
  <c r="AV20" i="63" s="1"/>
  <c r="AT20" i="63"/>
  <c r="N21" i="63"/>
  <c r="Q21" i="63" s="1"/>
  <c r="V21" i="63" s="1"/>
  <c r="Z20" i="63" l="1"/>
  <c r="AM20" i="63"/>
  <c r="AE20" i="63"/>
  <c r="AF20" i="63" s="1"/>
  <c r="AG20" i="63"/>
  <c r="P21" i="63"/>
  <c r="W21" i="63" s="1"/>
  <c r="O22" i="63" s="1"/>
  <c r="M21" i="63"/>
  <c r="AI22" i="63" l="1"/>
  <c r="AP22" i="63"/>
  <c r="R22" i="63"/>
  <c r="AN22" i="63"/>
  <c r="AS22" i="63" s="1"/>
  <c r="L21" i="63"/>
  <c r="Z21" i="63" s="1"/>
  <c r="U21" i="63"/>
  <c r="AO21" i="63" s="1"/>
  <c r="S21" i="63"/>
  <c r="T21" i="63" s="1"/>
  <c r="AT21" i="63"/>
  <c r="AU21" i="63"/>
  <c r="AV21" i="63" s="1"/>
  <c r="N22" i="63"/>
  <c r="Q22" i="63" s="1"/>
  <c r="V22" i="63" s="1"/>
  <c r="AM21" i="63" l="1"/>
  <c r="AD21" i="63"/>
  <c r="P22" i="63"/>
  <c r="W22" i="63" s="1"/>
  <c r="O23" i="63" s="1"/>
  <c r="M22" i="63"/>
  <c r="AI23" i="63" l="1"/>
  <c r="AP23" i="63"/>
  <c r="R23" i="63"/>
  <c r="AN23" i="63"/>
  <c r="AS23" i="63" s="1"/>
  <c r="L22" i="63"/>
  <c r="Z22" i="63" s="1"/>
  <c r="U22" i="63"/>
  <c r="AO22" i="63" s="1"/>
  <c r="S22" i="63"/>
  <c r="T22" i="63" s="1"/>
  <c r="AE21" i="63"/>
  <c r="AF21" i="63" s="1"/>
  <c r="AG21" i="63"/>
  <c r="AT22" i="63"/>
  <c r="AU22" i="63"/>
  <c r="AV22" i="63" s="1"/>
  <c r="N23" i="63"/>
  <c r="Q23" i="63" s="1"/>
  <c r="V23" i="63" s="1"/>
  <c r="AM22" i="63" l="1"/>
  <c r="AD22" i="63"/>
  <c r="AG22" i="63"/>
  <c r="P23" i="63"/>
  <c r="M23" i="63"/>
  <c r="W23" i="63"/>
  <c r="O24" i="63" s="1"/>
  <c r="AI24" i="63" l="1"/>
  <c r="AP24" i="63"/>
  <c r="R24" i="63"/>
  <c r="AN24" i="63"/>
  <c r="AS24" i="63" s="1"/>
  <c r="L23" i="63"/>
  <c r="Z23" i="63" s="1"/>
  <c r="AE22" i="63"/>
  <c r="AF22" i="63" s="1"/>
  <c r="U23" i="63"/>
  <c r="AO23" i="63" s="1"/>
  <c r="S23" i="63"/>
  <c r="T23" i="63" s="1"/>
  <c r="AT23" i="63"/>
  <c r="AU23" i="63"/>
  <c r="AV23" i="63" s="1"/>
  <c r="N24" i="63"/>
  <c r="Q24" i="63" s="1"/>
  <c r="V24" i="63" s="1"/>
  <c r="AM23" i="63" l="1"/>
  <c r="AD23" i="63"/>
  <c r="P24" i="63"/>
  <c r="M24" i="63"/>
  <c r="W24" i="63"/>
  <c r="O25" i="63" s="1"/>
  <c r="AI25" i="63" l="1"/>
  <c r="AP25" i="63"/>
  <c r="R25" i="63"/>
  <c r="AN25" i="63"/>
  <c r="AS25" i="63" s="1"/>
  <c r="L24" i="63"/>
  <c r="Z24" i="63" s="1"/>
  <c r="U24" i="63"/>
  <c r="AO24" i="63" s="1"/>
  <c r="S24" i="63"/>
  <c r="T24" i="63" s="1"/>
  <c r="AE23" i="63"/>
  <c r="AF23" i="63" s="1"/>
  <c r="AG23" i="63"/>
  <c r="AU24" i="63"/>
  <c r="AV24" i="63" s="1"/>
  <c r="AT24" i="63"/>
  <c r="N25" i="63"/>
  <c r="Q25" i="63" s="1"/>
  <c r="V25" i="63" s="1"/>
  <c r="AM24" i="63" l="1"/>
  <c r="AD24" i="63"/>
  <c r="AG24" i="63"/>
  <c r="P25" i="63"/>
  <c r="M25" i="63"/>
  <c r="W25" i="63"/>
  <c r="O26" i="63" s="1"/>
  <c r="AI26" i="63" l="1"/>
  <c r="AP26" i="63"/>
  <c r="R26" i="63"/>
  <c r="AN26" i="63"/>
  <c r="AS26" i="63" s="1"/>
  <c r="L25" i="63"/>
  <c r="Z25" i="63" s="1"/>
  <c r="U25" i="63"/>
  <c r="AO25" i="63" s="1"/>
  <c r="S25" i="63"/>
  <c r="T25" i="63" s="1"/>
  <c r="AE24" i="63"/>
  <c r="AF24" i="63" s="1"/>
  <c r="AT25" i="63"/>
  <c r="AU25" i="63"/>
  <c r="AV25" i="63" s="1"/>
  <c r="N26" i="63"/>
  <c r="Q26" i="63" s="1"/>
  <c r="V26" i="63" s="1"/>
  <c r="AM25" i="63" l="1"/>
  <c r="AD25" i="63"/>
  <c r="P26" i="63"/>
  <c r="M26" i="63"/>
  <c r="W26" i="63"/>
  <c r="O27" i="63" s="1"/>
  <c r="AI27" i="63" l="1"/>
  <c r="AP27" i="63"/>
  <c r="R27" i="63"/>
  <c r="AN27" i="63"/>
  <c r="AS27" i="63" s="1"/>
  <c r="L26" i="63"/>
  <c r="Z26" i="63" s="1"/>
  <c r="U26" i="63"/>
  <c r="AO26" i="63" s="1"/>
  <c r="S26" i="63"/>
  <c r="T26" i="63" s="1"/>
  <c r="AE25" i="63"/>
  <c r="AF25" i="63" s="1"/>
  <c r="AG25" i="63"/>
  <c r="AT26" i="63"/>
  <c r="AU26" i="63"/>
  <c r="AV26" i="63" s="1"/>
  <c r="N27" i="63"/>
  <c r="Q27" i="63" s="1"/>
  <c r="V27" i="63" s="1"/>
  <c r="AM26" i="63" l="1"/>
  <c r="AD26" i="63"/>
  <c r="P27" i="63"/>
  <c r="M27" i="63"/>
  <c r="W27" i="63"/>
  <c r="O28" i="63" s="1"/>
  <c r="AI28" i="63" l="1"/>
  <c r="AP28" i="63"/>
  <c r="R28" i="63"/>
  <c r="AN28" i="63"/>
  <c r="AS28" i="63" s="1"/>
  <c r="L27" i="63"/>
  <c r="Z27" i="63" s="1"/>
  <c r="AE26" i="63"/>
  <c r="AF26" i="63" s="1"/>
  <c r="U27" i="63"/>
  <c r="AO27" i="63" s="1"/>
  <c r="S27" i="63"/>
  <c r="T27" i="63" s="1"/>
  <c r="AG26" i="63"/>
  <c r="AT27" i="63"/>
  <c r="AU27" i="63"/>
  <c r="AV27" i="63" s="1"/>
  <c r="N28" i="63"/>
  <c r="Q28" i="63" s="1"/>
  <c r="V28" i="63" s="1"/>
  <c r="AM27" i="63" l="1"/>
  <c r="AD27" i="63"/>
  <c r="P28" i="63"/>
  <c r="W28" i="63" s="1"/>
  <c r="O29" i="63" s="1"/>
  <c r="M28" i="63"/>
  <c r="AI29" i="63" l="1"/>
  <c r="AP29" i="63"/>
  <c r="R29" i="63"/>
  <c r="AN29" i="63"/>
  <c r="AS29" i="63" s="1"/>
  <c r="L28" i="63"/>
  <c r="Z28" i="63" s="1"/>
  <c r="U28" i="63"/>
  <c r="AO28" i="63" s="1"/>
  <c r="S28" i="63"/>
  <c r="T28" i="63" s="1"/>
  <c r="AE27" i="63"/>
  <c r="AF27" i="63" s="1"/>
  <c r="AG27" i="63"/>
  <c r="AT28" i="63"/>
  <c r="AU28" i="63"/>
  <c r="AV28" i="63" s="1"/>
  <c r="N29" i="63"/>
  <c r="Q29" i="63" s="1"/>
  <c r="V29" i="63" s="1"/>
  <c r="AM28" i="63" l="1"/>
  <c r="AD28" i="63"/>
  <c r="P29" i="63"/>
  <c r="M29" i="63"/>
  <c r="W29" i="63"/>
  <c r="O30" i="63" s="1"/>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M30" i="63"/>
  <c r="W30" i="63"/>
  <c r="O31" i="63" s="1"/>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M32" i="63"/>
  <c r="W32" i="63"/>
  <c r="O33" i="63" s="1"/>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T39" i="63"/>
  <c r="AU39" i="63"/>
  <c r="AV39" i="63" s="1"/>
  <c r="N40" i="63"/>
  <c r="AI40" i="63" l="1"/>
  <c r="AP40" i="63"/>
  <c r="R40" i="63"/>
  <c r="AN40" i="63"/>
  <c r="AS40" i="63" s="1"/>
  <c r="AE39" i="63"/>
  <c r="AF39" i="63" s="1"/>
  <c r="AG39" i="63"/>
  <c r="Q40" i="63"/>
  <c r="V40" i="63" s="1"/>
  <c r="M40" i="63"/>
  <c r="P40" i="63" l="1"/>
  <c r="U40" i="63" s="1"/>
  <c r="L40" i="63"/>
  <c r="Z40" i="63" s="1"/>
  <c r="S40" i="63" l="1"/>
  <c r="T40" i="63" s="1"/>
  <c r="W40" i="63"/>
  <c r="AO40" i="63" s="1"/>
  <c r="AM40" i="63"/>
  <c r="AD40" i="63"/>
  <c r="O41" i="63"/>
  <c r="AT40" i="63" l="1"/>
  <c r="AU40" i="63"/>
  <c r="AV40" i="63" s="1"/>
  <c r="N41" i="63"/>
  <c r="AI41" i="63"/>
  <c r="AP41" i="63"/>
  <c r="R41" i="63"/>
  <c r="AN41" i="63"/>
  <c r="AS41" i="63" s="1"/>
  <c r="AE40" i="63"/>
  <c r="AF40" i="63" s="1"/>
  <c r="AG40" i="63"/>
  <c r="Q41" i="63"/>
  <c r="V41" i="63" s="1"/>
  <c r="M41" i="63"/>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c r="AI44" i="63" l="1"/>
  <c r="AP44" i="63"/>
  <c r="AO43" i="63"/>
  <c r="AU43" i="63"/>
  <c r="AV43" i="63" s="1"/>
  <c r="R44" i="63"/>
  <c r="AN44" i="63"/>
  <c r="AS44" i="63" s="1"/>
  <c r="AE43" i="63"/>
  <c r="AF43" i="63" s="1"/>
  <c r="AG43" i="63"/>
  <c r="Q44" i="63"/>
  <c r="V44" i="63" s="1"/>
  <c r="M44" i="63"/>
  <c r="P44" i="63" l="1"/>
  <c r="U44" i="63" s="1"/>
  <c r="L44" i="63"/>
  <c r="Z44" i="63" s="1"/>
  <c r="W44" i="63" l="1"/>
  <c r="AT44" i="63" s="1"/>
  <c r="S44" i="63"/>
  <c r="T44" i="63" s="1"/>
  <c r="AM44" i="63"/>
  <c r="AD44" i="63"/>
  <c r="O45" i="63"/>
  <c r="AU44" i="63" l="1"/>
  <c r="AV44" i="63" s="1"/>
  <c r="AO44" i="63"/>
  <c r="N45" i="63"/>
  <c r="M45" i="63" s="1"/>
  <c r="AI45" i="63"/>
  <c r="AP45" i="63"/>
  <c r="R45" i="63"/>
  <c r="AN45" i="63"/>
  <c r="AS45" i="63" s="1"/>
  <c r="AE44" i="63"/>
  <c r="AF44" i="63" s="1"/>
  <c r="AG44" i="63"/>
  <c r="Q45" i="63"/>
  <c r="V45" i="63" s="1"/>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M46" i="63"/>
  <c r="AD46" i="63"/>
  <c r="O47" i="63"/>
  <c r="AU46" i="63"/>
  <c r="AV46" i="63" s="1"/>
  <c r="AT46" i="63"/>
  <c r="N47" i="63"/>
  <c r="AI47" i="63" l="1"/>
  <c r="AP47" i="63"/>
  <c r="R47" i="63"/>
  <c r="AN47" i="63"/>
  <c r="AS47" i="63" s="1"/>
  <c r="AE46" i="63"/>
  <c r="AF46" i="63" s="1"/>
  <c r="AG46" i="63"/>
  <c r="Q47" i="63"/>
  <c r="V47" i="63" s="1"/>
  <c r="M47" i="63"/>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L48" i="63"/>
  <c r="Z48" i="63" s="1"/>
  <c r="U48" i="63"/>
  <c r="S48" i="63"/>
  <c r="T48" i="63" s="1"/>
  <c r="W48" i="63"/>
  <c r="AM48" i="63" l="1"/>
  <c r="AD48" i="63"/>
  <c r="O49" i="63"/>
  <c r="AT48" i="63"/>
  <c r="N49" i="63"/>
  <c r="AU48" i="63"/>
  <c r="AV48" i="63" s="1"/>
  <c r="AI49" i="63" l="1"/>
  <c r="AP49" i="63"/>
  <c r="R49" i="63"/>
  <c r="AN49" i="63"/>
  <c r="AS49" i="63" s="1"/>
  <c r="AE48" i="63"/>
  <c r="AF48" i="63" s="1"/>
  <c r="AG48" i="63"/>
  <c r="Q49" i="63"/>
  <c r="V49" i="63" s="1"/>
  <c r="M49" i="63"/>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L51" i="63"/>
  <c r="Z51" i="63" s="1"/>
  <c r="U51" i="63"/>
  <c r="S51" i="63"/>
  <c r="T51" i="63" s="1"/>
  <c r="W51" i="63"/>
  <c r="AM51" i="63" l="1"/>
  <c r="AD51" i="63"/>
  <c r="O52" i="63"/>
  <c r="AU51" i="63"/>
  <c r="AV51" i="63" s="1"/>
  <c r="AT51" i="63"/>
  <c r="N52" i="63"/>
  <c r="AI52" i="63" l="1"/>
  <c r="AP52" i="63"/>
  <c r="R52" i="63"/>
  <c r="AN52" i="63"/>
  <c r="AS52" i="63" s="1"/>
  <c r="AE51" i="63"/>
  <c r="AF51" i="63" s="1"/>
  <c r="AG51" i="63"/>
  <c r="Q52" i="63"/>
  <c r="V52" i="63" s="1"/>
  <c r="M52" i="63"/>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S54" i="63"/>
  <c r="T54" i="63" s="1"/>
  <c r="AM54" i="63"/>
  <c r="AD54" i="63"/>
  <c r="O55" i="63"/>
  <c r="AT54" i="63"/>
  <c r="AU54" i="63"/>
  <c r="AV54" i="63" s="1"/>
  <c r="N55" i="63"/>
  <c r="AI55" i="63" l="1"/>
  <c r="AP55" i="63"/>
  <c r="R55" i="63"/>
  <c r="AN55" i="63"/>
  <c r="AS55" i="63" s="1"/>
  <c r="AE54" i="63"/>
  <c r="AF54" i="63" s="1"/>
  <c r="AG54" i="63"/>
  <c r="Q55" i="63"/>
  <c r="V55" i="63" s="1"/>
  <c r="M55" i="63"/>
  <c r="P55" i="63" l="1"/>
  <c r="U55" i="63" s="1"/>
  <c r="L55" i="63"/>
  <c r="Z55" i="63" s="1"/>
  <c r="W55" i="63"/>
  <c r="S55" i="63" l="1"/>
  <c r="T55" i="63" s="1"/>
  <c r="AM55" i="63"/>
  <c r="AD55" i="63"/>
  <c r="O56" i="63"/>
  <c r="AU55" i="63"/>
  <c r="AV55" i="63" s="1"/>
  <c r="N56" i="63"/>
  <c r="AT55" i="63"/>
  <c r="AI56" i="63" l="1"/>
  <c r="AP56" i="63"/>
  <c r="R56" i="63"/>
  <c r="AN56" i="63"/>
  <c r="AS56" i="63" s="1"/>
  <c r="AE55" i="63"/>
  <c r="AF55" i="63" s="1"/>
  <c r="AG55" i="63"/>
  <c r="Q56" i="63"/>
  <c r="V56" i="63" s="1"/>
  <c r="M56" i="63"/>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T60" i="63"/>
  <c r="AU60" i="63"/>
  <c r="AV60" i="63" s="1"/>
  <c r="N61" i="63"/>
  <c r="Q61" i="63" s="1"/>
  <c r="R61" i="63" l="1"/>
  <c r="AN61" i="63"/>
  <c r="AS61" i="63" s="1"/>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Q62" i="63"/>
  <c r="V62" i="63" s="1"/>
  <c r="M62" i="63"/>
  <c r="L62" i="63" s="1"/>
  <c r="AS62" i="63"/>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AM64" i="63" s="1"/>
  <c r="P64" i="63"/>
  <c r="Z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M66" i="63"/>
  <c r="L66" i="63" s="1"/>
  <c r="Q66" i="63"/>
  <c r="V66" i="63" s="1"/>
  <c r="AS66" i="63"/>
  <c r="Z66" i="63" l="1"/>
  <c r="AM66" i="63"/>
  <c r="P66" i="63"/>
  <c r="W66" i="63" s="1"/>
  <c r="N67" i="63" l="1"/>
  <c r="O67" i="63"/>
  <c r="AU66" i="63"/>
  <c r="AV66" i="63" s="1"/>
  <c r="U66" i="63"/>
  <c r="AT66" i="63"/>
  <c r="M67" i="63"/>
  <c r="L67" i="63" s="1"/>
  <c r="Q67" i="63"/>
  <c r="V67" i="63" s="1"/>
  <c r="AN67" i="63" l="1"/>
  <c r="AS67" i="63" s="1"/>
  <c r="Z67" i="63"/>
  <c r="AM67" i="63"/>
  <c r="P67" i="63"/>
  <c r="U67" i="63" s="1"/>
  <c r="W67" i="63" l="1"/>
  <c r="O68" i="63" s="1"/>
  <c r="AN68" i="63" l="1"/>
  <c r="N68" i="63"/>
  <c r="M68" i="63" s="1"/>
  <c r="L68" i="63" s="1"/>
  <c r="AU67" i="63"/>
  <c r="AV67" i="63" s="1"/>
  <c r="AT67" i="63"/>
  <c r="Q68" i="63"/>
  <c r="V68" i="63" s="1"/>
  <c r="AS68" i="63"/>
  <c r="Z68" i="63" l="1"/>
  <c r="AM68" i="63"/>
  <c r="P68" i="63"/>
  <c r="W68" i="63" s="1"/>
  <c r="U68" i="63" l="1"/>
  <c r="AT68" i="63"/>
  <c r="AU68" i="63"/>
  <c r="AV68" i="63" s="1"/>
  <c r="O69" i="63"/>
  <c r="N69" i="63"/>
  <c r="AN69" i="63" l="1"/>
  <c r="AS69" i="63" s="1"/>
  <c r="M69" i="63"/>
  <c r="L69" i="63" s="1"/>
  <c r="Q69" i="63"/>
  <c r="V69" i="63" s="1"/>
  <c r="Z69" i="63" l="1"/>
  <c r="AM69" i="63"/>
  <c r="P69" i="63"/>
  <c r="U69" i="63" l="1"/>
  <c r="W69" i="63"/>
  <c r="AT69" i="63" l="1"/>
  <c r="O70" i="63"/>
  <c r="N70" i="63"/>
  <c r="AU69" i="63"/>
  <c r="AV69" i="63" s="1"/>
  <c r="AN70" i="63" l="1"/>
  <c r="AS70" i="63" s="1"/>
  <c r="M70" i="63"/>
  <c r="L70" i="63" s="1"/>
  <c r="Z70" i="63" s="1"/>
  <c r="Q70" i="63"/>
  <c r="V70" i="63" s="1"/>
  <c r="AM70" i="63" l="1"/>
  <c r="P70" i="63"/>
  <c r="U70" i="63" s="1"/>
  <c r="W70" i="63" l="1"/>
  <c r="O71" i="63" s="1"/>
  <c r="N71" i="63" l="1"/>
  <c r="M71" i="63" s="1"/>
  <c r="L71" i="63" s="1"/>
  <c r="AN71" i="63"/>
  <c r="AT70" i="63"/>
  <c r="AU70" i="63"/>
  <c r="AV70" i="63" s="1"/>
  <c r="AS71" i="63"/>
  <c r="Q71" i="63" l="1"/>
  <c r="V71" i="63" s="1"/>
  <c r="Z71" i="63"/>
  <c r="AM71" i="63"/>
  <c r="P71" i="63" l="1"/>
  <c r="U71" i="63" s="1"/>
  <c r="W71" i="63" l="1"/>
  <c r="N72" i="63" s="1"/>
  <c r="M72" i="63" s="1"/>
  <c r="L72" i="63" s="1"/>
  <c r="O72" i="63" l="1"/>
  <c r="AN72" i="63" s="1"/>
  <c r="AS72" i="63" s="1"/>
  <c r="AU71" i="63"/>
  <c r="AV71" i="63" s="1"/>
  <c r="AT71" i="63"/>
  <c r="Q72" i="63"/>
  <c r="V72" i="63" s="1"/>
  <c r="Z72" i="63"/>
  <c r="AM72" i="63"/>
  <c r="P72" i="63" l="1"/>
  <c r="W72" i="63" s="1"/>
  <c r="AU72" i="63" s="1"/>
  <c r="AV72" i="63" s="1"/>
  <c r="AT72" i="63" l="1"/>
  <c r="O73" i="63"/>
  <c r="AN73" i="63" s="1"/>
  <c r="AS73" i="63" s="1"/>
  <c r="N73" i="63"/>
  <c r="M73" i="63" s="1"/>
  <c r="L73" i="63" s="1"/>
  <c r="U72" i="63"/>
  <c r="Q73" i="63" l="1"/>
  <c r="V73" i="63" s="1"/>
  <c r="Z73" i="63"/>
  <c r="AM73" i="63"/>
  <c r="P73" i="63" l="1"/>
  <c r="U73" i="63" s="1"/>
  <c r="W73" i="63" l="1"/>
  <c r="AU73" i="63" s="1"/>
  <c r="AV73" i="63" s="1"/>
  <c r="AT73" i="63"/>
  <c r="O74" i="63"/>
  <c r="N74" i="63"/>
  <c r="M74" i="63" s="1"/>
  <c r="L74" i="63" s="1"/>
  <c r="AN74" i="63" l="1"/>
  <c r="AS74" i="63" s="1"/>
  <c r="Q74" i="63"/>
  <c r="V74" i="63" s="1"/>
  <c r="Z74" i="63"/>
  <c r="AM74" i="63"/>
  <c r="P74" i="63" l="1"/>
  <c r="W74" i="63" s="1"/>
  <c r="U74" i="63" l="1"/>
  <c r="AU74" i="63"/>
  <c r="AV74" i="63" s="1"/>
  <c r="N75" i="63"/>
  <c r="O75" i="63"/>
  <c r="AT74" i="63"/>
  <c r="AN75" i="63" l="1"/>
  <c r="AS75" i="63" s="1"/>
  <c r="Q75" i="63"/>
  <c r="V75" i="63" s="1"/>
  <c r="M75" i="63"/>
  <c r="L75" i="63" s="1"/>
  <c r="Z75" i="63" l="1"/>
  <c r="AM75" i="63"/>
  <c r="P75" i="63"/>
  <c r="U75" i="63" l="1"/>
  <c r="W75" i="63"/>
  <c r="AT75" i="63" l="1"/>
  <c r="AU75" i="63"/>
  <c r="AV75" i="63" s="1"/>
  <c r="O76" i="63"/>
  <c r="N76" i="63"/>
  <c r="AN76" i="63" l="1"/>
  <c r="M76" i="63"/>
  <c r="L76" i="63" s="1"/>
  <c r="Q76" i="63"/>
  <c r="V76" i="63" s="1"/>
  <c r="AS76" i="63"/>
  <c r="Z76" i="63" l="1"/>
  <c r="AM76" i="63"/>
  <c r="P76" i="63"/>
  <c r="W76" i="63" s="1"/>
  <c r="O77" i="63" s="1"/>
  <c r="AN77" i="63" l="1"/>
  <c r="AS77" i="63" s="1"/>
  <c r="N77" i="63"/>
  <c r="M77" i="63" s="1"/>
  <c r="L77" i="63" s="1"/>
  <c r="U76" i="63"/>
  <c r="AT76" i="63"/>
  <c r="AU76" i="63"/>
  <c r="AV76" i="63" s="1"/>
  <c r="Q77" i="63" l="1"/>
  <c r="V77" i="63" s="1"/>
  <c r="Z77" i="63"/>
  <c r="AM77" i="63"/>
  <c r="P77" i="63" l="1"/>
  <c r="U77" i="63" s="1"/>
  <c r="W77" i="63" l="1"/>
  <c r="O78" i="63" s="1"/>
  <c r="N78" i="63" l="1"/>
  <c r="M78" i="63" s="1"/>
  <c r="L78" i="63" s="1"/>
  <c r="AT77" i="63"/>
  <c r="AU77" i="63"/>
  <c r="AV77" i="63" s="1"/>
  <c r="AN78" i="63"/>
  <c r="AS78" i="63" s="1"/>
  <c r="Q78" i="63" l="1"/>
  <c r="V78" i="63" s="1"/>
  <c r="Z78" i="63"/>
  <c r="AM78" i="63"/>
  <c r="P78" i="63"/>
  <c r="U78" i="63" s="1"/>
  <c r="W78" i="63" l="1"/>
  <c r="N79" i="63" s="1"/>
  <c r="AU78" i="63" l="1"/>
  <c r="AV78" i="63" s="1"/>
  <c r="O79" i="63"/>
  <c r="AT78" i="63"/>
  <c r="M79" i="63"/>
  <c r="L79" i="63" s="1"/>
  <c r="Q79" i="63"/>
  <c r="V79" i="63" s="1"/>
  <c r="AN79" i="63" l="1"/>
  <c r="AS79" i="63" s="1"/>
  <c r="Z79" i="63"/>
  <c r="AM79" i="63"/>
  <c r="P79" i="63"/>
  <c r="U79" i="63" s="1"/>
  <c r="W79" i="63" l="1"/>
  <c r="O80" i="63" s="1"/>
  <c r="AT79" i="63" l="1"/>
  <c r="AU79" i="63"/>
  <c r="AV79" i="63" s="1"/>
  <c r="N80" i="63"/>
  <c r="AN80" i="63"/>
  <c r="AS80" i="63" s="1"/>
  <c r="Q80" i="63"/>
  <c r="V80" i="63" s="1"/>
  <c r="M80" i="63"/>
  <c r="L80" i="63" s="1"/>
  <c r="Z80" i="63" l="1"/>
  <c r="AM80" i="63"/>
  <c r="P80" i="63"/>
  <c r="U80" i="63" l="1"/>
  <c r="W80" i="63"/>
  <c r="AT80" i="63" l="1"/>
  <c r="O81" i="63"/>
  <c r="N81" i="63"/>
  <c r="AU80" i="63"/>
  <c r="AV80" i="63" s="1"/>
  <c r="AN81" i="63" l="1"/>
  <c r="AS81" i="63" s="1"/>
  <c r="M81" i="63"/>
  <c r="L81" i="63" s="1"/>
  <c r="Q81" i="63"/>
  <c r="V81" i="63" s="1"/>
  <c r="Z81" i="63" l="1"/>
  <c r="AM81" i="63"/>
  <c r="P81" i="63"/>
  <c r="U81" i="63" s="1"/>
  <c r="W81" i="63" l="1"/>
  <c r="AT81" i="63" l="1"/>
  <c r="N82" i="63"/>
  <c r="Q82" i="63" s="1"/>
  <c r="V82" i="63" s="1"/>
  <c r="O82" i="63"/>
  <c r="AU81" i="63"/>
  <c r="AV81" i="63" s="1"/>
  <c r="AN82" i="63" l="1"/>
  <c r="AS82" i="63" s="1"/>
  <c r="M82" i="63"/>
  <c r="L82" i="63" s="1"/>
  <c r="Z82" i="63" s="1"/>
  <c r="P82" i="63"/>
  <c r="U82" i="63" s="1"/>
  <c r="W82" i="63" l="1"/>
  <c r="AM82" i="63"/>
  <c r="AT82" i="63"/>
  <c r="AU82" i="63"/>
  <c r="AV82" i="63" s="1"/>
  <c r="N83" i="63"/>
  <c r="O83" i="63"/>
  <c r="AN83" i="63" l="1"/>
  <c r="AS83" i="63" s="1"/>
  <c r="M83" i="63"/>
  <c r="L83" i="63" s="1"/>
  <c r="Z83" i="63" s="1"/>
  <c r="Q83" i="63"/>
  <c r="V83" i="63" s="1"/>
  <c r="AM83" i="63" l="1"/>
  <c r="P83" i="63"/>
  <c r="U83" i="63" l="1"/>
  <c r="W83" i="63"/>
  <c r="O84" i="63" l="1"/>
  <c r="N84" i="63"/>
  <c r="AT83" i="63"/>
  <c r="AU83" i="63"/>
  <c r="AV83" i="63" s="1"/>
  <c r="AN84" i="63" l="1"/>
  <c r="AS84" i="63" s="1"/>
  <c r="M84" i="63"/>
  <c r="L84" i="63" s="1"/>
  <c r="Q84" i="63"/>
  <c r="V84" i="63" s="1"/>
  <c r="Z84" i="63" l="1"/>
  <c r="AM84" i="63"/>
  <c r="P84" i="63"/>
  <c r="U84" i="63" s="1"/>
  <c r="W84" i="63" l="1"/>
  <c r="O85" i="63" l="1"/>
  <c r="AU84" i="63"/>
  <c r="AV84" i="63" s="1"/>
  <c r="AT84" i="63"/>
  <c r="N85" i="63"/>
  <c r="M85" i="63" s="1"/>
  <c r="L85" i="63" s="1"/>
  <c r="AN85" i="63" l="1"/>
  <c r="AS85" i="63" s="1"/>
  <c r="Q85" i="63"/>
  <c r="V85" i="63" s="1"/>
  <c r="Z85" i="63"/>
  <c r="AM85" i="63"/>
  <c r="P85" i="63" l="1"/>
  <c r="W85" i="63" s="1"/>
  <c r="AU85" i="63" s="1"/>
  <c r="AV85" i="63" s="1"/>
  <c r="N86" i="63" l="1"/>
  <c r="M86" i="63" s="1"/>
  <c r="L86" i="63" s="1"/>
  <c r="Z86" i="63" s="1"/>
  <c r="U85" i="63"/>
  <c r="O86" i="63"/>
  <c r="AT85" i="63"/>
  <c r="Q86" i="63"/>
  <c r="V86" i="63" s="1"/>
  <c r="AM86" i="63" l="1"/>
  <c r="AN86" i="63"/>
  <c r="AS86" i="63" s="1"/>
  <c r="P86" i="63"/>
  <c r="U86" i="63" s="1"/>
  <c r="W86" i="63" l="1"/>
  <c r="O87" i="63" l="1"/>
  <c r="AU86" i="63"/>
  <c r="AV86" i="63" s="1"/>
  <c r="N87" i="63"/>
  <c r="M87" i="63" s="1"/>
  <c r="L87" i="63" s="1"/>
  <c r="AT86" i="63"/>
  <c r="Q87" i="63" l="1"/>
  <c r="V87" i="63" s="1"/>
  <c r="AN87" i="63"/>
  <c r="AS87" i="63" s="1"/>
  <c r="Z87" i="63"/>
  <c r="AM87" i="63"/>
  <c r="P87" i="63" l="1"/>
  <c r="U87" i="63" s="1"/>
  <c r="W87" i="63" l="1"/>
  <c r="AT87" i="63" s="1"/>
  <c r="O88" i="63"/>
  <c r="N88" i="63"/>
  <c r="AU87" i="63" l="1"/>
  <c r="AV87" i="63" s="1"/>
  <c r="AN88" i="63"/>
  <c r="AS88" i="63" s="1"/>
  <c r="M88" i="63"/>
  <c r="L88" i="63" s="1"/>
  <c r="Q88" i="63"/>
  <c r="V88" i="63" s="1"/>
  <c r="Z88" i="63" l="1"/>
  <c r="AM88" i="63"/>
  <c r="P88" i="63"/>
  <c r="U88" i="63" l="1"/>
  <c r="W88" i="63"/>
  <c r="AT88" i="63" l="1"/>
  <c r="AU88" i="63"/>
  <c r="AV88" i="63" s="1"/>
  <c r="O89" i="63"/>
  <c r="N89" i="63"/>
  <c r="AN89" i="63" l="1"/>
  <c r="M89" i="63"/>
  <c r="L89" i="63" s="1"/>
  <c r="Q89" i="63"/>
  <c r="V89" i="63" s="1"/>
  <c r="AS89" i="63"/>
  <c r="Z89" i="63" l="1"/>
  <c r="AM89" i="63"/>
  <c r="P89" i="63"/>
  <c r="U89" i="63" s="1"/>
  <c r="W89" i="63" l="1"/>
  <c r="O90" i="63" l="1"/>
  <c r="AT89" i="63"/>
  <c r="N90" i="63"/>
  <c r="M90" i="63" s="1"/>
  <c r="L90" i="63" s="1"/>
  <c r="AU89" i="63"/>
  <c r="AV89" i="63" s="1"/>
  <c r="AN90" i="63" l="1"/>
  <c r="AS90" i="63" s="1"/>
  <c r="Q90" i="63"/>
  <c r="V90" i="63" s="1"/>
  <c r="Z90" i="63"/>
  <c r="AM90" i="63"/>
  <c r="P90" i="63" l="1"/>
  <c r="U90" i="63" s="1"/>
  <c r="W90" i="63" l="1"/>
  <c r="AT90" i="63" s="1"/>
  <c r="O91" i="63"/>
  <c r="N91" i="63" l="1"/>
  <c r="M91" i="63" s="1"/>
  <c r="L91" i="63" s="1"/>
  <c r="AU90" i="63"/>
  <c r="AV90" i="63" s="1"/>
  <c r="AN91" i="63"/>
  <c r="AS91" i="63" s="1"/>
  <c r="Q91" i="63"/>
  <c r="V91" i="63" s="1"/>
  <c r="Z91" i="63" l="1"/>
  <c r="AM91" i="63"/>
  <c r="P91" i="63"/>
  <c r="U91" i="63" l="1"/>
  <c r="W91" i="63"/>
  <c r="AU91" i="63" l="1"/>
  <c r="AV91" i="63" s="1"/>
  <c r="N92" i="63"/>
  <c r="AT91" i="63"/>
  <c r="O92" i="63"/>
  <c r="AN92" i="63" l="1"/>
  <c r="AS92" i="63" s="1"/>
  <c r="M92" i="63"/>
  <c r="L92" i="63" s="1"/>
  <c r="Q92" i="63"/>
  <c r="V92" i="63" s="1"/>
  <c r="Z92" i="63" l="1"/>
  <c r="AM92" i="63"/>
  <c r="P92" i="63"/>
  <c r="U92" i="63" l="1"/>
  <c r="W92" i="63"/>
  <c r="AT92" i="63" l="1"/>
  <c r="AU92" i="63"/>
  <c r="AV92" i="63" s="1"/>
  <c r="N93" i="63"/>
  <c r="O93" i="63"/>
  <c r="AN93" i="63" l="1"/>
  <c r="AS93" i="63" s="1"/>
  <c r="Q93" i="63"/>
  <c r="V93" i="63" s="1"/>
  <c r="M93" i="63"/>
  <c r="L93" i="63" s="1"/>
  <c r="Z93" i="63" l="1"/>
  <c r="AM93" i="63"/>
  <c r="P93" i="63"/>
  <c r="U93" i="63" l="1"/>
  <c r="W93" i="63"/>
  <c r="AU93" i="63" l="1"/>
  <c r="AV93" i="63" s="1"/>
  <c r="AT93" i="63"/>
  <c r="N94" i="63"/>
  <c r="O94" i="63"/>
  <c r="AN94" i="63" l="1"/>
  <c r="AS94" i="63" s="1"/>
  <c r="M94" i="63"/>
  <c r="L94" i="63" s="1"/>
  <c r="Z94" i="63" s="1"/>
  <c r="Q94" i="63"/>
  <c r="V94" i="63" s="1"/>
  <c r="AM94" i="63" l="1"/>
  <c r="P94" i="63"/>
  <c r="U94" i="63" l="1"/>
  <c r="W94" i="63"/>
  <c r="N95" i="63" l="1"/>
  <c r="AU94" i="63"/>
  <c r="AV94" i="63" s="1"/>
  <c r="AT94" i="63"/>
  <c r="O95" i="63"/>
  <c r="AN95" i="63" l="1"/>
  <c r="AS95" i="63" s="1"/>
  <c r="M95" i="63"/>
  <c r="L95" i="63" s="1"/>
  <c r="Q95" i="63"/>
  <c r="V95" i="63" s="1"/>
  <c r="Z95" i="63" l="1"/>
  <c r="AM95" i="63"/>
  <c r="P95" i="63"/>
  <c r="U95" i="63" l="1"/>
  <c r="W95" i="63"/>
  <c r="O96" i="63" l="1"/>
  <c r="AU95" i="63"/>
  <c r="AV95" i="63" s="1"/>
  <c r="N96" i="63"/>
  <c r="AT95" i="63"/>
  <c r="AN96" i="63" l="1"/>
  <c r="AS96" i="63" s="1"/>
  <c r="Q96" i="63"/>
  <c r="V96" i="63" s="1"/>
  <c r="M96" i="63"/>
  <c r="L96" i="63" s="1"/>
  <c r="P96" i="63" l="1"/>
  <c r="W96" i="63" s="1"/>
  <c r="Z96" i="63"/>
  <c r="AM96" i="63"/>
  <c r="U96" i="63" l="1"/>
  <c r="O97" i="63"/>
  <c r="N97" i="63"/>
  <c r="AT96" i="63"/>
  <c r="AU96" i="63"/>
  <c r="AV96" i="63" s="1"/>
  <c r="AN97" i="63" l="1"/>
  <c r="AS97" i="63" s="1"/>
  <c r="M97" i="63"/>
  <c r="L97" i="63" s="1"/>
  <c r="Q97" i="63"/>
  <c r="V97" i="63" s="1"/>
  <c r="Z97" i="63" l="1"/>
  <c r="AM97" i="63"/>
  <c r="P97" i="63"/>
  <c r="U97" i="63" s="1"/>
  <c r="W97" i="63" l="1"/>
  <c r="O98" i="63" l="1"/>
  <c r="N98" i="63"/>
  <c r="AT97" i="63"/>
  <c r="AU97" i="63"/>
  <c r="AV97" i="63" s="1"/>
  <c r="Q98" i="63"/>
  <c r="V98" i="63" s="1"/>
  <c r="M98" i="63"/>
  <c r="L98" i="63" s="1"/>
  <c r="AN98" i="63" l="1"/>
  <c r="AS98" i="63" s="1"/>
  <c r="Z98" i="63"/>
  <c r="AM98" i="63"/>
  <c r="P98" i="63"/>
  <c r="U98" i="63" l="1"/>
  <c r="W98" i="63"/>
  <c r="AT98" i="63" l="1"/>
  <c r="AU98" i="63"/>
  <c r="AV98" i="63" s="1"/>
  <c r="N99" i="63"/>
  <c r="O99" i="63"/>
  <c r="AN99" i="63" l="1"/>
  <c r="AS99" i="63" s="1"/>
  <c r="Q99" i="63"/>
  <c r="V99" i="63" s="1"/>
  <c r="M99" i="63"/>
  <c r="L99" i="63" s="1"/>
  <c r="Z99" i="63" l="1"/>
  <c r="AM99" i="63"/>
  <c r="P99" i="63"/>
  <c r="U99" i="63" l="1"/>
  <c r="W99" i="63"/>
  <c r="N100" i="63" l="1"/>
  <c r="AT99" i="63"/>
  <c r="O100" i="63"/>
  <c r="AU99" i="63"/>
  <c r="AV99" i="63" s="1"/>
  <c r="AN100" i="63" l="1"/>
  <c r="AS100" i="63" s="1"/>
  <c r="Q100" i="63"/>
  <c r="V100" i="63" s="1"/>
  <c r="M100" i="63"/>
  <c r="L100" i="63" s="1"/>
  <c r="Z100" i="63" l="1"/>
  <c r="AM100" i="63"/>
  <c r="P100" i="63"/>
  <c r="U100" i="63" l="1"/>
  <c r="W100" i="63"/>
  <c r="AT100" i="63" l="1"/>
  <c r="O101" i="63"/>
  <c r="AU100" i="63"/>
  <c r="AV100" i="63" s="1"/>
  <c r="N101" i="63"/>
  <c r="AN101" i="63" l="1"/>
  <c r="M101" i="63"/>
  <c r="L101" i="63" s="1"/>
  <c r="Q101" i="63"/>
  <c r="V101" i="63" s="1"/>
  <c r="AS101" i="63"/>
  <c r="Z101" i="63" l="1"/>
  <c r="AM101" i="63"/>
  <c r="P101" i="63"/>
  <c r="U101" i="63" s="1"/>
  <c r="W101" i="63" l="1"/>
  <c r="N102" i="63" l="1"/>
  <c r="AU101" i="63"/>
  <c r="AV101" i="63" s="1"/>
  <c r="O102" i="63"/>
  <c r="AT101" i="63"/>
  <c r="M102" i="63"/>
  <c r="L102" i="63" s="1"/>
  <c r="Q102" i="63"/>
  <c r="V102" i="63" s="1"/>
  <c r="AN102" i="63" l="1"/>
  <c r="AS102" i="63" s="1"/>
  <c r="Z102" i="63"/>
  <c r="AM102" i="63"/>
  <c r="P102" i="63"/>
  <c r="U102" i="63" s="1"/>
  <c r="W102" i="63" l="1"/>
  <c r="AT102" i="63" s="1"/>
  <c r="AU102" i="63" l="1"/>
  <c r="AV102" i="63" s="1"/>
  <c r="N103" i="63"/>
  <c r="M103" i="63" s="1"/>
  <c r="L103" i="63" s="1"/>
  <c r="O103" i="63"/>
  <c r="Q103" i="63" l="1"/>
  <c r="V103" i="63" s="1"/>
  <c r="AN103" i="63"/>
  <c r="AS103" i="63" s="1"/>
  <c r="Z103" i="63"/>
  <c r="AM103" i="63"/>
  <c r="P103" i="63" l="1"/>
  <c r="U103" i="63" s="1"/>
  <c r="W103" i="63" l="1"/>
  <c r="AU103" i="63" s="1"/>
  <c r="AV103" i="63" s="1"/>
  <c r="N104" i="63" l="1"/>
  <c r="M104" i="63" s="1"/>
  <c r="L104" i="63" s="1"/>
  <c r="AT103" i="63"/>
  <c r="O104" i="63"/>
  <c r="AN104" i="63" s="1"/>
  <c r="AS104" i="63" s="1"/>
  <c r="Q104" i="63" l="1"/>
  <c r="V104" i="63" s="1"/>
  <c r="Z104" i="63"/>
  <c r="AM104" i="63"/>
  <c r="P104" i="63" l="1"/>
  <c r="U104" i="63" s="1"/>
  <c r="W104" i="63" l="1"/>
  <c r="AU104" i="63" s="1"/>
  <c r="AV104" i="63" s="1"/>
  <c r="N105" i="63"/>
  <c r="AT104" i="63"/>
  <c r="O105" i="63" l="1"/>
  <c r="AN105" i="63" s="1"/>
  <c r="AS105" i="63" s="1"/>
  <c r="Q105" i="63"/>
  <c r="V105" i="63" s="1"/>
  <c r="M105" i="63"/>
  <c r="L105" i="63" s="1"/>
  <c r="P105" i="63" l="1"/>
  <c r="W105" i="63" s="1"/>
  <c r="AT105" i="63" s="1"/>
  <c r="Z105" i="63"/>
  <c r="AM105" i="63"/>
  <c r="AU105" i="63" l="1"/>
  <c r="AV105" i="63" s="1"/>
  <c r="U105" i="63"/>
  <c r="O106" i="63"/>
  <c r="N106" i="63"/>
  <c r="M106" i="63" s="1"/>
  <c r="L106" i="63" s="1"/>
  <c r="Z106" i="63" s="1"/>
  <c r="AN106" i="63" l="1"/>
  <c r="AS106" i="63" s="1"/>
  <c r="Q106" i="63"/>
  <c r="V106" i="63" s="1"/>
  <c r="AM106" i="63"/>
  <c r="P106" i="63" l="1"/>
  <c r="U106" i="63" s="1"/>
  <c r="W106" i="63" l="1"/>
  <c r="AT106" i="63" s="1"/>
  <c r="O107" i="63" l="1"/>
  <c r="AU106" i="63"/>
  <c r="AV106" i="63" s="1"/>
  <c r="N107" i="63"/>
  <c r="AN107" i="63"/>
  <c r="AS107" i="63" s="1"/>
  <c r="M107" i="63"/>
  <c r="L107" i="63" s="1"/>
  <c r="Z107" i="63" s="1"/>
  <c r="Q107" i="63"/>
  <c r="V107" i="63" s="1"/>
  <c r="AM107" i="63" l="1"/>
  <c r="P107" i="63"/>
  <c r="U107" i="63" l="1"/>
  <c r="W107" i="63"/>
  <c r="AU107" i="63" l="1"/>
  <c r="AV107" i="63" s="1"/>
  <c r="N108" i="63"/>
  <c r="AT107" i="63"/>
  <c r="O108" i="63"/>
  <c r="AN108" i="63" l="1"/>
  <c r="AS108" i="63" s="1"/>
  <c r="M108" i="63"/>
  <c r="L108" i="63" s="1"/>
  <c r="Q108" i="63"/>
  <c r="V108" i="63" s="1"/>
  <c r="Z108" i="63" l="1"/>
  <c r="AM108" i="63"/>
  <c r="P108" i="63"/>
  <c r="U108" i="63" l="1"/>
  <c r="W108" i="63"/>
  <c r="AU108" i="63" l="1"/>
  <c r="AV108" i="63" s="1"/>
  <c r="AT108" i="63"/>
  <c r="N109" i="63"/>
  <c r="O109" i="63"/>
  <c r="AN109" i="63" l="1"/>
  <c r="AS109" i="63" s="1"/>
  <c r="M109" i="63"/>
  <c r="L109" i="63" s="1"/>
  <c r="Q109" i="63"/>
  <c r="V109" i="63" s="1"/>
  <c r="Z109" i="63" l="1"/>
  <c r="AM109" i="63"/>
  <c r="P109" i="63"/>
  <c r="U109" i="63" l="1"/>
  <c r="W109" i="63"/>
  <c r="O110" i="63" l="1"/>
  <c r="AU109" i="63"/>
  <c r="AV109" i="63" s="1"/>
  <c r="N110" i="63"/>
  <c r="AT109" i="63"/>
  <c r="AN110" i="63" l="1"/>
  <c r="AS110" i="63" s="1"/>
  <c r="Q110" i="63"/>
  <c r="V110" i="63" s="1"/>
  <c r="M110" i="63"/>
  <c r="L110" i="63" s="1"/>
  <c r="P110" i="63" l="1"/>
  <c r="Z110" i="63"/>
  <c r="AM110" i="63"/>
  <c r="U110" i="63"/>
  <c r="W110" i="63"/>
  <c r="AT110" i="63" l="1"/>
  <c r="AU110" i="63"/>
  <c r="AV110" i="63" s="1"/>
  <c r="O111" i="63"/>
  <c r="N111" i="63"/>
  <c r="AN111" i="63" l="1"/>
  <c r="M111" i="63"/>
  <c r="L111" i="63" s="1"/>
  <c r="Q111" i="63"/>
  <c r="V111" i="63" s="1"/>
  <c r="AS111" i="63"/>
  <c r="Z111" i="63" l="1"/>
  <c r="AM111" i="63"/>
  <c r="P111" i="63"/>
  <c r="U111" i="63" l="1"/>
  <c r="W111" i="63"/>
  <c r="AT111" i="63" l="1"/>
  <c r="O112" i="63"/>
  <c r="N112" i="63"/>
  <c r="AU111" i="63"/>
  <c r="AV111" i="63" s="1"/>
  <c r="AN112" i="63" l="1"/>
  <c r="AS112" i="63" s="1"/>
  <c r="M112" i="63"/>
  <c r="L112" i="63" s="1"/>
  <c r="Q112" i="63"/>
  <c r="V112" i="63" s="1"/>
  <c r="Z112" i="63" l="1"/>
  <c r="AM112" i="63"/>
  <c r="P112" i="63"/>
  <c r="W112" i="63" s="1"/>
  <c r="U112" i="63" l="1"/>
  <c r="AT112" i="63"/>
  <c r="N113" i="63"/>
  <c r="AU112" i="63"/>
  <c r="AV112" i="63" s="1"/>
  <c r="O113" i="63"/>
  <c r="AN113" i="63" l="1"/>
  <c r="AS113" i="63" s="1"/>
  <c r="M113" i="63"/>
  <c r="L113" i="63" s="1"/>
  <c r="Q113" i="63"/>
  <c r="V113" i="63" s="1"/>
  <c r="Z113" i="63" l="1"/>
  <c r="AM113" i="63"/>
  <c r="P113" i="63"/>
  <c r="U113" i="63" l="1"/>
  <c r="W113" i="63"/>
  <c r="N114" i="63" l="1"/>
  <c r="O114" i="63"/>
  <c r="AT113" i="63"/>
  <c r="AU113" i="63"/>
  <c r="AV113" i="63" s="1"/>
  <c r="AN114" i="63" l="1"/>
  <c r="AS114" i="63" s="1"/>
  <c r="M114" i="63"/>
  <c r="L114" i="63" s="1"/>
  <c r="Q114" i="63"/>
  <c r="V114" i="63" s="1"/>
  <c r="Z114" i="63" l="1"/>
  <c r="AM114" i="63"/>
  <c r="P114" i="63"/>
  <c r="U114" i="63" l="1"/>
  <c r="W114" i="63"/>
  <c r="AT114" i="63" l="1"/>
  <c r="N115" i="63"/>
  <c r="O115" i="63"/>
  <c r="AU114" i="63"/>
  <c r="AV114" i="63" s="1"/>
  <c r="AN115" i="63" l="1"/>
  <c r="AS115" i="63" s="1"/>
  <c r="M115" i="63"/>
  <c r="L115" i="63" s="1"/>
  <c r="Q115" i="63"/>
  <c r="V115" i="63" s="1"/>
  <c r="Z115" i="63" l="1"/>
  <c r="AM115" i="63"/>
  <c r="P115" i="63"/>
  <c r="W115" i="63" l="1"/>
  <c r="U115" i="63"/>
  <c r="AT115" i="63" l="1"/>
  <c r="O116" i="63"/>
  <c r="AU115" i="63"/>
  <c r="AV115" i="63" s="1"/>
  <c r="N116" i="63"/>
  <c r="AN116" i="63" l="1"/>
  <c r="M116" i="63"/>
  <c r="L116" i="63" s="1"/>
  <c r="Q116" i="63"/>
  <c r="V116" i="63" s="1"/>
  <c r="AS116" i="63"/>
  <c r="Z116" i="63" l="1"/>
  <c r="AM116" i="63"/>
  <c r="P116" i="63"/>
  <c r="U116" i="63" l="1"/>
  <c r="W116" i="63"/>
  <c r="AU116" i="63" l="1"/>
  <c r="AV116" i="63" s="1"/>
  <c r="N117" i="63"/>
  <c r="AT116" i="63"/>
  <c r="O117" i="63"/>
  <c r="AN117" i="63" l="1"/>
  <c r="AS117" i="63" s="1"/>
  <c r="Q117" i="63"/>
  <c r="V117" i="63" s="1"/>
  <c r="M117" i="63"/>
  <c r="L117" i="63" s="1"/>
  <c r="Z117" i="63" l="1"/>
  <c r="AM117" i="63"/>
  <c r="P117" i="63"/>
  <c r="U117" i="63" l="1"/>
  <c r="W117" i="63"/>
  <c r="AT117" i="63" l="1"/>
  <c r="N118" i="63"/>
  <c r="O118" i="63"/>
  <c r="AU117" i="63"/>
  <c r="AV117" i="63" s="1"/>
  <c r="AN118" i="63" l="1"/>
  <c r="AS118" i="63" s="1"/>
  <c r="Q118" i="63"/>
  <c r="V118" i="63" s="1"/>
  <c r="M118" i="63"/>
  <c r="L118" i="63" s="1"/>
  <c r="Z118" i="63" s="1"/>
  <c r="AM118" i="63" l="1"/>
  <c r="P118" i="63"/>
  <c r="U118" i="63" l="1"/>
  <c r="W118" i="63"/>
  <c r="N119" i="63" l="1"/>
  <c r="O119" i="63"/>
  <c r="AU118" i="63"/>
  <c r="AV118" i="63" s="1"/>
  <c r="AT118" i="63"/>
  <c r="AN119" i="63" l="1"/>
  <c r="AS119" i="63" s="1"/>
  <c r="Q119" i="63"/>
  <c r="V119" i="63" s="1"/>
  <c r="M119" i="63"/>
  <c r="L119" i="63" s="1"/>
  <c r="Z119" i="63" l="1"/>
  <c r="AM119" i="63"/>
  <c r="P119" i="63"/>
  <c r="U119" i="63" l="1"/>
  <c r="W119" i="63"/>
  <c r="AU119" i="63" l="1"/>
  <c r="AV119" i="63" s="1"/>
  <c r="O120" i="63"/>
  <c r="AT119" i="63"/>
  <c r="N120" i="63"/>
  <c r="AN120" i="63" l="1"/>
  <c r="AS120" i="63" s="1"/>
  <c r="M120" i="63"/>
  <c r="L120" i="63" s="1"/>
  <c r="Q120" i="63"/>
  <c r="V120" i="63" s="1"/>
  <c r="Z120" i="63" l="1"/>
  <c r="AM120" i="63"/>
  <c r="P120" i="63"/>
  <c r="U120" i="63" l="1"/>
  <c r="W120" i="63"/>
  <c r="AU120" i="63" l="1"/>
  <c r="AV120" i="63" s="1"/>
  <c r="AT120" i="63"/>
  <c r="N121" i="63"/>
  <c r="O121" i="63"/>
  <c r="AN121" i="63" l="1"/>
  <c r="AS121" i="63" s="1"/>
  <c r="M121" i="63"/>
  <c r="L121" i="63" s="1"/>
  <c r="Q121" i="63"/>
  <c r="V121" i="63" s="1"/>
  <c r="Z121" i="63" l="1"/>
  <c r="AM121" i="63"/>
  <c r="P121" i="63"/>
  <c r="U121" i="63" l="1"/>
  <c r="W121" i="63"/>
  <c r="N122" i="63" l="1"/>
  <c r="AT121" i="63"/>
  <c r="AU121" i="63"/>
  <c r="AV121" i="63" s="1"/>
  <c r="O122" i="63"/>
  <c r="AN122" i="63" l="1"/>
  <c r="AS122" i="63" s="1"/>
  <c r="M122" i="63"/>
  <c r="L122" i="63" s="1"/>
  <c r="Q122" i="63"/>
  <c r="V122" i="63" s="1"/>
  <c r="Z122" i="63" l="1"/>
  <c r="AM122" i="63"/>
  <c r="P122" i="63"/>
  <c r="U122" i="63" l="1"/>
  <c r="W122" i="63"/>
  <c r="N123" i="63" l="1"/>
  <c r="AT122" i="63"/>
  <c r="AU122" i="63"/>
  <c r="AV122" i="63" s="1"/>
  <c r="O123" i="63"/>
  <c r="AN123" i="63" l="1"/>
  <c r="AS123" i="63" s="1"/>
  <c r="M123" i="63"/>
  <c r="L123" i="63" s="1"/>
  <c r="Q123" i="63"/>
  <c r="V123" i="63" s="1"/>
  <c r="Z123" i="63" l="1"/>
  <c r="AM123" i="63"/>
  <c r="P123" i="63"/>
  <c r="U123" i="63" l="1"/>
  <c r="W123" i="63"/>
  <c r="O124" i="63" l="1"/>
  <c r="AT123" i="63"/>
  <c r="AU123" i="63"/>
  <c r="AV123" i="63" s="1"/>
  <c r="N124" i="63"/>
  <c r="AN124" i="63" l="1"/>
  <c r="AS124" i="63" s="1"/>
  <c r="M124" i="63"/>
  <c r="L124" i="63" s="1"/>
  <c r="Q124" i="63"/>
  <c r="V124" i="63" s="1"/>
  <c r="Z124" i="63" l="1"/>
  <c r="AM124" i="63"/>
  <c r="P124" i="63"/>
  <c r="U124" i="63" s="1"/>
  <c r="W124" i="63" l="1"/>
  <c r="AT124" i="63" s="1"/>
  <c r="N125" i="63" l="1"/>
  <c r="Q125" i="63" s="1"/>
  <c r="V125" i="63" s="1"/>
  <c r="O125" i="63"/>
  <c r="AU124" i="63"/>
  <c r="AV124" i="63" s="1"/>
  <c r="M125" i="63"/>
  <c r="L125" i="63" s="1"/>
  <c r="AN125" i="63" l="1"/>
  <c r="AS125" i="63" s="1"/>
  <c r="Z125" i="63"/>
  <c r="AM125" i="63"/>
  <c r="P125" i="63"/>
  <c r="U125" i="63" l="1"/>
  <c r="W125" i="63"/>
  <c r="AT125" i="63" l="1"/>
  <c r="O126" i="63"/>
  <c r="N126" i="63"/>
  <c r="AU125" i="63"/>
  <c r="AV125" i="63" s="1"/>
  <c r="AN126" i="63" l="1"/>
  <c r="AS126" i="63" s="1"/>
  <c r="Q126" i="63"/>
  <c r="V126" i="63" s="1"/>
  <c r="M126" i="63"/>
  <c r="L126" i="63" s="1"/>
  <c r="Z126" i="63" l="1"/>
  <c r="AM126" i="63"/>
  <c r="P126" i="63"/>
  <c r="U126" i="63" l="1"/>
  <c r="W126" i="63"/>
  <c r="N127" i="63" l="1"/>
  <c r="AT126" i="63"/>
  <c r="AU126" i="63"/>
  <c r="AV126" i="63" s="1"/>
  <c r="O127" i="63"/>
  <c r="AN127" i="63" l="1"/>
  <c r="AS127" i="63" s="1"/>
  <c r="M127" i="63"/>
  <c r="L127" i="63" s="1"/>
  <c r="Q127" i="63"/>
  <c r="V127" i="63" s="1"/>
  <c r="Z127" i="63" l="1"/>
  <c r="AM127" i="63"/>
  <c r="P127" i="63"/>
  <c r="U127" i="63" l="1"/>
  <c r="W127" i="63"/>
  <c r="AU127" i="63" l="1"/>
  <c r="AV127" i="63" s="1"/>
  <c r="AT127" i="63"/>
  <c r="O128" i="63"/>
  <c r="N128" i="63"/>
  <c r="AN128" i="63" l="1"/>
  <c r="AS128" i="63" s="1"/>
  <c r="M128" i="63"/>
  <c r="L128" i="63" s="1"/>
  <c r="Q128" i="63"/>
  <c r="V128" i="63" s="1"/>
  <c r="Z128" i="63" l="1"/>
  <c r="AM128" i="63"/>
  <c r="P128" i="63"/>
  <c r="U128" i="63" l="1"/>
  <c r="W128" i="63"/>
  <c r="N129" i="63" l="1"/>
  <c r="AU128" i="63"/>
  <c r="AV128" i="63" s="1"/>
  <c r="O129" i="63"/>
  <c r="AT128" i="63"/>
  <c r="AN129" i="63" l="1"/>
  <c r="AS129" i="63" s="1"/>
  <c r="M129" i="63"/>
  <c r="L129" i="63" s="1"/>
  <c r="Q129" i="63"/>
  <c r="V129" i="63" s="1"/>
  <c r="Z129" i="63" l="1"/>
  <c r="AM129" i="63"/>
  <c r="P129" i="63"/>
  <c r="W129" i="63" l="1"/>
  <c r="U129" i="63"/>
  <c r="AT129" i="63" l="1"/>
  <c r="O130" i="63"/>
  <c r="N130" i="63"/>
  <c r="AU129" i="63"/>
  <c r="AV129" i="63" s="1"/>
  <c r="AN130" i="63" l="1"/>
  <c r="AS130" i="63" s="1"/>
  <c r="M130" i="63"/>
  <c r="L130" i="63" s="1"/>
  <c r="Z130" i="63" s="1"/>
  <c r="Q130" i="63"/>
  <c r="V130" i="63" s="1"/>
  <c r="AM130" i="63" l="1"/>
  <c r="P130" i="63"/>
  <c r="U130" i="63" s="1"/>
  <c r="W130" i="63" l="1"/>
  <c r="O131" i="63" l="1"/>
  <c r="N131" i="63"/>
  <c r="M131" i="63" s="1"/>
  <c r="L131" i="63" s="1"/>
  <c r="Z131" i="63" s="1"/>
  <c r="AU130" i="63"/>
  <c r="AV130" i="63" s="1"/>
  <c r="AT130" i="63"/>
  <c r="AN131" i="63" l="1"/>
  <c r="AS131" i="63" s="1"/>
  <c r="AM131" i="63"/>
  <c r="Q131" i="63"/>
  <c r="V131" i="63" s="1"/>
  <c r="P131" i="63" l="1"/>
  <c r="U131" i="63" s="1"/>
  <c r="W131" i="63" l="1"/>
  <c r="O132" i="63" l="1"/>
  <c r="AU131" i="63"/>
  <c r="AV131" i="63" s="1"/>
  <c r="AT131" i="63"/>
  <c r="N132" i="63"/>
  <c r="M132" i="63" s="1"/>
  <c r="L132" i="63" s="1"/>
  <c r="AN132" i="63" l="1"/>
  <c r="AS132" i="63" s="1"/>
  <c r="Q132" i="63"/>
  <c r="V132" i="63" s="1"/>
  <c r="Z132" i="63"/>
  <c r="AM132" i="63"/>
  <c r="P132" i="63" l="1"/>
  <c r="U132" i="63" s="1"/>
  <c r="W132" i="63" l="1"/>
  <c r="AU132" i="63" l="1"/>
  <c r="AV132" i="63" s="1"/>
  <c r="AT132" i="63"/>
  <c r="O133" i="63"/>
  <c r="N133" i="63"/>
  <c r="Q133" i="63" s="1"/>
  <c r="V133" i="63" s="1"/>
  <c r="AN133" i="63" l="1"/>
  <c r="AS133" i="63" s="1"/>
  <c r="M133" i="63"/>
  <c r="L133" i="63" s="1"/>
  <c r="Z133" i="63" s="1"/>
  <c r="P133" i="63"/>
  <c r="AM133" i="63" l="1"/>
  <c r="U133" i="63"/>
  <c r="W133" i="63"/>
  <c r="AU133" i="63" l="1"/>
  <c r="AV133" i="63" s="1"/>
  <c r="AT133" i="63"/>
  <c r="N134" i="63"/>
  <c r="O134" i="63"/>
  <c r="AN134" i="63" l="1"/>
  <c r="AS134" i="63" s="1"/>
  <c r="M134" i="63"/>
  <c r="L134" i="63" s="1"/>
  <c r="Q134" i="63"/>
  <c r="V134" i="63" s="1"/>
  <c r="Z134" i="63" l="1"/>
  <c r="AM134" i="63"/>
  <c r="P134" i="63"/>
  <c r="U134" i="63" l="1"/>
  <c r="W134" i="63"/>
  <c r="N135" i="63" l="1"/>
  <c r="AU134" i="63"/>
  <c r="AV134" i="63" s="1"/>
  <c r="O135" i="63"/>
  <c r="AT134" i="63"/>
  <c r="AN135" i="63" l="1"/>
  <c r="AS135" i="63" s="1"/>
  <c r="M135" i="63"/>
  <c r="L135" i="63" s="1"/>
  <c r="Q135" i="63"/>
  <c r="V135" i="63" s="1"/>
  <c r="Z135" i="63" l="1"/>
  <c r="AM135" i="63"/>
  <c r="P135" i="63"/>
  <c r="U135" i="63" l="1"/>
  <c r="W135" i="63"/>
  <c r="O136" i="63" l="1"/>
  <c r="AU135" i="63"/>
  <c r="AV135" i="63" s="1"/>
  <c r="N136" i="63"/>
  <c r="AT135" i="63"/>
  <c r="AN136" i="63" l="1"/>
  <c r="AS136" i="63" s="1"/>
  <c r="M136" i="63"/>
  <c r="L136" i="63" s="1"/>
  <c r="Q136" i="63"/>
  <c r="V136" i="63" s="1"/>
  <c r="Z136" i="63" l="1"/>
  <c r="AM136" i="63"/>
  <c r="P136" i="63"/>
  <c r="W136" i="63" s="1"/>
  <c r="AU136" i="63" l="1"/>
  <c r="AV136" i="63" s="1"/>
  <c r="N137" i="63"/>
  <c r="Q137" i="63" s="1"/>
  <c r="V137" i="63" s="1"/>
  <c r="AT136" i="63"/>
  <c r="U136" i="63"/>
  <c r="O137" i="63"/>
  <c r="AN137" i="63" l="1"/>
  <c r="AS137" i="63" s="1"/>
  <c r="M137" i="63"/>
  <c r="L137" i="63" s="1"/>
  <c r="Z137" i="63" s="1"/>
  <c r="P137" i="63"/>
  <c r="AM137" i="63" l="1"/>
  <c r="U137" i="63"/>
  <c r="W137" i="63"/>
  <c r="O138" i="63" l="1"/>
  <c r="AU137" i="63"/>
  <c r="AV137" i="63" s="1"/>
  <c r="N138" i="63"/>
  <c r="AT137" i="63"/>
  <c r="AN138" i="63" l="1"/>
  <c r="AS138" i="63" s="1"/>
  <c r="Q138" i="63"/>
  <c r="V138" i="63" s="1"/>
  <c r="M138" i="63"/>
  <c r="L138" i="63" s="1"/>
  <c r="P138" i="63" l="1"/>
  <c r="W138" i="63" s="1"/>
  <c r="Z138" i="63"/>
  <c r="AM138" i="63"/>
  <c r="U138" i="63" l="1"/>
  <c r="AT138" i="63"/>
  <c r="O139" i="63"/>
  <c r="AU138" i="63"/>
  <c r="AV138" i="63" s="1"/>
  <c r="N139" i="63"/>
  <c r="AN139" i="63" l="1"/>
  <c r="AS139" i="63" s="1"/>
  <c r="M139" i="63"/>
  <c r="L139" i="63" s="1"/>
  <c r="Q139" i="63"/>
  <c r="V139" i="63" s="1"/>
  <c r="Z139" i="63" l="1"/>
  <c r="AM139" i="63"/>
  <c r="P139" i="63"/>
  <c r="U139" i="63" l="1"/>
  <c r="W139" i="63"/>
  <c r="AU139" i="63" l="1"/>
  <c r="AV139" i="63" s="1"/>
  <c r="N140" i="63"/>
  <c r="O140" i="63"/>
  <c r="AT139" i="63"/>
  <c r="AN140" i="63" l="1"/>
  <c r="AS140" i="63" s="1"/>
  <c r="M140" i="63"/>
  <c r="L140" i="63" s="1"/>
  <c r="Q140" i="63"/>
  <c r="V140" i="63" s="1"/>
  <c r="Z140" i="63" l="1"/>
  <c r="AM140" i="63"/>
  <c r="P140" i="63"/>
  <c r="U140" i="63" s="1"/>
  <c r="W140" i="63" l="1"/>
  <c r="N141" i="63" s="1"/>
  <c r="AT140" i="63" l="1"/>
  <c r="O141" i="63"/>
  <c r="AN141" i="63" s="1"/>
  <c r="AS141" i="63" s="1"/>
  <c r="AU140" i="63"/>
  <c r="AV140" i="63" s="1"/>
  <c r="Q141" i="63"/>
  <c r="V141" i="63" s="1"/>
  <c r="M141" i="63"/>
  <c r="L141" i="63" s="1"/>
  <c r="Z141" i="63" l="1"/>
  <c r="AM141" i="63"/>
  <c r="P141" i="63"/>
  <c r="U141" i="63" l="1"/>
  <c r="W141" i="63"/>
  <c r="O142" i="63" l="1"/>
  <c r="AU141" i="63"/>
  <c r="AV141" i="63" s="1"/>
  <c r="AT141" i="63"/>
  <c r="N142" i="63"/>
  <c r="AN142" i="63" l="1"/>
  <c r="Q142" i="63"/>
  <c r="V142" i="63" s="1"/>
  <c r="M142" i="63"/>
  <c r="L142" i="63" s="1"/>
  <c r="Z142" i="63" s="1"/>
  <c r="AS142" i="63"/>
  <c r="AM142" i="63" l="1"/>
  <c r="P142" i="63"/>
  <c r="U142" i="63" s="1"/>
  <c r="W142" i="63" l="1"/>
  <c r="AT142" i="63" l="1"/>
  <c r="O143" i="63"/>
  <c r="N143" i="63"/>
  <c r="AU142" i="63"/>
  <c r="AV142" i="63" s="1"/>
  <c r="Q143" i="63"/>
  <c r="V143" i="63" s="1"/>
  <c r="M143" i="63"/>
  <c r="L143" i="63" s="1"/>
  <c r="Z143" i="63" s="1"/>
  <c r="AN143" i="63" l="1"/>
  <c r="AS143" i="63" s="1"/>
  <c r="AM143" i="63"/>
  <c r="P143" i="63"/>
  <c r="U143" i="63" l="1"/>
  <c r="W143" i="63"/>
  <c r="N144" i="63" l="1"/>
  <c r="O144" i="63"/>
  <c r="AU143" i="63"/>
  <c r="AV143" i="63" s="1"/>
  <c r="AT143" i="63"/>
  <c r="AN144" i="63" l="1"/>
  <c r="AS144" i="63" s="1"/>
  <c r="Q144" i="63"/>
  <c r="V144" i="63" s="1"/>
  <c r="M144" i="63"/>
  <c r="L144" i="63" s="1"/>
  <c r="Z144" i="63" l="1"/>
  <c r="AM144" i="63"/>
  <c r="P144" i="63"/>
  <c r="U144" i="63" l="1"/>
  <c r="W144" i="63"/>
  <c r="AU144" i="63" l="1"/>
  <c r="AV144" i="63" s="1"/>
  <c r="N145" i="63"/>
  <c r="AT144" i="63"/>
  <c r="O145" i="63"/>
  <c r="AN145" i="63" l="1"/>
  <c r="AS145" i="63" s="1"/>
  <c r="Q145" i="63"/>
  <c r="V145" i="63" s="1"/>
  <c r="M145" i="63"/>
  <c r="L145" i="63" s="1"/>
  <c r="Z145" i="63" l="1"/>
  <c r="AM145" i="63"/>
  <c r="P145" i="63"/>
  <c r="U145" i="63" l="1"/>
  <c r="W145" i="63"/>
  <c r="AT145" i="63" l="1"/>
  <c r="AU145" i="63"/>
  <c r="AV145" i="63" s="1"/>
  <c r="N146" i="63"/>
  <c r="O146" i="63"/>
  <c r="AN146" i="63" l="1"/>
  <c r="AS146" i="63" s="1"/>
  <c r="M146" i="63"/>
  <c r="L146" i="63" s="1"/>
  <c r="Q146" i="63"/>
  <c r="V146" i="63" s="1"/>
  <c r="Z146" i="63" l="1"/>
  <c r="AM146" i="63"/>
  <c r="P146" i="63"/>
  <c r="U146" i="63" l="1"/>
  <c r="W146" i="63"/>
  <c r="N147" i="63" l="1"/>
  <c r="O147" i="63"/>
  <c r="AU146" i="63"/>
  <c r="AV146" i="63" s="1"/>
  <c r="AT146" i="63"/>
  <c r="AN147" i="63" l="1"/>
  <c r="AS147" i="63" s="1"/>
  <c r="M147" i="63"/>
  <c r="L147" i="63" s="1"/>
  <c r="Q147" i="63"/>
  <c r="V147" i="63" s="1"/>
  <c r="Z147" i="63" l="1"/>
  <c r="AM147" i="63"/>
  <c r="P147" i="63"/>
  <c r="U147" i="63" l="1"/>
  <c r="W147" i="63"/>
  <c r="N148" i="63" l="1"/>
  <c r="AU147" i="63"/>
  <c r="AV147" i="63" s="1"/>
  <c r="AT147" i="63"/>
  <c r="O148" i="63"/>
  <c r="AN148" i="63" l="1"/>
  <c r="AS148" i="63" s="1"/>
  <c r="Q148" i="63"/>
  <c r="V148" i="63" s="1"/>
  <c r="M148" i="63"/>
  <c r="L148" i="63" s="1"/>
  <c r="Z148" i="63" l="1"/>
  <c r="AM148" i="63"/>
  <c r="P148" i="63"/>
  <c r="U148" i="63" l="1"/>
  <c r="W148" i="63"/>
  <c r="AU148" i="63" l="1"/>
  <c r="AV148" i="63" s="1"/>
  <c r="N149" i="63"/>
  <c r="O149" i="63"/>
  <c r="AT148" i="63"/>
  <c r="AN149" i="63" l="1"/>
  <c r="AS149" i="63" s="1"/>
  <c r="M149" i="63"/>
  <c r="L149" i="63" s="1"/>
  <c r="Q149" i="63"/>
  <c r="V149" i="63" s="1"/>
  <c r="Z149" i="63" l="1"/>
  <c r="AM149" i="63"/>
  <c r="P149" i="63"/>
  <c r="U149" i="63" l="1"/>
  <c r="W149" i="63"/>
  <c r="AT149" i="63" l="1"/>
  <c r="AU149" i="63"/>
  <c r="AV149" i="63" s="1"/>
  <c r="O150" i="63"/>
  <c r="N150" i="63"/>
  <c r="AN150" i="63" l="1"/>
  <c r="AS150" i="63" s="1"/>
  <c r="Q150" i="63"/>
  <c r="V150" i="63" s="1"/>
  <c r="M150" i="63"/>
  <c r="L150" i="63" s="1"/>
  <c r="P150" i="63" l="1"/>
  <c r="U150" i="63" s="1"/>
  <c r="Z150" i="63"/>
  <c r="AM150" i="63"/>
  <c r="W150" i="63" l="1"/>
  <c r="AT150" i="63" s="1"/>
  <c r="O151" i="63"/>
  <c r="AU150" i="63"/>
  <c r="AV150" i="63" s="1"/>
  <c r="N151" i="63"/>
  <c r="AN151" i="63" l="1"/>
  <c r="AS151" i="63" s="1"/>
  <c r="Q151" i="63"/>
  <c r="V151" i="63" s="1"/>
  <c r="M151" i="63"/>
  <c r="L151" i="63" s="1"/>
  <c r="Z151" i="63" l="1"/>
  <c r="AM151" i="63"/>
  <c r="P151" i="63"/>
  <c r="W151" i="63" s="1"/>
  <c r="U151" i="63" l="1"/>
  <c r="N152" i="63"/>
  <c r="AU151" i="63"/>
  <c r="AV151" i="63" s="1"/>
  <c r="O152" i="63"/>
  <c r="AT151" i="63"/>
  <c r="AN152" i="63" l="1"/>
  <c r="AS152" i="63" s="1"/>
  <c r="M152" i="63"/>
  <c r="L152" i="63" s="1"/>
  <c r="Q152" i="63"/>
  <c r="V152" i="63" s="1"/>
  <c r="Z152" i="63" l="1"/>
  <c r="AM152" i="63"/>
  <c r="P152" i="63"/>
  <c r="W152" i="63" l="1"/>
  <c r="U152" i="63"/>
  <c r="AU152" i="63" l="1"/>
  <c r="AV152" i="63" s="1"/>
  <c r="AT152" i="63"/>
  <c r="N153" i="63"/>
  <c r="O153" i="63"/>
  <c r="AN153" i="63" l="1"/>
  <c r="Q153" i="63"/>
  <c r="V153" i="63" s="1"/>
  <c r="M153" i="63"/>
  <c r="L153" i="63" s="1"/>
  <c r="AS153" i="63"/>
  <c r="Z153" i="63" l="1"/>
  <c r="P153" i="63"/>
  <c r="W153" i="63" s="1"/>
  <c r="AM153" i="63"/>
  <c r="U153" i="63" l="1"/>
  <c r="AU153" i="63"/>
  <c r="AV153" i="63" s="1"/>
  <c r="AT153" i="63"/>
  <c r="N154" i="63"/>
  <c r="O154" i="63"/>
  <c r="AN154" i="63" l="1"/>
  <c r="AS154" i="63" s="1"/>
  <c r="M154" i="63"/>
  <c r="L154" i="63" s="1"/>
  <c r="Z154" i="63" s="1"/>
  <c r="Q154" i="63"/>
  <c r="V154" i="63" s="1"/>
  <c r="AM154" i="63" l="1"/>
  <c r="P154" i="63"/>
  <c r="U154" i="63" l="1"/>
  <c r="W154" i="63"/>
  <c r="N155" i="63" l="1"/>
  <c r="AU154" i="63"/>
  <c r="AV154" i="63" s="1"/>
  <c r="O155" i="63"/>
  <c r="AT154" i="63"/>
  <c r="AN155" i="63" l="1"/>
  <c r="AS155" i="63" s="1"/>
  <c r="Q155" i="63"/>
  <c r="V155" i="63" s="1"/>
  <c r="M155" i="63"/>
  <c r="L155" i="63" s="1"/>
  <c r="Z155" i="63" s="1"/>
  <c r="AM155" i="63" l="1"/>
  <c r="P155" i="63"/>
  <c r="U155" i="63" l="1"/>
  <c r="W155" i="63"/>
  <c r="O156" i="63" l="1"/>
  <c r="AU155" i="63"/>
  <c r="AV155" i="63" s="1"/>
  <c r="AT155" i="63"/>
  <c r="N156" i="63"/>
  <c r="AN156" i="63" l="1"/>
  <c r="AS156" i="63" s="1"/>
  <c r="M156" i="63"/>
  <c r="L156" i="63" s="1"/>
  <c r="Q156" i="63"/>
  <c r="V156" i="63" s="1"/>
  <c r="Z156" i="63" l="1"/>
  <c r="AM156" i="63"/>
  <c r="P156" i="63"/>
  <c r="W156" i="63" l="1"/>
  <c r="O157" i="63" s="1"/>
  <c r="U156" i="63"/>
  <c r="AN157" i="63" l="1"/>
  <c r="N157" i="63"/>
  <c r="M157" i="63" s="1"/>
  <c r="L157" i="63" s="1"/>
  <c r="AU156" i="63"/>
  <c r="AV156" i="63" s="1"/>
  <c r="AT156" i="63"/>
  <c r="AS157" i="63"/>
  <c r="Q157" i="63" l="1"/>
  <c r="V157" i="63" s="1"/>
  <c r="Z157" i="63"/>
  <c r="AM157" i="63"/>
  <c r="P157" i="63" l="1"/>
  <c r="W157" i="63" s="1"/>
  <c r="N158" i="63" s="1"/>
  <c r="O158" i="63" l="1"/>
  <c r="AU157" i="63"/>
  <c r="AV157" i="63" s="1"/>
  <c r="AT157" i="63"/>
  <c r="U157" i="63"/>
  <c r="Q158" i="63"/>
  <c r="V158" i="63" s="1"/>
  <c r="M158" i="63"/>
  <c r="L158" i="63" s="1"/>
  <c r="AN158" i="63" l="1"/>
  <c r="AS158" i="63" s="1"/>
  <c r="Z158" i="63"/>
  <c r="AM158" i="63"/>
  <c r="P158" i="63"/>
  <c r="U158" i="63" l="1"/>
  <c r="W158" i="63"/>
  <c r="AU158" i="63" l="1"/>
  <c r="AV158" i="63" s="1"/>
  <c r="N159" i="63"/>
  <c r="O159" i="63"/>
  <c r="AT158" i="63"/>
  <c r="AN159" i="63" l="1"/>
  <c r="AS159" i="63" s="1"/>
  <c r="Q159" i="63"/>
  <c r="V159" i="63" s="1"/>
  <c r="M159" i="63"/>
  <c r="L159" i="63" s="1"/>
  <c r="Z159" i="63" l="1"/>
  <c r="AM159" i="63"/>
  <c r="P159" i="63"/>
  <c r="U159" i="63" l="1"/>
  <c r="W159" i="63"/>
  <c r="N160" i="63" l="1"/>
  <c r="AU159" i="63"/>
  <c r="AV159" i="63" s="1"/>
  <c r="AT159" i="63"/>
  <c r="O160" i="63"/>
  <c r="AN160" i="63" l="1"/>
  <c r="AS160" i="63" s="1"/>
  <c r="Q160" i="63"/>
  <c r="V160" i="63" s="1"/>
  <c r="M160" i="63"/>
  <c r="L160" i="63" s="1"/>
  <c r="Z160" i="63" l="1"/>
  <c r="AM160" i="63"/>
  <c r="P160" i="63"/>
  <c r="U160" i="63" l="1"/>
  <c r="W160" i="63"/>
  <c r="O161" i="63" l="1"/>
  <c r="AU160" i="63"/>
  <c r="AV160" i="63" s="1"/>
  <c r="AT160" i="63"/>
  <c r="N161" i="63"/>
  <c r="AN161" i="63" l="1"/>
  <c r="M161" i="63"/>
  <c r="L161" i="63" s="1"/>
  <c r="Q161" i="63"/>
  <c r="V161" i="63" s="1"/>
  <c r="AS161" i="63"/>
  <c r="Z161" i="63" l="1"/>
  <c r="AM161" i="63"/>
  <c r="P161" i="63"/>
  <c r="U161" i="63" s="1"/>
  <c r="W161" i="63" l="1"/>
  <c r="AU161" i="63" s="1"/>
  <c r="AV161" i="63" s="1"/>
  <c r="O162" i="63"/>
  <c r="N162" i="63"/>
  <c r="AT161" i="63" l="1"/>
  <c r="AN162" i="63"/>
  <c r="AS162" i="63" s="1"/>
  <c r="M162" i="63"/>
  <c r="L162" i="63" s="1"/>
  <c r="Q162" i="63"/>
  <c r="V162" i="63" s="1"/>
  <c r="Z162" i="63" l="1"/>
  <c r="AM162" i="63"/>
  <c r="P162" i="63"/>
  <c r="U162" i="63" s="1"/>
  <c r="W162" i="63" l="1"/>
  <c r="N163" i="63" l="1"/>
  <c r="M163" i="63" s="1"/>
  <c r="L163" i="63" s="1"/>
  <c r="O163" i="63"/>
  <c r="AU162" i="63"/>
  <c r="AV162" i="63" s="1"/>
  <c r="AT162" i="63"/>
  <c r="AN163" i="63" l="1"/>
  <c r="AS163" i="63" s="1"/>
  <c r="Q163" i="63"/>
  <c r="V163" i="63" s="1"/>
  <c r="Z163" i="63"/>
  <c r="AM163" i="63"/>
  <c r="P163" i="63" l="1"/>
  <c r="U163" i="63" s="1"/>
  <c r="W163" i="63" l="1"/>
  <c r="AU163" i="63" s="1"/>
  <c r="AV163" i="63" s="1"/>
  <c r="O164" i="63" l="1"/>
  <c r="AN164" i="63" s="1"/>
  <c r="AS164" i="63" s="1"/>
  <c r="N164" i="63"/>
  <c r="M164" i="63" s="1"/>
  <c r="L164" i="63" s="1"/>
  <c r="AT163" i="63"/>
  <c r="Q164" i="63" l="1"/>
  <c r="V164" i="63" s="1"/>
  <c r="Z164" i="63"/>
  <c r="AM164" i="63"/>
  <c r="P164" i="63" l="1"/>
  <c r="U164" i="63" s="1"/>
  <c r="W164" i="63" l="1"/>
  <c r="AU164" i="63"/>
  <c r="AV164" i="63" s="1"/>
  <c r="AT164" i="63"/>
  <c r="N165" i="63"/>
  <c r="O165" i="63"/>
  <c r="AN165" i="63" l="1"/>
  <c r="AS165" i="63" s="1"/>
  <c r="M165" i="63"/>
  <c r="L165" i="63" s="1"/>
  <c r="Q165" i="63"/>
  <c r="V165" i="63" s="1"/>
  <c r="Z165" i="63" l="1"/>
  <c r="AM165" i="63"/>
  <c r="P165" i="63"/>
  <c r="U165" i="63" l="1"/>
  <c r="W165" i="63"/>
  <c r="AT165" i="63" l="1"/>
  <c r="O166" i="63"/>
  <c r="AU165" i="63"/>
  <c r="AV165" i="63" s="1"/>
  <c r="N166" i="63"/>
  <c r="AN166" i="63" l="1"/>
  <c r="AS166" i="63" s="1"/>
  <c r="Q166" i="63"/>
  <c r="V166" i="63" s="1"/>
  <c r="M166" i="63"/>
  <c r="L166" i="63" s="1"/>
  <c r="Z166" i="63" s="1"/>
  <c r="P166" i="63" l="1"/>
  <c r="U166" i="63" s="1"/>
  <c r="AM166" i="63"/>
  <c r="W166" i="63" l="1"/>
  <c r="N167" i="63" s="1"/>
  <c r="AT166" i="63"/>
  <c r="AU166" i="63"/>
  <c r="AV166" i="63" s="1"/>
  <c r="O167" i="63" l="1"/>
  <c r="AN167" i="63" s="1"/>
  <c r="AS167" i="63" s="1"/>
  <c r="Q167" i="63"/>
  <c r="V167" i="63" s="1"/>
  <c r="M167" i="63"/>
  <c r="L167" i="63" s="1"/>
  <c r="Z167" i="63" l="1"/>
  <c r="AM167" i="63"/>
  <c r="P167" i="63"/>
  <c r="U167" i="63" s="1"/>
  <c r="W167" i="63" l="1"/>
  <c r="N168" i="63" s="1"/>
  <c r="AT167" i="63" l="1"/>
  <c r="O168" i="63"/>
  <c r="AN168" i="63" s="1"/>
  <c r="AS168" i="63" s="1"/>
  <c r="AU167" i="63"/>
  <c r="AV167" i="63" s="1"/>
  <c r="M168" i="63"/>
  <c r="L168" i="63" s="1"/>
  <c r="Q168" i="63"/>
  <c r="V168" i="63" s="1"/>
  <c r="Z168" i="63" l="1"/>
  <c r="AM168" i="63"/>
  <c r="P168" i="63"/>
  <c r="U168" i="63" l="1"/>
  <c r="W168" i="63"/>
  <c r="AU168" i="63" l="1"/>
  <c r="AV168" i="63" s="1"/>
  <c r="AT168" i="63"/>
  <c r="O169" i="63"/>
  <c r="N169" i="63"/>
  <c r="AN169" i="63" l="1"/>
  <c r="AS169" i="63" s="1"/>
  <c r="M169" i="63"/>
  <c r="L169" i="63" s="1"/>
  <c r="Q169" i="63"/>
  <c r="V169" i="63" s="1"/>
  <c r="Z169" i="63" l="1"/>
  <c r="AM169" i="63"/>
  <c r="P169" i="63"/>
  <c r="U169" i="63" s="1"/>
  <c r="W169" i="63" l="1"/>
  <c r="AT169" i="63" s="1"/>
  <c r="AU169" i="63" l="1"/>
  <c r="AV169" i="63" s="1"/>
  <c r="N170" i="63"/>
  <c r="M170" i="63" s="1"/>
  <c r="L170" i="63" s="1"/>
  <c r="O170" i="63"/>
  <c r="AN170" i="63" s="1"/>
  <c r="AS170" i="63" s="1"/>
  <c r="Q170" i="63"/>
  <c r="V170" i="63" s="1"/>
  <c r="Z170" i="63" l="1"/>
  <c r="AM170" i="63"/>
  <c r="P170" i="63"/>
  <c r="U170" i="63" s="1"/>
  <c r="W170" i="63" l="1"/>
  <c r="AU170" i="63" s="1"/>
  <c r="AV170" i="63" s="1"/>
  <c r="O171" i="63" l="1"/>
  <c r="AN171" i="63" s="1"/>
  <c r="AS171" i="63" s="1"/>
  <c r="N171" i="63"/>
  <c r="M171" i="63" s="1"/>
  <c r="L171" i="63" s="1"/>
  <c r="AT170" i="63"/>
  <c r="Q171" i="63"/>
  <c r="V171" i="63" s="1"/>
  <c r="Z171" i="63" l="1"/>
  <c r="AM171" i="63"/>
  <c r="P171" i="63"/>
  <c r="U171" i="63" l="1"/>
  <c r="W171" i="63"/>
  <c r="N172" i="63" l="1"/>
  <c r="O172" i="63"/>
  <c r="AT171" i="63"/>
  <c r="AU171" i="63"/>
  <c r="AV171" i="63" s="1"/>
  <c r="AN172" i="63" l="1"/>
  <c r="AS172" i="63" s="1"/>
  <c r="Q172" i="63"/>
  <c r="V172" i="63" s="1"/>
  <c r="M172" i="63"/>
  <c r="L172" i="63" s="1"/>
  <c r="Z172" i="63" l="1"/>
  <c r="AM172" i="63"/>
  <c r="P172" i="63"/>
  <c r="U172" i="63" l="1"/>
  <c r="W172" i="63"/>
  <c r="O173" i="63" l="1"/>
  <c r="AT172" i="63"/>
  <c r="AU172" i="63"/>
  <c r="AV172" i="63" s="1"/>
  <c r="N173" i="63"/>
  <c r="AN173" i="63" l="1"/>
  <c r="AS173" i="63" s="1"/>
  <c r="Q173" i="63"/>
  <c r="V173" i="63" s="1"/>
  <c r="M173" i="63"/>
  <c r="L173" i="63" s="1"/>
  <c r="Z173" i="63" l="1"/>
  <c r="P173" i="63"/>
  <c r="U173" i="63" s="1"/>
  <c r="AM173" i="63"/>
  <c r="W173" i="63"/>
  <c r="AT173" i="63" l="1"/>
  <c r="O174" i="63"/>
  <c r="N174" i="63"/>
  <c r="AU173" i="63"/>
  <c r="AV173" i="63" s="1"/>
  <c r="AN174" i="63" l="1"/>
  <c r="AS174" i="63" s="1"/>
  <c r="M174" i="63"/>
  <c r="L174" i="63" s="1"/>
  <c r="Q174" i="63"/>
  <c r="V174" i="63" s="1"/>
  <c r="Z174" i="63" l="1"/>
  <c r="AM174" i="63"/>
  <c r="P174" i="63"/>
  <c r="W174" i="63" s="1"/>
  <c r="U174" i="63" l="1"/>
  <c r="N175" i="63"/>
  <c r="AT174" i="63"/>
  <c r="AU174" i="63"/>
  <c r="AV174" i="63" s="1"/>
  <c r="O175" i="63"/>
  <c r="AN175" i="63" l="1"/>
  <c r="AS175" i="63" s="1"/>
  <c r="M175" i="63"/>
  <c r="L175" i="63" s="1"/>
  <c r="Q175" i="63"/>
  <c r="V175" i="63" s="1"/>
  <c r="Z175" i="63" l="1"/>
  <c r="AM175" i="63"/>
  <c r="P175" i="63"/>
  <c r="U175" i="63" l="1"/>
  <c r="W175" i="63"/>
  <c r="N176" i="63" l="1"/>
  <c r="AU175" i="63"/>
  <c r="AV175" i="63" s="1"/>
  <c r="AT175" i="63"/>
  <c r="O176" i="63"/>
  <c r="AN176" i="63" l="1"/>
  <c r="AS176" i="63" s="1"/>
  <c r="Q176" i="63"/>
  <c r="V176" i="63" s="1"/>
  <c r="M176" i="63"/>
  <c r="L176" i="63" s="1"/>
  <c r="Z176" i="63" l="1"/>
  <c r="AM176" i="63"/>
  <c r="P176" i="63"/>
  <c r="U176" i="63" l="1"/>
  <c r="W176" i="63"/>
  <c r="O177" i="63" l="1"/>
  <c r="AU176" i="63"/>
  <c r="AV176" i="63" s="1"/>
  <c r="N177" i="63"/>
  <c r="AT176" i="63"/>
  <c r="AN177" i="63" l="1"/>
  <c r="AS177" i="63" s="1"/>
  <c r="M177" i="63"/>
  <c r="L177" i="63" s="1"/>
  <c r="Q177" i="63"/>
  <c r="V177" i="63" s="1"/>
  <c r="Z177" i="63" l="1"/>
  <c r="AM177" i="63"/>
  <c r="P177" i="63"/>
  <c r="U177" i="63" s="1"/>
  <c r="W177" i="63" l="1"/>
  <c r="N178" i="63" s="1"/>
  <c r="O178" i="63" l="1"/>
  <c r="AN178" i="63" s="1"/>
  <c r="AS178" i="63" s="1"/>
  <c r="AU177" i="63"/>
  <c r="AV177" i="63" s="1"/>
  <c r="AT177" i="63"/>
  <c r="M178" i="63"/>
  <c r="L178" i="63" s="1"/>
  <c r="Z178" i="63" s="1"/>
  <c r="Q178" i="63"/>
  <c r="V178" i="63" s="1"/>
  <c r="AM178" i="63" l="1"/>
  <c r="P178" i="63"/>
  <c r="U178" i="63" l="1"/>
  <c r="W178" i="63"/>
  <c r="N179" i="63" l="1"/>
  <c r="AU178" i="63"/>
  <c r="AV178" i="63" s="1"/>
  <c r="O179" i="63"/>
  <c r="AT178" i="63"/>
  <c r="AN179" i="63" l="1"/>
  <c r="AS179" i="63" s="1"/>
  <c r="Q179" i="63"/>
  <c r="V179" i="63" s="1"/>
  <c r="M179" i="63"/>
  <c r="L179" i="63" s="1"/>
  <c r="Z179" i="63" s="1"/>
  <c r="AM179" i="63" l="1"/>
  <c r="P179" i="63"/>
  <c r="U179" i="63" l="1"/>
  <c r="W179" i="63"/>
  <c r="AU179" i="63" l="1"/>
  <c r="AV179" i="63" s="1"/>
  <c r="N180" i="63"/>
  <c r="AT179" i="63"/>
  <c r="O180" i="63"/>
  <c r="AN180" i="63" l="1"/>
  <c r="AS180" i="63" s="1"/>
  <c r="M180" i="63"/>
  <c r="L180" i="63" s="1"/>
  <c r="Q180" i="63"/>
  <c r="V180" i="63" s="1"/>
  <c r="Z180" i="63" l="1"/>
  <c r="AM180" i="63"/>
  <c r="P180" i="63"/>
  <c r="W180" i="63" l="1"/>
  <c r="U180" i="63"/>
  <c r="N181" i="63" l="1"/>
  <c r="AU180" i="63"/>
  <c r="AV180" i="63" s="1"/>
  <c r="O181" i="63"/>
  <c r="AT180" i="63"/>
  <c r="AN181" i="63" l="1"/>
  <c r="AS181" i="63" s="1"/>
  <c r="M181" i="63"/>
  <c r="L181" i="63" s="1"/>
  <c r="Q181" i="63"/>
  <c r="V181" i="63" s="1"/>
  <c r="Z181" i="63" l="1"/>
  <c r="AM181" i="63"/>
  <c r="P181" i="63"/>
  <c r="U181" i="63" l="1"/>
  <c r="W181" i="63"/>
  <c r="AU181" i="63" l="1"/>
  <c r="AV181" i="63" s="1"/>
  <c r="AT181" i="63"/>
  <c r="N182" i="63"/>
  <c r="O182" i="63"/>
  <c r="AN182" i="63" l="1"/>
  <c r="AS182" i="63"/>
  <c r="Q182" i="63"/>
  <c r="V182" i="63" s="1"/>
  <c r="M182" i="63"/>
  <c r="L182" i="63" s="1"/>
  <c r="Z182" i="63" l="1"/>
  <c r="AM182" i="63"/>
  <c r="P182" i="63"/>
  <c r="W182" i="63" l="1"/>
  <c r="U182" i="63"/>
  <c r="N183" i="63" l="1"/>
  <c r="AU182" i="63"/>
  <c r="AV182" i="63" s="1"/>
  <c r="AT182" i="63"/>
  <c r="O183" i="63"/>
  <c r="AN183" i="63" l="1"/>
  <c r="AS183" i="63" s="1"/>
  <c r="M183" i="63"/>
  <c r="L183" i="63" s="1"/>
  <c r="Q183" i="63"/>
  <c r="V183" i="63" s="1"/>
  <c r="Z183" i="63" l="1"/>
  <c r="AM183" i="63"/>
  <c r="P183" i="63"/>
  <c r="U183" i="63" l="1"/>
  <c r="W183" i="63"/>
  <c r="O184" i="63" l="1"/>
  <c r="N184" i="63"/>
  <c r="AU183" i="63"/>
  <c r="AV183" i="63" s="1"/>
  <c r="AT183" i="63"/>
  <c r="AN184" i="63" l="1"/>
  <c r="AS184" i="63" s="1"/>
  <c r="M184" i="63"/>
  <c r="L184" i="63" s="1"/>
  <c r="Q184" i="63"/>
  <c r="V184" i="63" s="1"/>
  <c r="Z184" i="63" l="1"/>
  <c r="AM184" i="63"/>
  <c r="P184" i="63"/>
  <c r="U184" i="63" l="1"/>
  <c r="W184" i="63"/>
  <c r="AT184" i="63" l="1"/>
  <c r="N185" i="63"/>
  <c r="AU184" i="63"/>
  <c r="AV184" i="63" s="1"/>
  <c r="O185" i="63"/>
  <c r="AN185" i="63" l="1"/>
  <c r="AS185" i="63" s="1"/>
  <c r="M185" i="63"/>
  <c r="L185" i="63" s="1"/>
  <c r="Q185" i="63"/>
  <c r="V185" i="63" s="1"/>
  <c r="Z185" i="63" l="1"/>
  <c r="AM185" i="63"/>
  <c r="P185" i="63"/>
  <c r="U185" i="63" l="1"/>
  <c r="W185" i="63"/>
  <c r="N186" i="63" l="1"/>
  <c r="AT185" i="63"/>
  <c r="AU185" i="63"/>
  <c r="AV185" i="63" s="1"/>
  <c r="O186" i="63"/>
  <c r="AN186" i="63" l="1"/>
  <c r="AS186" i="63" s="1"/>
  <c r="Q186" i="63"/>
  <c r="V186" i="63" s="1"/>
  <c r="M186" i="63"/>
  <c r="L186" i="63" s="1"/>
  <c r="Z186" i="63" l="1"/>
  <c r="AM186" i="63"/>
  <c r="P186" i="63"/>
  <c r="W186" i="63" l="1"/>
  <c r="U186" i="63"/>
  <c r="N187" i="63" l="1"/>
  <c r="AU186" i="63"/>
  <c r="AV186" i="63" s="1"/>
  <c r="O187" i="63"/>
  <c r="AT186" i="63"/>
  <c r="AN187" i="63" l="1"/>
  <c r="AS187" i="63" s="1"/>
  <c r="M187" i="63"/>
  <c r="L187" i="63" s="1"/>
  <c r="Q187" i="63"/>
  <c r="V187" i="63" s="1"/>
  <c r="Z187" i="63" l="1"/>
  <c r="AM187" i="63"/>
  <c r="P187" i="63"/>
  <c r="U187" i="63" l="1"/>
  <c r="W187" i="63"/>
  <c r="AU187" i="63" l="1"/>
  <c r="AV187" i="63" s="1"/>
  <c r="O188" i="63"/>
  <c r="N188" i="63"/>
  <c r="AT187" i="63"/>
  <c r="AN188" i="63" l="1"/>
  <c r="AS188" i="63" s="1"/>
  <c r="M188" i="63"/>
  <c r="L188" i="63" s="1"/>
  <c r="Q188" i="63"/>
  <c r="V188" i="63" s="1"/>
  <c r="Z188" i="63" l="1"/>
  <c r="AM188" i="63"/>
  <c r="P188" i="63"/>
  <c r="W188" i="63" s="1"/>
  <c r="U188" i="63" l="1"/>
  <c r="AT188" i="63"/>
  <c r="N189" i="63"/>
  <c r="AU188" i="63"/>
  <c r="AV188" i="63" s="1"/>
  <c r="O189" i="63"/>
  <c r="AN189" i="63" l="1"/>
  <c r="AS189" i="63" s="1"/>
  <c r="M189" i="63"/>
  <c r="L189" i="63" s="1"/>
  <c r="Q189" i="63"/>
  <c r="V189" i="63" s="1"/>
  <c r="Z189" i="63" l="1"/>
  <c r="AM189" i="63"/>
  <c r="P189" i="63"/>
  <c r="U189" i="63" l="1"/>
  <c r="W189" i="63"/>
  <c r="O190" i="63" l="1"/>
  <c r="AU189" i="63"/>
  <c r="AV189" i="63" s="1"/>
  <c r="N190" i="63"/>
  <c r="AT189" i="63"/>
  <c r="AN190" i="63" l="1"/>
  <c r="AS190" i="63" s="1"/>
  <c r="Q190" i="63"/>
  <c r="V190" i="63" s="1"/>
  <c r="M190" i="63"/>
  <c r="L190" i="63" s="1"/>
  <c r="Z190" i="63" s="1"/>
  <c r="P190" i="63" l="1"/>
  <c r="U190" i="63" s="1"/>
  <c r="AM190" i="63"/>
  <c r="W190" i="63" l="1"/>
  <c r="N191" i="63" l="1"/>
  <c r="M191" i="63" s="1"/>
  <c r="L191" i="63" s="1"/>
  <c r="Z191" i="63" s="1"/>
  <c r="AU190" i="63"/>
  <c r="AV190" i="63" s="1"/>
  <c r="AT190" i="63"/>
  <c r="O191" i="63"/>
  <c r="Q191" i="63" l="1"/>
  <c r="V191" i="63" s="1"/>
  <c r="AN191" i="63"/>
  <c r="AS191" i="63" s="1"/>
  <c r="AM191" i="63"/>
  <c r="P191" i="63" l="1"/>
  <c r="U191" i="63" s="1"/>
  <c r="W191" i="63" l="1"/>
  <c r="AT191" i="63" s="1"/>
  <c r="AU191" i="63" l="1"/>
  <c r="AV191" i="63" s="1"/>
  <c r="N192" i="63"/>
  <c r="O192" i="63"/>
  <c r="AN192" i="63" s="1"/>
  <c r="AS192" i="63" s="1"/>
  <c r="M192" i="63" l="1"/>
  <c r="L192" i="63" s="1"/>
  <c r="Q192" i="63"/>
  <c r="V192" i="63" l="1"/>
  <c r="P192" i="63"/>
  <c r="Z192" i="63"/>
  <c r="AM192" i="63"/>
  <c r="U192" i="63" l="1"/>
  <c r="W192" i="63"/>
  <c r="N193" i="63" l="1"/>
  <c r="AU192" i="63"/>
  <c r="AV192" i="63" s="1"/>
  <c r="AT192" i="63"/>
  <c r="O193" i="63"/>
  <c r="AN193" i="63" s="1"/>
  <c r="AS193" i="63" s="1"/>
  <c r="M193" i="63" l="1"/>
  <c r="L193" i="63" s="1"/>
  <c r="Q193" i="63"/>
  <c r="V193" i="63" l="1"/>
  <c r="P193" i="63"/>
  <c r="Z193" i="63"/>
  <c r="AM193" i="63"/>
  <c r="U193" i="63" l="1"/>
  <c r="W193" i="63"/>
  <c r="N194" i="63" l="1"/>
  <c r="O194" i="63"/>
  <c r="AU193" i="63"/>
  <c r="AV193" i="63" s="1"/>
  <c r="AT193" i="63"/>
  <c r="Q194" i="63" l="1"/>
  <c r="V194" i="63" s="1"/>
  <c r="M194" i="63"/>
  <c r="L194" i="63" s="1"/>
  <c r="AN194" i="63"/>
  <c r="AS194" i="63" s="1"/>
  <c r="P194" i="63" l="1"/>
  <c r="W194" i="63" s="1"/>
  <c r="U194" i="63"/>
  <c r="Z194" i="63"/>
  <c r="AM194" i="63"/>
  <c r="O195" i="63" l="1"/>
  <c r="AU194" i="63"/>
  <c r="AV194" i="63" s="1"/>
  <c r="N195" i="63"/>
  <c r="AT194" i="63"/>
  <c r="Q195" i="63" l="1"/>
  <c r="V195" i="63" s="1"/>
  <c r="M195" i="63"/>
  <c r="L195" i="63" s="1"/>
  <c r="AN195" i="63"/>
  <c r="AS195" i="63" s="1"/>
  <c r="P195" i="63" l="1"/>
  <c r="U195" i="63" s="1"/>
  <c r="Z195" i="63"/>
  <c r="AM195" i="63"/>
  <c r="W195" i="63" l="1"/>
  <c r="N196" i="63"/>
  <c r="AU195" i="63"/>
  <c r="AV195" i="63" s="1"/>
  <c r="O196" i="63"/>
  <c r="AT195" i="63"/>
  <c r="AN196" i="63" l="1"/>
  <c r="AS196" i="63" s="1"/>
  <c r="M196" i="63"/>
  <c r="L196" i="63" s="1"/>
  <c r="Q196" i="63"/>
  <c r="V196" i="63" s="1"/>
  <c r="AM196" i="63" l="1"/>
  <c r="Z196" i="63"/>
  <c r="P196" i="63"/>
  <c r="U196" i="63" l="1"/>
  <c r="W196" i="63"/>
  <c r="O197" i="63" l="1"/>
  <c r="N197" i="63"/>
  <c r="AU196" i="63"/>
  <c r="AV196" i="63" s="1"/>
  <c r="AT196" i="63"/>
  <c r="M197" i="63" l="1"/>
  <c r="L197" i="63" s="1"/>
  <c r="Q197" i="63"/>
  <c r="V197" i="63" s="1"/>
  <c r="AN197" i="63"/>
  <c r="AS197" i="63" s="1"/>
  <c r="P197" i="63" l="1"/>
  <c r="U197" i="63" s="1"/>
  <c r="Z197" i="63"/>
  <c r="AM197" i="63"/>
  <c r="W197" i="63" l="1"/>
  <c r="AT197" i="63"/>
  <c r="N198" i="63"/>
  <c r="AU197" i="63"/>
  <c r="AV197" i="63" s="1"/>
  <c r="O198" i="63"/>
  <c r="Q198" i="63" l="1"/>
  <c r="V198" i="63" s="1"/>
  <c r="M198" i="63"/>
  <c r="L198" i="63" s="1"/>
  <c r="AN198" i="63"/>
  <c r="AS198" i="63" s="1"/>
  <c r="P198" i="63"/>
  <c r="W198" i="63" l="1"/>
  <c r="U198" i="63"/>
  <c r="AM198" i="63"/>
  <c r="Z198" i="63"/>
  <c r="AU198" i="63" l="1"/>
  <c r="AV198" i="63" s="1"/>
  <c r="AT198" i="63"/>
  <c r="N199" i="63"/>
  <c r="O199" i="63"/>
  <c r="AN199" i="63" l="1"/>
  <c r="AS199" i="63" s="1"/>
  <c r="Q199" i="63"/>
  <c r="V199" i="63" s="1"/>
  <c r="M199" i="63"/>
  <c r="L199" i="63" s="1"/>
  <c r="P199" i="63" l="1"/>
  <c r="U199" i="63" s="1"/>
  <c r="AM199" i="63"/>
  <c r="Z199" i="63"/>
  <c r="W199" i="63" l="1"/>
  <c r="AU199" i="63" s="1"/>
  <c r="AV199" i="63" s="1"/>
  <c r="O200" i="63"/>
  <c r="AT199" i="63" l="1"/>
  <c r="N200" i="63"/>
  <c r="Q200" i="63" s="1"/>
  <c r="M200" i="63"/>
  <c r="L200" i="63" s="1"/>
  <c r="AN200" i="63"/>
  <c r="AS200" i="63" s="1"/>
  <c r="V200" i="63" l="1"/>
  <c r="P200" i="63"/>
  <c r="U200" i="63" s="1"/>
  <c r="W200" i="63"/>
  <c r="AM200" i="63"/>
  <c r="Z200" i="63"/>
  <c r="O201" i="63" l="1"/>
  <c r="AT200" i="63"/>
  <c r="AU200" i="63"/>
  <c r="AV200" i="63" s="1"/>
  <c r="N201" i="63"/>
  <c r="M201" i="63" l="1"/>
  <c r="L201" i="63" s="1"/>
  <c r="Q201" i="63"/>
  <c r="V201" i="63" s="1"/>
  <c r="AN201" i="63"/>
  <c r="AS201" i="63" s="1"/>
  <c r="P201" i="63" l="1"/>
  <c r="U201" i="63" s="1"/>
  <c r="Z201" i="63"/>
  <c r="AM201" i="63"/>
  <c r="W201" i="63" l="1"/>
  <c r="AT201" i="63" s="1"/>
  <c r="O202" i="63"/>
  <c r="N202" i="63"/>
  <c r="AU201" i="63" l="1"/>
  <c r="AV201" i="63" s="1"/>
  <c r="M202" i="63"/>
  <c r="L202" i="63" s="1"/>
  <c r="Q202" i="63"/>
  <c r="V202" i="63" s="1"/>
  <c r="AN202" i="63"/>
  <c r="AS202" i="63" s="1"/>
  <c r="P202" i="63" l="1"/>
  <c r="U202" i="63" s="1"/>
  <c r="Z202" i="63"/>
  <c r="AM202" i="63"/>
  <c r="W202" i="63" l="1"/>
  <c r="AT202" i="63"/>
  <c r="O203" i="63"/>
  <c r="AU202" i="63"/>
  <c r="AV202" i="63" s="1"/>
  <c r="N203" i="63"/>
  <c r="M203" i="63" l="1"/>
  <c r="L203" i="63" s="1"/>
  <c r="Q203" i="63"/>
  <c r="V203" i="63" s="1"/>
  <c r="AN203" i="63"/>
  <c r="AS203" i="63" s="1"/>
  <c r="P203" i="63" l="1"/>
  <c r="U203" i="63" s="1"/>
  <c r="Z203" i="63"/>
  <c r="AM203" i="63"/>
  <c r="W203" i="63" l="1"/>
  <c r="AT203" i="63" s="1"/>
  <c r="O204" i="63"/>
  <c r="AN204" i="63" s="1"/>
  <c r="AS204" i="63" s="1"/>
  <c r="AU203" i="63" l="1"/>
  <c r="AV203" i="63" s="1"/>
  <c r="N204" i="63"/>
  <c r="Q204" i="63"/>
  <c r="M204" i="63"/>
  <c r="L204" i="63" s="1"/>
  <c r="Z204" i="63" l="1"/>
  <c r="AM204" i="63"/>
  <c r="V204" i="63"/>
  <c r="P204" i="63"/>
  <c r="W204" i="63" l="1"/>
  <c r="U204" i="63"/>
  <c r="O205" i="63" l="1"/>
  <c r="AN205" i="63" s="1"/>
  <c r="AS205" i="63" s="1"/>
  <c r="AU204" i="63"/>
  <c r="AV204" i="63" s="1"/>
  <c r="N205" i="63"/>
  <c r="AT204" i="63"/>
  <c r="Q205" i="63" l="1"/>
  <c r="M205" i="63"/>
  <c r="L205" i="63" s="1"/>
  <c r="V205" i="63" l="1"/>
  <c r="P205" i="63"/>
  <c r="AM205" i="63"/>
  <c r="Z205" i="63"/>
  <c r="U205" i="63" l="1"/>
  <c r="W205" i="63"/>
  <c r="AU205" i="63" l="1"/>
  <c r="AV205" i="63" s="1"/>
  <c r="N206" i="63"/>
  <c r="O206" i="63"/>
  <c r="AT205" i="63"/>
  <c r="AN206" i="63" l="1"/>
  <c r="AS206" i="63" s="1"/>
  <c r="M206" i="63"/>
  <c r="L206" i="63" s="1"/>
  <c r="Q206" i="63"/>
  <c r="V206" i="63" s="1"/>
  <c r="Z206" i="63" l="1"/>
  <c r="AM206" i="63"/>
  <c r="P206" i="63"/>
  <c r="U206" i="63" l="1"/>
  <c r="W206" i="63"/>
  <c r="O207" i="63" l="1"/>
  <c r="N207" i="63"/>
  <c r="AU206" i="63"/>
  <c r="AV206" i="63" s="1"/>
  <c r="AT206" i="63"/>
  <c r="M207" i="63" l="1"/>
  <c r="L207" i="63" s="1"/>
  <c r="Q207" i="63"/>
  <c r="V207" i="63" s="1"/>
  <c r="AN207" i="63"/>
  <c r="AS207" i="63" s="1"/>
  <c r="P207" i="63" l="1"/>
  <c r="W207" i="63"/>
  <c r="U207" i="63"/>
  <c r="Z207" i="63"/>
  <c r="AM207" i="63"/>
  <c r="AU207" i="63" l="1"/>
  <c r="AV207" i="63" s="1"/>
  <c r="O208" i="63"/>
  <c r="AN208" i="63" s="1"/>
  <c r="AS208" i="63" s="1"/>
  <c r="AT207" i="63"/>
  <c r="N208" i="63"/>
  <c r="Q208" i="63" l="1"/>
  <c r="M208" i="63"/>
  <c r="L208" i="63" s="1"/>
  <c r="V208" i="63" l="1"/>
  <c r="P208" i="63"/>
  <c r="Z208" i="63"/>
  <c r="AM208" i="63"/>
  <c r="W208" i="63" l="1"/>
  <c r="U208" i="63"/>
  <c r="AU208" i="63" l="1"/>
  <c r="AV208" i="63" s="1"/>
  <c r="O209" i="63"/>
  <c r="N209" i="63"/>
  <c r="AT208" i="63"/>
  <c r="M209" i="63" l="1"/>
  <c r="L209" i="63" s="1"/>
  <c r="Q209" i="63"/>
  <c r="V209" i="63" s="1"/>
  <c r="AN209" i="63"/>
  <c r="AS209" i="63" s="1"/>
  <c r="P209" i="63" l="1"/>
  <c r="W209" i="63" s="1"/>
  <c r="Z209" i="63"/>
  <c r="AM209" i="63"/>
  <c r="U209" i="63" l="1"/>
  <c r="N210" i="63"/>
  <c r="AU209" i="63"/>
  <c r="AV209" i="63" s="1"/>
  <c r="O210" i="63"/>
  <c r="AT209" i="63"/>
  <c r="Q210" i="63" l="1"/>
  <c r="V210" i="63" s="1"/>
  <c r="M210" i="63"/>
  <c r="L210" i="63" s="1"/>
  <c r="AN210" i="63"/>
  <c r="AS210" i="63" s="1"/>
  <c r="P210" i="63" l="1"/>
  <c r="Z210" i="63"/>
  <c r="AM210" i="63"/>
  <c r="U210" i="63" l="1"/>
  <c r="W210" i="63"/>
  <c r="N211" i="63" l="1"/>
  <c r="O211" i="63"/>
  <c r="AU210" i="63"/>
  <c r="AV210" i="63" s="1"/>
  <c r="AT210" i="63"/>
  <c r="AN211" i="63" l="1"/>
  <c r="AS211" i="63" s="1"/>
  <c r="M211" i="63"/>
  <c r="L211" i="63" s="1"/>
  <c r="Q211" i="63"/>
  <c r="V211" i="63" s="1"/>
  <c r="P211" i="63" l="1"/>
  <c r="Z211" i="63"/>
  <c r="AM211" i="63"/>
  <c r="U211" i="63" l="1"/>
  <c r="W211" i="63"/>
  <c r="N212" i="63" l="1"/>
  <c r="AT211" i="63"/>
  <c r="AU211" i="63"/>
  <c r="AV211" i="63" s="1"/>
  <c r="O212" i="63"/>
  <c r="Q212" i="63" l="1"/>
  <c r="V212" i="63" s="1"/>
  <c r="M212" i="63"/>
  <c r="L212" i="63" s="1"/>
  <c r="AN212" i="63"/>
  <c r="AS212" i="63" s="1"/>
  <c r="P212" i="63" l="1"/>
  <c r="Z212" i="63"/>
  <c r="AM212" i="63"/>
  <c r="U212" i="63" l="1"/>
  <c r="W212" i="63"/>
  <c r="AT212" i="63" l="1"/>
  <c r="N213" i="63"/>
  <c r="O213" i="63"/>
  <c r="AU212" i="63"/>
  <c r="AV212" i="63" s="1"/>
  <c r="Q213" i="63" l="1"/>
  <c r="V213" i="63" s="1"/>
  <c r="M213" i="63"/>
  <c r="L213" i="63" s="1"/>
  <c r="AN213" i="63"/>
  <c r="AS213" i="63" s="1"/>
  <c r="P213" i="63"/>
  <c r="Z213" i="63" l="1"/>
  <c r="AM213" i="63"/>
  <c r="W213" i="63"/>
  <c r="U213" i="63"/>
  <c r="O214" i="63" l="1"/>
  <c r="AN214" i="63" s="1"/>
  <c r="AS214" i="63" s="1"/>
  <c r="AT213" i="63"/>
  <c r="N214" i="63"/>
  <c r="AU213" i="63"/>
  <c r="AV213" i="63" s="1"/>
  <c r="Q214" i="63" l="1"/>
  <c r="V214" i="63" s="1"/>
  <c r="M214" i="63"/>
  <c r="L214" i="63" s="1"/>
  <c r="P214" i="63" l="1"/>
  <c r="U214" i="63" s="1"/>
  <c r="Z214" i="63"/>
  <c r="AM214" i="63"/>
  <c r="W214" i="63" l="1"/>
  <c r="O215" i="63" l="1"/>
  <c r="AN215" i="63" s="1"/>
  <c r="AS215" i="63" s="1"/>
  <c r="AT214" i="63"/>
  <c r="N215" i="63"/>
  <c r="AU214" i="63"/>
  <c r="AV214" i="63" s="1"/>
  <c r="Q215" i="63" l="1"/>
  <c r="V215" i="63" s="1"/>
  <c r="M215" i="63"/>
  <c r="L215" i="63" s="1"/>
  <c r="P215" i="63" l="1"/>
  <c r="W215" i="63" s="1"/>
  <c r="Z215" i="63"/>
  <c r="AM215" i="63"/>
  <c r="U215" i="63" l="1"/>
  <c r="AT215" i="63"/>
  <c r="N216" i="63"/>
  <c r="AU215" i="63"/>
  <c r="AV215" i="63" s="1"/>
  <c r="O216" i="63"/>
  <c r="AN216" i="63" s="1"/>
  <c r="AS216" i="63" s="1"/>
  <c r="M216" i="63" l="1"/>
  <c r="L216" i="63" s="1"/>
  <c r="Q216" i="63"/>
  <c r="AM216" i="63" l="1"/>
  <c r="Z216" i="63"/>
  <c r="V216" i="63"/>
  <c r="P216" i="63"/>
  <c r="W216" i="63" l="1"/>
  <c r="U216" i="63"/>
  <c r="O217" i="63" l="1"/>
  <c r="AN217" i="63" s="1"/>
  <c r="AS217" i="63" s="1"/>
  <c r="AT216" i="63"/>
  <c r="N217" i="63"/>
  <c r="AU216" i="63"/>
  <c r="AV216" i="63" s="1"/>
  <c r="Q217" i="63" l="1"/>
  <c r="V217" i="63" s="1"/>
  <c r="M217" i="63"/>
  <c r="L217" i="63" s="1"/>
  <c r="Z217" i="63" l="1"/>
  <c r="AM217" i="63"/>
  <c r="P217" i="63"/>
  <c r="U217" i="63" l="1"/>
  <c r="W217" i="63"/>
  <c r="N218" i="63" l="1"/>
  <c r="AU217" i="63"/>
  <c r="AV217" i="63" s="1"/>
  <c r="O218" i="63"/>
  <c r="AT217" i="63"/>
  <c r="AN218" i="63" l="1"/>
  <c r="AS218" i="63" s="1"/>
  <c r="M218" i="63"/>
  <c r="L218" i="63" s="1"/>
  <c r="Q218" i="63"/>
  <c r="V218" i="63" s="1"/>
  <c r="AM218" i="63" l="1"/>
  <c r="Z218" i="63"/>
  <c r="P218" i="63"/>
  <c r="U218" i="63" l="1"/>
  <c r="W218" i="63"/>
  <c r="N219" i="63" l="1"/>
  <c r="AU218" i="63"/>
  <c r="AV218" i="63" s="1"/>
  <c r="O219" i="63"/>
  <c r="AT218" i="63"/>
  <c r="AN219" i="63" l="1"/>
  <c r="AS219" i="63" s="1"/>
  <c r="Q219" i="63"/>
  <c r="V219" i="63" s="1"/>
  <c r="M219" i="63"/>
  <c r="L219" i="63" s="1"/>
  <c r="Z219" i="63" l="1"/>
  <c r="AM219" i="63"/>
  <c r="P219" i="63"/>
  <c r="W219" i="63" l="1"/>
  <c r="U219" i="63"/>
  <c r="AU219" i="63" l="1"/>
  <c r="AV219" i="63" s="1"/>
  <c r="O220" i="63"/>
  <c r="N220" i="63"/>
  <c r="AT219" i="63"/>
  <c r="Q220" i="63" l="1"/>
  <c r="V220" i="63" s="1"/>
  <c r="M220" i="63"/>
  <c r="L220" i="63" s="1"/>
  <c r="AN220" i="63"/>
  <c r="AS220" i="63" s="1"/>
  <c r="P220" i="63" l="1"/>
  <c r="Z220" i="63"/>
  <c r="AM220" i="63"/>
  <c r="W220" i="63" l="1"/>
  <c r="U220" i="63"/>
  <c r="N221" i="63" l="1"/>
  <c r="O221" i="63"/>
  <c r="AU220" i="63"/>
  <c r="AV220" i="63" s="1"/>
  <c r="AT220" i="63"/>
  <c r="M221" i="63" l="1"/>
  <c r="L221" i="63" s="1"/>
  <c r="Q221" i="63"/>
  <c r="V221" i="63" s="1"/>
  <c r="AN221" i="63"/>
  <c r="AS221" i="63" s="1"/>
  <c r="P221" i="63" l="1"/>
  <c r="U221" i="63" s="1"/>
  <c r="Z221" i="63"/>
  <c r="AM221" i="63"/>
  <c r="W221" i="63" l="1"/>
  <c r="N222" i="63"/>
  <c r="O222" i="63"/>
  <c r="AU221" i="63"/>
  <c r="AV221" i="63" s="1"/>
  <c r="AT221" i="63"/>
  <c r="AN222" i="63" l="1"/>
  <c r="AS222" i="63" s="1"/>
  <c r="M222" i="63"/>
  <c r="L222" i="63" s="1"/>
  <c r="Q222" i="63"/>
  <c r="V222" i="63" s="1"/>
  <c r="Z222" i="63" l="1"/>
  <c r="AM222" i="63"/>
  <c r="P222" i="63"/>
  <c r="U222" i="63" l="1"/>
  <c r="W222" i="63"/>
  <c r="N223" i="63" l="1"/>
  <c r="O223" i="63"/>
  <c r="AU222" i="63"/>
  <c r="AV222" i="63" s="1"/>
  <c r="AT222" i="63"/>
  <c r="AN223" i="63" l="1"/>
  <c r="AS223" i="63" s="1"/>
  <c r="M223" i="63"/>
  <c r="L223" i="63" s="1"/>
  <c r="Q223" i="63"/>
  <c r="V223" i="63" s="1"/>
  <c r="P223" i="63" l="1"/>
  <c r="Z223" i="63"/>
  <c r="AM223" i="63"/>
  <c r="U223" i="63" l="1"/>
  <c r="W223" i="63"/>
  <c r="O224" i="63" l="1"/>
  <c r="N224" i="63"/>
  <c r="AU223" i="63"/>
  <c r="AV223" i="63" s="1"/>
  <c r="AT223" i="63"/>
  <c r="M224" i="63" l="1"/>
  <c r="L224" i="63" s="1"/>
  <c r="Q224" i="63"/>
  <c r="V224" i="63" s="1"/>
  <c r="AN224" i="63"/>
  <c r="AS224" i="63" s="1"/>
  <c r="P224" i="63" l="1"/>
  <c r="U224" i="63" s="1"/>
  <c r="W224" i="63"/>
  <c r="AM224" i="63"/>
  <c r="Z224" i="63"/>
  <c r="N225" i="63" l="1"/>
  <c r="O225" i="63"/>
  <c r="AT224" i="63"/>
  <c r="AU224" i="63"/>
  <c r="AV224" i="63" s="1"/>
  <c r="AN225" i="63" l="1"/>
  <c r="AS225" i="63" s="1"/>
  <c r="M225" i="63"/>
  <c r="L225" i="63" s="1"/>
  <c r="Q225" i="63"/>
  <c r="V225" i="63" s="1"/>
  <c r="Z225" i="63" l="1"/>
  <c r="AM225" i="63"/>
  <c r="P225" i="63"/>
  <c r="U225" i="63" l="1"/>
  <c r="W225" i="63"/>
  <c r="O226" i="63" l="1"/>
  <c r="AU225" i="63"/>
  <c r="AV225" i="63" s="1"/>
  <c r="AT225" i="63"/>
  <c r="N226" i="63"/>
  <c r="M226" i="63" l="1"/>
  <c r="L226" i="63" s="1"/>
  <c r="Q226" i="63"/>
  <c r="V226" i="63" s="1"/>
  <c r="AN226" i="63"/>
  <c r="AS226" i="63" s="1"/>
  <c r="P226" i="63" l="1"/>
  <c r="U226" i="63" s="1"/>
  <c r="W226" i="63"/>
  <c r="Z226" i="63"/>
  <c r="AM226" i="63"/>
  <c r="AT226" i="63" l="1"/>
  <c r="AU226" i="63"/>
  <c r="AV226" i="63" s="1"/>
  <c r="O227" i="63"/>
  <c r="N227" i="63"/>
  <c r="Q227" i="63" l="1"/>
  <c r="V227" i="63" s="1"/>
  <c r="M227" i="63"/>
  <c r="L227" i="63" s="1"/>
  <c r="AN227" i="63"/>
  <c r="AS227" i="63" s="1"/>
  <c r="P227" i="63" l="1"/>
  <c r="W227" i="63"/>
  <c r="U227" i="63"/>
  <c r="Z227" i="63"/>
  <c r="AM227" i="63"/>
  <c r="O228" i="63" l="1"/>
  <c r="AN228" i="63" s="1"/>
  <c r="AS228" i="63" s="1"/>
  <c r="AU227" i="63"/>
  <c r="AV227" i="63" s="1"/>
  <c r="N228" i="63"/>
  <c r="AT227" i="63"/>
  <c r="Q228" i="63" l="1"/>
  <c r="M228" i="63"/>
  <c r="L228" i="63" s="1"/>
  <c r="Z228" i="63" l="1"/>
  <c r="AM228" i="63"/>
  <c r="V228" i="63"/>
  <c r="P228" i="63"/>
  <c r="U228" i="63" l="1"/>
  <c r="W228" i="63"/>
  <c r="AT228" i="63" l="1"/>
  <c r="AU228" i="63"/>
  <c r="AV228" i="63" s="1"/>
  <c r="N229" i="63"/>
  <c r="O229" i="63"/>
  <c r="AN229" i="63" l="1"/>
  <c r="AS229" i="63" s="1"/>
  <c r="M229" i="63"/>
  <c r="L229" i="63" s="1"/>
  <c r="Q229" i="63"/>
  <c r="V229" i="63" s="1"/>
  <c r="Z229" i="63" l="1"/>
  <c r="AM229" i="63"/>
  <c r="P229" i="63"/>
  <c r="W229" i="63" l="1"/>
  <c r="U229" i="63"/>
  <c r="N230" i="63" l="1"/>
  <c r="AT229" i="63"/>
  <c r="AU229" i="63"/>
  <c r="AV229" i="63" s="1"/>
  <c r="O230" i="63"/>
  <c r="AN230" i="63" l="1"/>
  <c r="AS230" i="63" s="1"/>
  <c r="M230" i="63"/>
  <c r="L230" i="63" s="1"/>
  <c r="Q230" i="63"/>
  <c r="V230" i="63" s="1"/>
  <c r="Z230" i="63" l="1"/>
  <c r="AM230" i="63"/>
  <c r="P230" i="63"/>
  <c r="U230" i="63" l="1"/>
  <c r="W230" i="63"/>
  <c r="O231" i="63" l="1"/>
  <c r="AU230" i="63"/>
  <c r="AV230" i="63" s="1"/>
  <c r="AT230" i="63"/>
  <c r="N231" i="63"/>
  <c r="M231" i="63" l="1"/>
  <c r="L231" i="63" s="1"/>
  <c r="Q231" i="63"/>
  <c r="V231" i="63" s="1"/>
  <c r="AN231" i="63"/>
  <c r="AS231" i="63" s="1"/>
  <c r="P231" i="63" l="1"/>
  <c r="W231" i="63"/>
  <c r="U231" i="63"/>
  <c r="Z231" i="63"/>
  <c r="AM231" i="63"/>
  <c r="AT231" i="63" l="1"/>
  <c r="O232" i="63"/>
  <c r="AN232" i="63" s="1"/>
  <c r="AS232" i="63" s="1"/>
  <c r="AU231" i="63"/>
  <c r="AV231" i="63" s="1"/>
  <c r="N232" i="63"/>
  <c r="M232" i="63" l="1"/>
  <c r="L232" i="63" s="1"/>
  <c r="Q232" i="63"/>
  <c r="V232" i="63" l="1"/>
  <c r="P232" i="63"/>
  <c r="Z232" i="63"/>
  <c r="AM232" i="63"/>
  <c r="W232" i="63" l="1"/>
  <c r="U232" i="63"/>
  <c r="O233" i="63" l="1"/>
  <c r="AN233" i="63" s="1"/>
  <c r="AS233" i="63" s="1"/>
  <c r="AT232" i="63"/>
  <c r="N233" i="63"/>
  <c r="AU232" i="63"/>
  <c r="AV232" i="63" s="1"/>
  <c r="M233" i="63" l="1"/>
  <c r="L233" i="63" s="1"/>
  <c r="Q233" i="63"/>
  <c r="V233" i="63" l="1"/>
  <c r="P233" i="63"/>
  <c r="AM233" i="63"/>
  <c r="Z233" i="63"/>
  <c r="U233" i="63" l="1"/>
  <c r="W233" i="63"/>
  <c r="AU233" i="63" l="1"/>
  <c r="AV233" i="63" s="1"/>
  <c r="N234" i="63"/>
  <c r="O234" i="63"/>
  <c r="AN234" i="63" s="1"/>
  <c r="AS234" i="63" s="1"/>
  <c r="AT233" i="63"/>
  <c r="Q234" i="63" l="1"/>
  <c r="M234" i="63"/>
  <c r="L234" i="63" s="1"/>
  <c r="Z234" i="63" l="1"/>
  <c r="AM234" i="63"/>
  <c r="V234" i="63"/>
  <c r="P234" i="63"/>
  <c r="U234" i="63" l="1"/>
  <c r="W234" i="63"/>
  <c r="N235" i="63" l="1"/>
  <c r="O235" i="63"/>
  <c r="AN235" i="63" s="1"/>
  <c r="AS235" i="63" s="1"/>
  <c r="AT234" i="63"/>
  <c r="AU234" i="63"/>
  <c r="AV234" i="63" s="1"/>
  <c r="Q235" i="63" l="1"/>
  <c r="M235" i="63"/>
  <c r="L235" i="63" s="1"/>
  <c r="AM235" i="63" l="1"/>
  <c r="Z235" i="63"/>
  <c r="V235" i="63"/>
  <c r="P235" i="63"/>
  <c r="U235" i="63" l="1"/>
  <c r="W235" i="63"/>
  <c r="AU235" i="63" l="1"/>
  <c r="AV235" i="63" s="1"/>
  <c r="AT235" i="63"/>
  <c r="N236" i="63"/>
  <c r="O236" i="63"/>
  <c r="AN236" i="63" s="1"/>
  <c r="AS236" i="63" s="1"/>
  <c r="M236" i="63" l="1"/>
  <c r="L236" i="63" s="1"/>
  <c r="Q236" i="63"/>
  <c r="V236" i="63" l="1"/>
  <c r="P236" i="63"/>
  <c r="Z236" i="63"/>
  <c r="AM236" i="63"/>
  <c r="U236" i="63" l="1"/>
  <c r="W236" i="63"/>
  <c r="N237" i="63" l="1"/>
  <c r="AU236" i="63"/>
  <c r="AV236" i="63" s="1"/>
  <c r="AT236" i="63"/>
  <c r="O237" i="63"/>
  <c r="AN237" i="63" s="1"/>
  <c r="AS237" i="63" s="1"/>
  <c r="Q237" i="63" l="1"/>
  <c r="M237" i="63"/>
  <c r="L237" i="63" s="1"/>
  <c r="Z237" i="63" l="1"/>
  <c r="AM237" i="63"/>
  <c r="V237" i="63"/>
  <c r="P237" i="63"/>
  <c r="U237" i="63" l="1"/>
  <c r="W237" i="63"/>
  <c r="N238" i="63" l="1"/>
  <c r="AU237" i="63"/>
  <c r="AV237" i="63" s="1"/>
  <c r="O238" i="63"/>
  <c r="AN238" i="63" s="1"/>
  <c r="AS238" i="63" s="1"/>
  <c r="AT237" i="63"/>
  <c r="Q238" i="63" l="1"/>
  <c r="M238" i="63"/>
  <c r="L238" i="63" s="1"/>
  <c r="Z238" i="63" l="1"/>
  <c r="AM238" i="63"/>
  <c r="V238" i="63"/>
  <c r="P238" i="63"/>
  <c r="W238" i="63" l="1"/>
  <c r="U238" i="63"/>
  <c r="N239" i="63" l="1"/>
  <c r="AT238" i="63"/>
  <c r="O239" i="63"/>
  <c r="AU238" i="63"/>
  <c r="AV238" i="63" s="1"/>
  <c r="AN239" i="63" l="1"/>
  <c r="AS239" i="63" s="1"/>
  <c r="M239" i="63"/>
  <c r="L239" i="63" s="1"/>
  <c r="Q239" i="63"/>
  <c r="V239" i="63" s="1"/>
  <c r="Z239" i="63" l="1"/>
  <c r="AM239" i="63"/>
  <c r="P239" i="63"/>
  <c r="W239" i="63" l="1"/>
  <c r="U239" i="63"/>
  <c r="AT239" i="63" l="1"/>
  <c r="AU239" i="63"/>
  <c r="AV239" i="63" s="1"/>
  <c r="N240" i="63"/>
  <c r="O240" i="63"/>
  <c r="AN240" i="63" l="1"/>
  <c r="AS240" i="63" s="1"/>
  <c r="M240" i="63"/>
  <c r="L240" i="63" s="1"/>
  <c r="Q240" i="63"/>
  <c r="V240" i="63" s="1"/>
  <c r="Z240" i="63" l="1"/>
  <c r="AM240" i="63"/>
  <c r="P240" i="63"/>
  <c r="U240" i="63" l="1"/>
  <c r="W240" i="63"/>
  <c r="O241" i="63" l="1"/>
  <c r="AU240" i="63"/>
  <c r="AV240" i="63" s="1"/>
  <c r="N241" i="63"/>
  <c r="AT240" i="63"/>
  <c r="Q241" i="63" l="1"/>
  <c r="V241" i="63" s="1"/>
  <c r="M241" i="63"/>
  <c r="L241" i="63" s="1"/>
  <c r="AN241" i="63"/>
  <c r="AS241" i="63" s="1"/>
  <c r="P241" i="63" l="1"/>
  <c r="U241" i="63" s="1"/>
  <c r="Z241" i="63"/>
  <c r="AM241" i="63"/>
  <c r="W241" i="63" l="1"/>
  <c r="AU241" i="63"/>
  <c r="AV241" i="63" s="1"/>
  <c r="AT241" i="63"/>
  <c r="N242" i="63"/>
  <c r="O242" i="63"/>
  <c r="AN242" i="63" l="1"/>
  <c r="AS242" i="63" s="1"/>
  <c r="M242" i="63"/>
  <c r="L242" i="63" s="1"/>
  <c r="Q242" i="63"/>
  <c r="V242" i="63" s="1"/>
  <c r="Z242" i="63" l="1"/>
  <c r="AM242" i="63"/>
  <c r="P242" i="63"/>
  <c r="U242" i="63" l="1"/>
  <c r="W242" i="63"/>
  <c r="N243" i="63" l="1"/>
  <c r="AU242" i="63"/>
  <c r="AV242" i="63" s="1"/>
  <c r="AT242" i="63"/>
  <c r="O243" i="63"/>
  <c r="AN243" i="63" l="1"/>
  <c r="AS243" i="63" s="1"/>
  <c r="Q243" i="63"/>
  <c r="V243" i="63" s="1"/>
  <c r="M243" i="63"/>
  <c r="L243" i="63" s="1"/>
  <c r="Z243" i="63" l="1"/>
  <c r="AM243" i="63"/>
  <c r="P243" i="63"/>
  <c r="U243" i="63" l="1"/>
  <c r="W243" i="63"/>
  <c r="N244" i="63" l="1"/>
  <c r="AT243" i="63"/>
  <c r="AU243" i="63"/>
  <c r="AV243" i="63" s="1"/>
  <c r="O244" i="63"/>
  <c r="AN244" i="63" l="1"/>
  <c r="AS244" i="63" s="1"/>
  <c r="Q244" i="63"/>
  <c r="V244" i="63" s="1"/>
  <c r="M244" i="63"/>
  <c r="L244" i="63" s="1"/>
  <c r="Z244" i="63" l="1"/>
  <c r="AM244" i="63"/>
  <c r="P244" i="63"/>
  <c r="U244" i="63" l="1"/>
  <c r="W244" i="63"/>
  <c r="N245" i="63" l="1"/>
  <c r="AU244" i="63"/>
  <c r="AV244" i="63" s="1"/>
  <c r="AT244" i="63"/>
  <c r="O245" i="63"/>
  <c r="AN245" i="63" l="1"/>
  <c r="AS245" i="63" s="1"/>
  <c r="M245" i="63"/>
  <c r="L245" i="63" s="1"/>
  <c r="Q245" i="63"/>
  <c r="V245" i="63" s="1"/>
  <c r="Z245" i="63" l="1"/>
  <c r="AM245" i="63"/>
  <c r="P245" i="63"/>
  <c r="U245" i="63" l="1"/>
  <c r="W245" i="63"/>
  <c r="N246" i="63" l="1"/>
  <c r="AT245" i="63"/>
  <c r="AU245" i="63"/>
  <c r="AV245" i="63" s="1"/>
  <c r="O246" i="63"/>
  <c r="AN246" i="63" l="1"/>
  <c r="AS246" i="63" s="1"/>
  <c r="M246" i="63"/>
  <c r="L246" i="63" s="1"/>
  <c r="Q246" i="63"/>
  <c r="V246" i="63" s="1"/>
  <c r="AM246" i="63" l="1"/>
  <c r="Z246" i="63"/>
  <c r="P246" i="63"/>
  <c r="U246" i="63" l="1"/>
  <c r="W246" i="63"/>
  <c r="N247" i="63" l="1"/>
  <c r="AT246" i="63"/>
  <c r="O247" i="63"/>
  <c r="AU246" i="63"/>
  <c r="AV246" i="63" s="1"/>
  <c r="AN247" i="63" l="1"/>
  <c r="AS247" i="63" s="1"/>
  <c r="M247" i="63"/>
  <c r="L247" i="63" s="1"/>
  <c r="Q247" i="63"/>
  <c r="V247" i="63" s="1"/>
  <c r="Z247" i="63" l="1"/>
  <c r="AM247" i="63"/>
  <c r="P247" i="63"/>
  <c r="U247" i="63" l="1"/>
  <c r="W247" i="63"/>
  <c r="O248" i="63" l="1"/>
  <c r="AU247" i="63"/>
  <c r="AV247" i="63" s="1"/>
  <c r="N248" i="63"/>
  <c r="AT247" i="63"/>
  <c r="M248" i="63" l="1"/>
  <c r="L248" i="63" s="1"/>
  <c r="Q248" i="63"/>
  <c r="V248" i="63" s="1"/>
  <c r="AN248" i="63"/>
  <c r="AS248" i="63" s="1"/>
  <c r="P248" i="63" l="1"/>
  <c r="U248" i="63" s="1"/>
  <c r="W248" i="63"/>
  <c r="Z248" i="63"/>
  <c r="AM248" i="63"/>
  <c r="AT248" i="63" l="1"/>
  <c r="N249" i="63"/>
  <c r="AU248" i="63"/>
  <c r="AV248" i="63" s="1"/>
  <c r="O249" i="63"/>
  <c r="AN249" i="63" l="1"/>
  <c r="AS249" i="63" s="1"/>
  <c r="Q249" i="63"/>
  <c r="V249" i="63" s="1"/>
  <c r="M249" i="63"/>
  <c r="L249" i="63" s="1"/>
  <c r="Z249" i="63" l="1"/>
  <c r="AM249" i="63"/>
  <c r="P249" i="63"/>
  <c r="U249" i="63" l="1"/>
  <c r="W249" i="63"/>
  <c r="AU249" i="63" l="1"/>
  <c r="AV249" i="63" s="1"/>
  <c r="O250" i="63"/>
  <c r="N250" i="63"/>
  <c r="AT249" i="63"/>
  <c r="M250" i="63" l="1"/>
  <c r="L250" i="63" s="1"/>
  <c r="Q250" i="63"/>
  <c r="V250" i="63" s="1"/>
  <c r="AN250" i="63"/>
  <c r="AS250" i="63" s="1"/>
  <c r="P250" i="63" l="1"/>
  <c r="W250" i="63" s="1"/>
  <c r="Z250" i="63"/>
  <c r="AM250" i="63"/>
  <c r="U250" i="63" l="1"/>
  <c r="O251" i="63"/>
  <c r="AU250" i="63"/>
  <c r="AV250" i="63" s="1"/>
  <c r="N251" i="63"/>
  <c r="AT250" i="63"/>
  <c r="M251" i="63" l="1"/>
  <c r="L251" i="63" s="1"/>
  <c r="Q251" i="63"/>
  <c r="V251" i="63" s="1"/>
  <c r="AN251" i="63"/>
  <c r="AS251" i="63" s="1"/>
  <c r="P251" i="63" l="1"/>
  <c r="U251" i="63" s="1"/>
  <c r="Z251" i="63"/>
  <c r="AM251" i="63"/>
  <c r="W251" i="63" l="1"/>
  <c r="AU251" i="63" s="1"/>
  <c r="AV251" i="63" s="1"/>
  <c r="N252" i="63"/>
  <c r="AT251" i="63"/>
  <c r="O252" i="63"/>
  <c r="AN252" i="63" l="1"/>
  <c r="AS252" i="63" s="1"/>
  <c r="Q252" i="63"/>
  <c r="V252" i="63" s="1"/>
  <c r="M252" i="63"/>
  <c r="L252" i="63" s="1"/>
  <c r="Z252" i="63" l="1"/>
  <c r="AM252" i="63"/>
  <c r="P252" i="63"/>
  <c r="U252" i="63" l="1"/>
  <c r="W252" i="63"/>
  <c r="O253" i="63" l="1"/>
  <c r="AT252" i="63"/>
  <c r="N253" i="63"/>
  <c r="AU252" i="63"/>
  <c r="AV252" i="63" s="1"/>
  <c r="M253" i="63" l="1"/>
  <c r="L253" i="63" s="1"/>
  <c r="Q253" i="63"/>
  <c r="V253" i="63" s="1"/>
  <c r="AN253" i="63"/>
  <c r="AS253" i="63" s="1"/>
  <c r="P253" i="63" l="1"/>
  <c r="W253" i="63"/>
  <c r="U253" i="63"/>
  <c r="Z253" i="63"/>
  <c r="AM253" i="63"/>
  <c r="AU253" i="63" l="1"/>
  <c r="AV253" i="63" s="1"/>
  <c r="N254" i="63"/>
  <c r="O254" i="63"/>
  <c r="AT253" i="63"/>
  <c r="AN254" i="63" l="1"/>
  <c r="AS254" i="63" s="1"/>
  <c r="M254" i="63"/>
  <c r="L254" i="63" s="1"/>
  <c r="Q254" i="63"/>
  <c r="V254" i="63" s="1"/>
  <c r="AM254" i="63" l="1"/>
  <c r="Z254" i="63"/>
  <c r="P254" i="63"/>
  <c r="W254" i="63" l="1"/>
  <c r="U254" i="63"/>
  <c r="O255" i="63" l="1"/>
  <c r="AU254" i="63"/>
  <c r="AV254" i="63" s="1"/>
  <c r="N255" i="63"/>
  <c r="AT254" i="63"/>
  <c r="M255" i="63" l="1"/>
  <c r="L255" i="63" s="1"/>
  <c r="Q255" i="63"/>
  <c r="V255" i="63" s="1"/>
  <c r="AN255" i="63"/>
  <c r="AS255" i="63" s="1"/>
  <c r="P255" i="63" l="1"/>
  <c r="Z255" i="63"/>
  <c r="AM255" i="63"/>
  <c r="U255" i="63" l="1"/>
  <c r="W255" i="63"/>
  <c r="N256" i="63" l="1"/>
  <c r="AU255" i="63"/>
  <c r="AV255" i="63" s="1"/>
  <c r="O256" i="63"/>
  <c r="AT255" i="63"/>
  <c r="AN256" i="63" l="1"/>
  <c r="AS256" i="63" s="1"/>
  <c r="Q256" i="63"/>
  <c r="V256" i="63" s="1"/>
  <c r="M256" i="63"/>
  <c r="L256" i="63" s="1"/>
  <c r="Z256" i="63" l="1"/>
  <c r="AM256" i="63"/>
  <c r="P256" i="63"/>
  <c r="U256" i="63" l="1"/>
  <c r="W256" i="63"/>
  <c r="N257" i="63" l="1"/>
  <c r="O257" i="63"/>
  <c r="AT256" i="63"/>
  <c r="AU256" i="63"/>
  <c r="AV256" i="63" s="1"/>
  <c r="AN257" i="63" l="1"/>
  <c r="AS257" i="63" s="1"/>
  <c r="Q257" i="63"/>
  <c r="V257" i="63" s="1"/>
  <c r="M257" i="63"/>
  <c r="L257" i="63" s="1"/>
  <c r="Z257" i="63" l="1"/>
  <c r="AM257" i="63"/>
  <c r="P257" i="63"/>
  <c r="U257" i="63" l="1"/>
  <c r="W257" i="63"/>
  <c r="N258" i="63" l="1"/>
  <c r="O258" i="63"/>
  <c r="AT257" i="63"/>
  <c r="AU257" i="63"/>
  <c r="AV257" i="63" s="1"/>
  <c r="AN258" i="63" l="1"/>
  <c r="AS258" i="63" s="1"/>
  <c r="Q258" i="63"/>
  <c r="V258" i="63" s="1"/>
  <c r="M258" i="63"/>
  <c r="L258" i="63" s="1"/>
  <c r="Z258" i="63" l="1"/>
  <c r="AM258" i="63"/>
  <c r="P258" i="63"/>
  <c r="U258" i="63" l="1"/>
  <c r="W258" i="63"/>
  <c r="AU258" i="63" l="1"/>
  <c r="AV258" i="63" s="1"/>
  <c r="AT258" i="63"/>
  <c r="N259" i="63"/>
  <c r="O259" i="63"/>
  <c r="AN259" i="63" l="1"/>
  <c r="AS259" i="63" s="1"/>
  <c r="Q259" i="63"/>
  <c r="V259" i="63" s="1"/>
  <c r="M259" i="63"/>
  <c r="L259" i="63" s="1"/>
  <c r="Z259" i="63" l="1"/>
  <c r="AM259" i="63"/>
  <c r="P259" i="63"/>
  <c r="W259" i="63" l="1"/>
  <c r="U259" i="63"/>
  <c r="AT259" i="63" l="1"/>
  <c r="O260" i="63"/>
  <c r="AU259" i="63"/>
  <c r="AV259" i="63" s="1"/>
  <c r="N260" i="63"/>
  <c r="Q260" i="63" l="1"/>
  <c r="V260" i="63" s="1"/>
  <c r="M260" i="63"/>
  <c r="L260" i="63" s="1"/>
  <c r="AN260" i="63"/>
  <c r="AS260" i="63" s="1"/>
  <c r="P260" i="63" l="1"/>
  <c r="U260" i="63" s="1"/>
  <c r="W260" i="63"/>
  <c r="Z260" i="63"/>
  <c r="AM260" i="63"/>
  <c r="O261" i="63" l="1"/>
  <c r="N261" i="63"/>
  <c r="AU260" i="63"/>
  <c r="AV260" i="63" s="1"/>
  <c r="AT260" i="63"/>
  <c r="Q261" i="63" l="1"/>
  <c r="V261" i="63" s="1"/>
  <c r="M261" i="63"/>
  <c r="L261" i="63" s="1"/>
  <c r="AN261" i="63"/>
  <c r="AS261" i="63" s="1"/>
  <c r="P261" i="63"/>
  <c r="U261" i="63" s="1"/>
  <c r="W261" i="63" l="1"/>
  <c r="Z261" i="63"/>
  <c r="AM261" i="63"/>
  <c r="AU261" i="63" l="1"/>
  <c r="AV261" i="63" s="1"/>
  <c r="AT261" i="63"/>
  <c r="N262" i="63"/>
  <c r="O262" i="63"/>
  <c r="M262" i="63" l="1"/>
  <c r="L262" i="63" s="1"/>
  <c r="Q262" i="63"/>
  <c r="V262" i="63" s="1"/>
  <c r="AN262" i="63"/>
  <c r="AS262" i="63" s="1"/>
  <c r="P262" i="63" l="1"/>
  <c r="U262" i="63" s="1"/>
  <c r="W262" i="63"/>
  <c r="Z262" i="63"/>
  <c r="AM262" i="63"/>
  <c r="AT262" i="63" l="1"/>
  <c r="AU262" i="63"/>
  <c r="AV262" i="63" s="1"/>
  <c r="N263" i="63"/>
  <c r="O263" i="63"/>
  <c r="AN263" i="63" l="1"/>
  <c r="AS263" i="63" s="1"/>
  <c r="Q263" i="63"/>
  <c r="V263" i="63" s="1"/>
  <c r="M263" i="63"/>
  <c r="L263" i="63" s="1"/>
  <c r="Z263" i="63" l="1"/>
  <c r="AM263" i="63"/>
  <c r="P263" i="63"/>
  <c r="U263" i="63" l="1"/>
  <c r="W263" i="63"/>
  <c r="AU263" i="63" l="1"/>
  <c r="AV263" i="63" s="1"/>
  <c r="N264" i="63"/>
  <c r="AT263" i="63"/>
  <c r="O264" i="63"/>
  <c r="AN264" i="63" l="1"/>
  <c r="AS264" i="63" s="1"/>
  <c r="Q264" i="63"/>
  <c r="V264" i="63" s="1"/>
  <c r="M264" i="63"/>
  <c r="L264" i="63" s="1"/>
  <c r="Z264" i="63" l="1"/>
  <c r="AM264" i="63"/>
  <c r="P264" i="63"/>
  <c r="U264" i="63" l="1"/>
  <c r="W264" i="63"/>
  <c r="AT264" i="63" l="1"/>
  <c r="N265" i="63"/>
  <c r="AU264" i="63"/>
  <c r="AV264" i="63" s="1"/>
  <c r="O265" i="63"/>
  <c r="AN265" i="63" l="1"/>
  <c r="AS265" i="63" s="1"/>
  <c r="M265" i="63"/>
  <c r="L265" i="63" s="1"/>
  <c r="Q265" i="63"/>
  <c r="V265" i="63" s="1"/>
  <c r="AM265" i="63" l="1"/>
  <c r="Z265" i="63"/>
  <c r="P265" i="63"/>
  <c r="U265" i="63" l="1"/>
  <c r="W265" i="63"/>
  <c r="AU265" i="63" l="1"/>
  <c r="AV265" i="63" s="1"/>
  <c r="N266" i="63"/>
  <c r="AT265" i="63"/>
  <c r="O266" i="63"/>
  <c r="AN266" i="63" l="1"/>
  <c r="AS266" i="63" s="1"/>
  <c r="M266" i="63"/>
  <c r="L266" i="63" s="1"/>
  <c r="Q266" i="63"/>
  <c r="V266" i="63" s="1"/>
  <c r="Z266" i="63" l="1"/>
  <c r="AM266" i="63"/>
  <c r="P266" i="63"/>
  <c r="U266" i="63" l="1"/>
  <c r="W266" i="63"/>
  <c r="AU266" i="63" l="1"/>
  <c r="AV266" i="63" s="1"/>
  <c r="N267" i="63"/>
  <c r="O267" i="63"/>
  <c r="AT266" i="63"/>
  <c r="AN267" i="63" l="1"/>
  <c r="AS267" i="63" s="1"/>
  <c r="Q267" i="63"/>
  <c r="V267" i="63" s="1"/>
  <c r="M267" i="63"/>
  <c r="L267" i="63" s="1"/>
  <c r="Z267" i="63" l="1"/>
  <c r="AM267" i="63"/>
  <c r="P267" i="63"/>
  <c r="U267" i="63" l="1"/>
  <c r="W267" i="63"/>
  <c r="AU267" i="63" l="1"/>
  <c r="AV267" i="63" s="1"/>
  <c r="O268" i="63"/>
  <c r="N268" i="63"/>
  <c r="AT267" i="63"/>
  <c r="Q268" i="63" l="1"/>
  <c r="V268" i="63" s="1"/>
  <c r="M268" i="63"/>
  <c r="L268" i="63" s="1"/>
  <c r="AN268" i="63"/>
  <c r="AS268" i="63" s="1"/>
  <c r="P268" i="63" l="1"/>
  <c r="U268" i="63" s="1"/>
  <c r="Z268" i="63"/>
  <c r="AM268" i="63"/>
  <c r="W268" i="63" l="1"/>
  <c r="N269" i="63" s="1"/>
  <c r="O269" i="63" l="1"/>
  <c r="AT268" i="63"/>
  <c r="AU268" i="63"/>
  <c r="AV268" i="63" s="1"/>
  <c r="AN269" i="63"/>
  <c r="AS269" i="63" s="1"/>
  <c r="M269" i="63"/>
  <c r="L269" i="63" s="1"/>
  <c r="Q269" i="63"/>
  <c r="V269" i="63" s="1"/>
  <c r="Z269" i="63" l="1"/>
  <c r="AM269" i="63"/>
  <c r="P269" i="63"/>
  <c r="U269" i="63" l="1"/>
  <c r="W269" i="63"/>
  <c r="N270" i="63" l="1"/>
  <c r="AT269" i="63"/>
  <c r="O270" i="63"/>
  <c r="AU269" i="63"/>
  <c r="AV269" i="63" s="1"/>
  <c r="AN270" i="63" l="1"/>
  <c r="AS270" i="63" s="1"/>
  <c r="Q270" i="63"/>
  <c r="V270" i="63" s="1"/>
  <c r="M270" i="63"/>
  <c r="L270" i="63" s="1"/>
  <c r="Z270" i="63" l="1"/>
  <c r="AM270" i="63"/>
  <c r="P270" i="63"/>
  <c r="U270" i="63" l="1"/>
  <c r="W270" i="63"/>
  <c r="AT270" i="63" l="1"/>
  <c r="N271" i="63"/>
  <c r="O271" i="63"/>
  <c r="AU270" i="63"/>
  <c r="AV270" i="63" s="1"/>
  <c r="AN271" i="63" l="1"/>
  <c r="AS271" i="63" s="1"/>
  <c r="Q271" i="63"/>
  <c r="V271" i="63" s="1"/>
  <c r="M271" i="63"/>
  <c r="L271" i="63" s="1"/>
  <c r="AM271" i="63" l="1"/>
  <c r="Z271" i="63"/>
  <c r="P271" i="63"/>
  <c r="U271" i="63" l="1"/>
  <c r="W271" i="63"/>
  <c r="O272" i="63" l="1"/>
  <c r="AT271" i="63"/>
  <c r="AU271" i="63"/>
  <c r="AV271" i="63" s="1"/>
  <c r="N272" i="63"/>
  <c r="Q272" i="63" l="1"/>
  <c r="V272" i="63" s="1"/>
  <c r="M272" i="63"/>
  <c r="L272" i="63" s="1"/>
  <c r="AN272" i="63"/>
  <c r="AS272" i="63" s="1"/>
  <c r="P272" i="63"/>
  <c r="Z272" i="63" l="1"/>
  <c r="AM272" i="63"/>
  <c r="W272" i="63"/>
  <c r="U272" i="63"/>
  <c r="N273" i="63" l="1"/>
  <c r="AU272" i="63"/>
  <c r="AV272" i="63" s="1"/>
  <c r="AT272" i="63"/>
  <c r="O273" i="63"/>
  <c r="AN273" i="63" l="1"/>
  <c r="AS273" i="63" s="1"/>
  <c r="Q273" i="63"/>
  <c r="V273" i="63" s="1"/>
  <c r="M273" i="63"/>
  <c r="L273" i="63" s="1"/>
  <c r="P273" i="63" l="1"/>
  <c r="AM273" i="63"/>
  <c r="Z273" i="63"/>
  <c r="U273" i="63" l="1"/>
  <c r="W273" i="63"/>
  <c r="AU273" i="63" l="1"/>
  <c r="AV273" i="63" s="1"/>
  <c r="AT273" i="63"/>
  <c r="O274" i="63"/>
  <c r="N274" i="63"/>
  <c r="AN274" i="63" l="1"/>
  <c r="AS274" i="63" s="1"/>
  <c r="Q274" i="63"/>
  <c r="V274" i="63" s="1"/>
  <c r="M274" i="63"/>
  <c r="L274" i="63" s="1"/>
  <c r="P274" i="63" l="1"/>
  <c r="U274" i="63" s="1"/>
  <c r="Z274" i="63"/>
  <c r="AM274" i="63"/>
  <c r="W274" i="63" l="1"/>
  <c r="O275" i="63"/>
  <c r="AT274" i="63"/>
  <c r="AU274" i="63"/>
  <c r="AV274" i="63" s="1"/>
  <c r="N275" i="63"/>
  <c r="Q275" i="63" l="1"/>
  <c r="V275" i="63" s="1"/>
  <c r="M275" i="63"/>
  <c r="L275" i="63" s="1"/>
  <c r="AN275" i="63"/>
  <c r="AS275" i="63" s="1"/>
  <c r="P275" i="63"/>
  <c r="U275" i="63" s="1"/>
  <c r="W275" i="63" l="1"/>
  <c r="Z275" i="63"/>
  <c r="AM275" i="63"/>
  <c r="AT275" i="63" l="1"/>
  <c r="AU275" i="63"/>
  <c r="AV275" i="63" s="1"/>
  <c r="N276" i="63"/>
  <c r="O276" i="63"/>
  <c r="AN276" i="63" l="1"/>
  <c r="AS276" i="63" s="1"/>
  <c r="Q276" i="63"/>
  <c r="V276" i="63" s="1"/>
  <c r="M276" i="63"/>
  <c r="L276" i="63" s="1"/>
  <c r="Z276" i="63" l="1"/>
  <c r="AM276" i="63"/>
  <c r="P276" i="63"/>
  <c r="U276" i="63" l="1"/>
  <c r="W276" i="63"/>
  <c r="O277" i="63" l="1"/>
  <c r="AT276" i="63"/>
  <c r="N277" i="63"/>
  <c r="AU276" i="63"/>
  <c r="AV276" i="63" s="1"/>
  <c r="M277" i="63" l="1"/>
  <c r="L277" i="63" s="1"/>
  <c r="Q277" i="63"/>
  <c r="V277" i="63" s="1"/>
  <c r="AN277" i="63"/>
  <c r="AS277" i="63" s="1"/>
  <c r="P277" i="63" l="1"/>
  <c r="AM277" i="63"/>
  <c r="Z277" i="63"/>
  <c r="U277" i="63" l="1"/>
  <c r="W277" i="63"/>
  <c r="O278" i="63" l="1"/>
  <c r="AT277" i="63"/>
  <c r="AU277" i="63"/>
  <c r="AV277" i="63" s="1"/>
  <c r="N278" i="63"/>
  <c r="M278" i="63" l="1"/>
  <c r="L278" i="63" s="1"/>
  <c r="Q278" i="63"/>
  <c r="V278" i="63" s="1"/>
  <c r="AN278" i="63"/>
  <c r="AS278" i="63" s="1"/>
  <c r="P278" i="63" l="1"/>
  <c r="U278" i="63" s="1"/>
  <c r="W278" i="63"/>
  <c r="Z278" i="63"/>
  <c r="AM278" i="63"/>
  <c r="AT278" i="63" l="1"/>
  <c r="O279" i="63"/>
  <c r="AU278" i="63"/>
  <c r="AV278" i="63" s="1"/>
  <c r="N279" i="63"/>
  <c r="M279" i="63" l="1"/>
  <c r="L279" i="63" s="1"/>
  <c r="Q279" i="63"/>
  <c r="V279" i="63" s="1"/>
  <c r="AN279" i="63"/>
  <c r="AS279" i="63" s="1"/>
  <c r="P279" i="63" l="1"/>
  <c r="W279" i="63"/>
  <c r="U279" i="63"/>
  <c r="Z279" i="63"/>
  <c r="AM279" i="63"/>
  <c r="N280" i="63" l="1"/>
  <c r="AT279" i="63"/>
  <c r="O280" i="63"/>
  <c r="AU279" i="63"/>
  <c r="AV279" i="63" s="1"/>
  <c r="AN280" i="63" l="1"/>
  <c r="AS280" i="63" s="1"/>
  <c r="Q280" i="63"/>
  <c r="V280" i="63" s="1"/>
  <c r="M280" i="63"/>
  <c r="L280" i="63" s="1"/>
  <c r="Z280" i="63" l="1"/>
  <c r="AM280" i="63"/>
  <c r="P280" i="63"/>
  <c r="W280" i="63" l="1"/>
  <c r="U280" i="63"/>
  <c r="AU280" i="63" l="1"/>
  <c r="AV280" i="63" s="1"/>
  <c r="O281" i="63"/>
  <c r="N281" i="63"/>
  <c r="AT280" i="63"/>
  <c r="Q281" i="63" l="1"/>
  <c r="V281" i="63" s="1"/>
  <c r="M281" i="63"/>
  <c r="L281" i="63" s="1"/>
  <c r="AN281" i="63"/>
  <c r="AS281" i="63" s="1"/>
  <c r="P281" i="63"/>
  <c r="U281" i="63" s="1"/>
  <c r="W281" i="63" l="1"/>
  <c r="Z281" i="63"/>
  <c r="AM281" i="63"/>
  <c r="O282" i="63" l="1"/>
  <c r="AU281" i="63"/>
  <c r="AV281" i="63" s="1"/>
  <c r="N282" i="63"/>
  <c r="AT281" i="63"/>
  <c r="Q282" i="63" l="1"/>
  <c r="V282" i="63" s="1"/>
  <c r="M282" i="63"/>
  <c r="L282" i="63" s="1"/>
  <c r="AN282" i="63"/>
  <c r="AS282" i="63" s="1"/>
  <c r="P282" i="63"/>
  <c r="U282" i="63" s="1"/>
  <c r="W282" i="63" l="1"/>
  <c r="Z282" i="63"/>
  <c r="AM282" i="63"/>
  <c r="AT282" i="63" l="1"/>
  <c r="N283" i="63"/>
  <c r="O283" i="63"/>
  <c r="AU282" i="63"/>
  <c r="AV282" i="63" s="1"/>
  <c r="AN283" i="63" l="1"/>
  <c r="AS283" i="63" s="1"/>
  <c r="M283" i="63"/>
  <c r="L283" i="63" s="1"/>
  <c r="Q283" i="63"/>
  <c r="V283" i="63" s="1"/>
  <c r="Z283" i="63" l="1"/>
  <c r="AM283" i="63"/>
  <c r="P283" i="63"/>
  <c r="U283" i="63" l="1"/>
  <c r="W283" i="63"/>
  <c r="AT283" i="63" l="1"/>
  <c r="N284" i="63"/>
  <c r="AU283" i="63"/>
  <c r="AV283" i="63" s="1"/>
  <c r="O284" i="63"/>
  <c r="AN284" i="63" l="1"/>
  <c r="AS284" i="63" s="1"/>
  <c r="M284" i="63"/>
  <c r="L284" i="63" s="1"/>
  <c r="Q284" i="63"/>
  <c r="V284" i="63" s="1"/>
  <c r="Z284" i="63" l="1"/>
  <c r="AM284" i="63"/>
  <c r="P284" i="63"/>
  <c r="U284" i="63" l="1"/>
  <c r="W284" i="63"/>
  <c r="AU284" i="63" l="1"/>
  <c r="AV284" i="63" s="1"/>
  <c r="AT284" i="63"/>
  <c r="N285" i="63"/>
  <c r="O285" i="63"/>
  <c r="AN285" i="63" l="1"/>
  <c r="AS285" i="63" s="1"/>
  <c r="Q285" i="63"/>
  <c r="V285" i="63" s="1"/>
  <c r="M285" i="63"/>
  <c r="L285" i="63" s="1"/>
  <c r="Z285" i="63" l="1"/>
  <c r="AM285" i="63"/>
  <c r="P285" i="63"/>
  <c r="U285" i="63" l="1"/>
  <c r="W285" i="63"/>
  <c r="AT285" i="63" l="1"/>
  <c r="N286" i="63"/>
  <c r="AU285" i="63"/>
  <c r="AV285" i="63" s="1"/>
  <c r="O286" i="63"/>
  <c r="AN286" i="63" l="1"/>
  <c r="AS286" i="63" s="1"/>
  <c r="M286" i="63"/>
  <c r="L286" i="63" s="1"/>
  <c r="Q286" i="63"/>
  <c r="V286" i="63" s="1"/>
  <c r="Z286" i="63" l="1"/>
  <c r="AM286" i="63"/>
  <c r="P286" i="63"/>
  <c r="W286" i="63" l="1"/>
  <c r="U286" i="63"/>
  <c r="AT286" i="63" l="1"/>
  <c r="O287" i="63"/>
  <c r="N287" i="63"/>
  <c r="AU286" i="63"/>
  <c r="AV286" i="63" s="1"/>
  <c r="Q287" i="63" l="1"/>
  <c r="V287" i="63" s="1"/>
  <c r="M287" i="63"/>
  <c r="L287" i="63" s="1"/>
  <c r="AN287" i="63"/>
  <c r="AS287" i="63" s="1"/>
  <c r="P287" i="63"/>
  <c r="U287" i="63" s="1"/>
  <c r="Z287" i="63" l="1"/>
  <c r="AM287" i="63"/>
  <c r="W287" i="63"/>
  <c r="N288" i="63" l="1"/>
  <c r="AU287" i="63"/>
  <c r="AV287" i="63" s="1"/>
  <c r="O288" i="63"/>
  <c r="AT287" i="63"/>
  <c r="AN288" i="63" l="1"/>
  <c r="AS288" i="63" s="1"/>
  <c r="Q288" i="63"/>
  <c r="V288" i="63" s="1"/>
  <c r="M288" i="63"/>
  <c r="L288" i="63" s="1"/>
  <c r="Z288" i="63" l="1"/>
  <c r="AM288" i="63"/>
  <c r="P288" i="63"/>
  <c r="U288" i="63" l="1"/>
  <c r="W288" i="63"/>
  <c r="AT288" i="63" l="1"/>
  <c r="O289" i="63"/>
  <c r="N289" i="63"/>
  <c r="AU288" i="63"/>
  <c r="AV288" i="63" s="1"/>
  <c r="Q289" i="63" l="1"/>
  <c r="V289" i="63" s="1"/>
  <c r="M289" i="63"/>
  <c r="L289" i="63" s="1"/>
  <c r="AN289" i="63"/>
  <c r="AS289" i="63" s="1"/>
  <c r="P289" i="63" l="1"/>
  <c r="W289" i="63" s="1"/>
  <c r="AM289" i="63"/>
  <c r="Z289" i="63"/>
  <c r="U289" i="63" l="1"/>
  <c r="O290" i="63"/>
  <c r="AT289" i="63"/>
  <c r="AU289" i="63"/>
  <c r="AV289" i="63" s="1"/>
  <c r="N290" i="63"/>
  <c r="Q290" i="63" l="1"/>
  <c r="V290" i="63" s="1"/>
  <c r="M290" i="63"/>
  <c r="L290" i="63" s="1"/>
  <c r="AN290" i="63"/>
  <c r="AS290" i="63" s="1"/>
  <c r="P290" i="63" l="1"/>
  <c r="W290" i="63" s="1"/>
  <c r="Z290" i="63"/>
  <c r="AM290" i="63"/>
  <c r="U290" i="63" l="1"/>
  <c r="AU290" i="63"/>
  <c r="AV290" i="63" s="1"/>
  <c r="O291" i="63"/>
  <c r="AT290" i="63"/>
  <c r="N291" i="63"/>
  <c r="M291" i="63" l="1"/>
  <c r="L291" i="63" s="1"/>
  <c r="Q291" i="63"/>
  <c r="V291" i="63" s="1"/>
  <c r="AN291" i="63"/>
  <c r="AS291" i="63" s="1"/>
  <c r="P291" i="63" l="1"/>
  <c r="Z291" i="63"/>
  <c r="AM291" i="63"/>
  <c r="U291" i="63" l="1"/>
  <c r="W291" i="63"/>
  <c r="O292" i="63" l="1"/>
  <c r="AU291" i="63"/>
  <c r="AV291" i="63" s="1"/>
  <c r="AT291" i="63"/>
  <c r="N292" i="63"/>
  <c r="Q292" i="63" l="1"/>
  <c r="V292" i="63" s="1"/>
  <c r="M292" i="63"/>
  <c r="L292" i="63" s="1"/>
  <c r="AN292" i="63"/>
  <c r="AS292" i="63" s="1"/>
  <c r="P292" i="63" l="1"/>
  <c r="U292" i="63" s="1"/>
  <c r="Z292" i="63"/>
  <c r="AM292" i="63"/>
  <c r="W292" i="63"/>
  <c r="O293" i="63" l="1"/>
  <c r="AT292" i="63"/>
  <c r="N293" i="63"/>
  <c r="AU292" i="63"/>
  <c r="AV292" i="63" s="1"/>
  <c r="Q293" i="63" l="1"/>
  <c r="V293" i="63" s="1"/>
  <c r="M293" i="63"/>
  <c r="L293" i="63" s="1"/>
  <c r="AN293" i="63"/>
  <c r="AS293" i="63" s="1"/>
  <c r="P293" i="63"/>
  <c r="W293" i="63" l="1"/>
  <c r="U293" i="63"/>
  <c r="Z293" i="63"/>
  <c r="AM293" i="63"/>
  <c r="O294" i="63" l="1"/>
  <c r="AT293" i="63"/>
  <c r="AU293" i="63"/>
  <c r="AV293" i="63" s="1"/>
  <c r="N294" i="63"/>
  <c r="M294" i="63" l="1"/>
  <c r="L294" i="63" s="1"/>
  <c r="Q294" i="63"/>
  <c r="V294" i="63" s="1"/>
  <c r="AN294" i="63"/>
  <c r="AS294" i="63" s="1"/>
  <c r="P294" i="63" l="1"/>
  <c r="AM294" i="63"/>
  <c r="Z294" i="63"/>
  <c r="U294" i="63" l="1"/>
  <c r="W294" i="63"/>
  <c r="O295" i="63" l="1"/>
  <c r="AU294" i="63"/>
  <c r="AV294" i="63" s="1"/>
  <c r="N295" i="63"/>
  <c r="AT294" i="63"/>
  <c r="M295" i="63" l="1"/>
  <c r="L295" i="63" s="1"/>
  <c r="Q295" i="63"/>
  <c r="V295" i="63" s="1"/>
  <c r="AN295" i="63"/>
  <c r="AS295" i="63" s="1"/>
  <c r="P295" i="63" l="1"/>
  <c r="U295" i="63" s="1"/>
  <c r="W295" i="63"/>
  <c r="Z295" i="63"/>
  <c r="AM295" i="63"/>
  <c r="AT295" i="63" l="1"/>
  <c r="O296" i="63"/>
  <c r="N296" i="63"/>
  <c r="AU295" i="63"/>
  <c r="AV295" i="63" s="1"/>
  <c r="Q296" i="63" l="1"/>
  <c r="V296" i="63" s="1"/>
  <c r="M296" i="63"/>
  <c r="L296" i="63" s="1"/>
  <c r="AN296" i="63"/>
  <c r="AS296" i="63" s="1"/>
  <c r="P296" i="63" l="1"/>
  <c r="U296" i="63" s="1"/>
  <c r="Z296" i="63"/>
  <c r="AM296" i="63"/>
  <c r="W296" i="63" l="1"/>
  <c r="O297" i="63"/>
  <c r="AU296" i="63"/>
  <c r="AV296" i="63" s="1"/>
  <c r="AT296" i="63"/>
  <c r="N297" i="63"/>
  <c r="M297" i="63" l="1"/>
  <c r="L297" i="63" s="1"/>
  <c r="Q297" i="63"/>
  <c r="V297" i="63" s="1"/>
  <c r="AN297" i="63"/>
  <c r="AS297" i="63" s="1"/>
  <c r="P297" i="63" l="1"/>
  <c r="Z297" i="63"/>
  <c r="AM297" i="63"/>
  <c r="W297" i="63" l="1"/>
  <c r="U297" i="63"/>
  <c r="AT297" i="63" l="1"/>
  <c r="O298" i="63"/>
  <c r="N298" i="63"/>
  <c r="AU297" i="63"/>
  <c r="AV297" i="63" s="1"/>
  <c r="Q298" i="63" l="1"/>
  <c r="V298" i="63" s="1"/>
  <c r="M298" i="63"/>
  <c r="L298" i="63" s="1"/>
  <c r="AN298" i="63"/>
  <c r="AS298" i="63" s="1"/>
  <c r="P298" i="63" l="1"/>
  <c r="U298" i="63" s="1"/>
  <c r="Z298" i="63"/>
  <c r="AM298" i="63"/>
  <c r="W298" i="63" l="1"/>
  <c r="AU298" i="63" s="1"/>
  <c r="AV298" i="63" s="1"/>
  <c r="O299" i="63" l="1"/>
  <c r="AN299" i="63" s="1"/>
  <c r="AS299" i="63" s="1"/>
  <c r="AT298" i="63"/>
  <c r="N299" i="63"/>
  <c r="M299" i="63"/>
  <c r="L299" i="63" s="1"/>
  <c r="Q299" i="63"/>
  <c r="V299" i="63" s="1"/>
  <c r="Z299" i="63" l="1"/>
  <c r="AM299" i="63"/>
  <c r="P299" i="63"/>
  <c r="U299" i="63" l="1"/>
  <c r="W299" i="63"/>
  <c r="AT299" i="63" l="1"/>
  <c r="O300" i="63"/>
  <c r="AU299" i="63"/>
  <c r="AV299" i="63" s="1"/>
  <c r="N300" i="63"/>
  <c r="Q300" i="63" l="1"/>
  <c r="V300" i="63" s="1"/>
  <c r="M300" i="63"/>
  <c r="L300" i="63" s="1"/>
  <c r="AN300" i="63"/>
  <c r="AS300" i="63" s="1"/>
  <c r="P300" i="63"/>
  <c r="U300" i="63" s="1"/>
  <c r="W300" i="63" l="1"/>
  <c r="Z300" i="63"/>
  <c r="AM300" i="63"/>
  <c r="AU300" i="63" l="1"/>
  <c r="AV300" i="63" s="1"/>
  <c r="AT300" i="63"/>
  <c r="N301" i="63"/>
  <c r="O301" i="63"/>
  <c r="AN301" i="63" l="1"/>
  <c r="AS301" i="63" s="1"/>
  <c r="M301" i="63"/>
  <c r="L301" i="63" s="1"/>
  <c r="Q301" i="63"/>
  <c r="V301" i="63" s="1"/>
  <c r="Z301" i="63" l="1"/>
  <c r="AM301" i="63"/>
  <c r="P301" i="63"/>
  <c r="U301" i="63" l="1"/>
  <c r="W301" i="63"/>
  <c r="N302" i="63" l="1"/>
  <c r="AT301" i="63"/>
  <c r="AU301" i="63"/>
  <c r="AV301" i="63" s="1"/>
  <c r="O302" i="63"/>
  <c r="AN302" i="63" l="1"/>
  <c r="AS302" i="63" s="1"/>
  <c r="M302" i="63"/>
  <c r="L302" i="63" s="1"/>
  <c r="Q302" i="63"/>
  <c r="V302" i="63" s="1"/>
  <c r="Z302" i="63" l="1"/>
  <c r="AM302" i="63"/>
  <c r="P302" i="63"/>
  <c r="U302" i="63" l="1"/>
  <c r="W302" i="63"/>
  <c r="O303" i="63" l="1"/>
  <c r="N303" i="63"/>
  <c r="AT302" i="63"/>
  <c r="AU302" i="63"/>
  <c r="AV302" i="63" s="1"/>
  <c r="Q303" i="63" l="1"/>
  <c r="V303" i="63" s="1"/>
  <c r="M303" i="63"/>
  <c r="L303" i="63" s="1"/>
  <c r="AN303" i="63"/>
  <c r="AS303" i="63" s="1"/>
  <c r="P303" i="63"/>
  <c r="Z303" i="63" l="1"/>
  <c r="AM303" i="63"/>
  <c r="W303" i="63"/>
  <c r="U303" i="63"/>
  <c r="N304" i="63" l="1"/>
  <c r="AT303" i="63"/>
  <c r="AU303" i="63"/>
  <c r="AV303" i="63" s="1"/>
  <c r="O304" i="63"/>
  <c r="AN304" i="63" l="1"/>
  <c r="AS304" i="63" s="1"/>
  <c r="Q304" i="63"/>
  <c r="V304" i="63" s="1"/>
  <c r="M304" i="63"/>
  <c r="L304" i="63" s="1"/>
  <c r="Z304" i="63" l="1"/>
  <c r="AM304" i="63"/>
  <c r="P304" i="63"/>
  <c r="U304" i="63" l="1"/>
  <c r="W304" i="63"/>
  <c r="O305" i="63" l="1"/>
  <c r="N305" i="63"/>
  <c r="AT304" i="63"/>
  <c r="AU304" i="63"/>
  <c r="AV304" i="63" s="1"/>
  <c r="Q305" i="63" l="1"/>
  <c r="V305" i="63" s="1"/>
  <c r="M305" i="63"/>
  <c r="L305" i="63" s="1"/>
  <c r="AN305" i="63"/>
  <c r="AS305" i="63" s="1"/>
  <c r="P305" i="63" l="1"/>
  <c r="U305" i="63" s="1"/>
  <c r="Z305" i="63"/>
  <c r="AM305" i="63"/>
  <c r="W305" i="63" l="1"/>
  <c r="O306" i="63"/>
  <c r="AT305" i="63"/>
  <c r="AU305" i="63"/>
  <c r="AV305" i="63" s="1"/>
  <c r="N306" i="63"/>
  <c r="M306" i="63" l="1"/>
  <c r="L306" i="63" s="1"/>
  <c r="Q306" i="63"/>
  <c r="V306" i="63" s="1"/>
  <c r="AN306" i="63"/>
  <c r="AS306" i="63" s="1"/>
  <c r="P306" i="63" l="1"/>
  <c r="U306" i="63" s="1"/>
  <c r="W306" i="63"/>
  <c r="Z306" i="63"/>
  <c r="AM306" i="63"/>
  <c r="AT306" i="63" l="1"/>
  <c r="O307" i="63"/>
  <c r="AU306" i="63"/>
  <c r="AV306" i="63" s="1"/>
  <c r="N307" i="63"/>
  <c r="M307" i="63" l="1"/>
  <c r="L307" i="63" s="1"/>
  <c r="Q307" i="63"/>
  <c r="V307" i="63" s="1"/>
  <c r="AN307" i="63"/>
  <c r="AS307" i="63" s="1"/>
  <c r="P307" i="63" l="1"/>
  <c r="Z307" i="63"/>
  <c r="AM307" i="63"/>
  <c r="U307" i="63" l="1"/>
  <c r="W307" i="63"/>
  <c r="AT307" i="63" l="1"/>
  <c r="N308" i="63"/>
  <c r="AU307" i="63"/>
  <c r="AV307" i="63" s="1"/>
  <c r="O308" i="63"/>
  <c r="AN308" i="63" l="1"/>
  <c r="AS308" i="63" s="1"/>
  <c r="Q308" i="63"/>
  <c r="V308" i="63" s="1"/>
  <c r="M308" i="63"/>
  <c r="L308" i="63" s="1"/>
  <c r="AM308" i="63" l="1"/>
  <c r="Z308" i="63"/>
  <c r="P308" i="63"/>
  <c r="U308" i="63" l="1"/>
  <c r="W308" i="63"/>
  <c r="AT308" i="63" l="1"/>
  <c r="AU308" i="63"/>
  <c r="AV308" i="63" s="1"/>
  <c r="N309" i="63"/>
  <c r="O309" i="63"/>
  <c r="AN309" i="63" l="1"/>
  <c r="AS309" i="63" s="1"/>
  <c r="M309" i="63"/>
  <c r="L309" i="63" s="1"/>
  <c r="Q309" i="63"/>
  <c r="V309" i="63" s="1"/>
  <c r="P309" i="63" l="1"/>
  <c r="Z309" i="63"/>
  <c r="AM309" i="63"/>
  <c r="U309" i="63" l="1"/>
  <c r="W309" i="63"/>
  <c r="O310" i="63" l="1"/>
  <c r="N310" i="63"/>
  <c r="AT309" i="63"/>
  <c r="AU309" i="63"/>
  <c r="AV309" i="63" s="1"/>
  <c r="M310" i="63" l="1"/>
  <c r="L310" i="63" s="1"/>
  <c r="Q310" i="63"/>
  <c r="V310" i="63" s="1"/>
  <c r="AN310" i="63"/>
  <c r="AS310" i="63" s="1"/>
  <c r="P310" i="63" l="1"/>
  <c r="U310" i="63" s="1"/>
  <c r="W310" i="63"/>
  <c r="Z310" i="63"/>
  <c r="AM310" i="63"/>
  <c r="AT310" i="63" l="1"/>
  <c r="O311" i="63"/>
  <c r="AU310" i="63"/>
  <c r="AV310" i="63" s="1"/>
  <c r="N311" i="63"/>
  <c r="Q311" i="63" l="1"/>
  <c r="V311" i="63" s="1"/>
  <c r="M311" i="63"/>
  <c r="L311" i="63" s="1"/>
  <c r="AN311" i="63"/>
  <c r="AS311" i="63" s="1"/>
  <c r="P311" i="63" l="1"/>
  <c r="Z311" i="63"/>
  <c r="AM311" i="63"/>
  <c r="W311" i="63"/>
  <c r="U311" i="63"/>
  <c r="N312" i="63" l="1"/>
  <c r="AT311" i="63"/>
  <c r="AU311" i="63"/>
  <c r="AV311" i="63" s="1"/>
  <c r="O312" i="63"/>
  <c r="AN312" i="63" l="1"/>
  <c r="AS312" i="63" s="1"/>
  <c r="Q312" i="63"/>
  <c r="V312" i="63" s="1"/>
  <c r="M312" i="63"/>
  <c r="L312" i="63" s="1"/>
  <c r="Z312" i="63" l="1"/>
  <c r="AM312" i="63"/>
  <c r="P312" i="63"/>
  <c r="U312" i="63" l="1"/>
  <c r="W312" i="63"/>
  <c r="AT312" i="63" l="1"/>
  <c r="O313" i="63"/>
  <c r="AU312" i="63"/>
  <c r="AV312" i="63" s="1"/>
  <c r="N313" i="63"/>
  <c r="M313" i="63" l="1"/>
  <c r="L313" i="63" s="1"/>
  <c r="Q313" i="63"/>
  <c r="V313" i="63" s="1"/>
  <c r="AN313" i="63"/>
  <c r="AS313" i="63" s="1"/>
  <c r="P313" i="63" l="1"/>
  <c r="Z313" i="63"/>
  <c r="AM313" i="63"/>
  <c r="U313" i="63" l="1"/>
  <c r="W313" i="63"/>
  <c r="AU313" i="63" l="1"/>
  <c r="AV313" i="63" s="1"/>
  <c r="AT313" i="63"/>
  <c r="N314" i="63"/>
  <c r="O314" i="63"/>
  <c r="AN314" i="63" l="1"/>
  <c r="AS314" i="63" s="1"/>
  <c r="Q314" i="63"/>
  <c r="V314" i="63" s="1"/>
  <c r="M314" i="63"/>
  <c r="L314" i="63" s="1"/>
  <c r="Z314" i="63" l="1"/>
  <c r="AM314" i="63"/>
  <c r="P314" i="63"/>
  <c r="U314" i="63" l="1"/>
  <c r="W314" i="63"/>
  <c r="O315" i="63" l="1"/>
  <c r="N315" i="63"/>
  <c r="AT314" i="63"/>
  <c r="AU314" i="63"/>
  <c r="AV314" i="63" s="1"/>
  <c r="M315" i="63" l="1"/>
  <c r="L315" i="63" s="1"/>
  <c r="Q315" i="63"/>
  <c r="V315" i="63" s="1"/>
  <c r="AN315" i="63"/>
  <c r="AS315" i="63" s="1"/>
  <c r="P315" i="63" l="1"/>
  <c r="Z315" i="63"/>
  <c r="AM315" i="63"/>
  <c r="U315" i="63" l="1"/>
  <c r="W315" i="63"/>
  <c r="O316" i="63" l="1"/>
  <c r="AT315" i="63"/>
  <c r="AU315" i="63"/>
  <c r="AV315" i="63" s="1"/>
  <c r="N316" i="63"/>
  <c r="M316" i="63" l="1"/>
  <c r="L316" i="63" s="1"/>
  <c r="Q316" i="63"/>
  <c r="V316" i="63" s="1"/>
  <c r="AN316" i="63"/>
  <c r="AS316" i="63" s="1"/>
  <c r="P316" i="63" l="1"/>
  <c r="U316" i="63" s="1"/>
  <c r="W316" i="63"/>
  <c r="Z316" i="63"/>
  <c r="AM316" i="63"/>
  <c r="O317" i="63" l="1"/>
  <c r="AT316" i="63"/>
  <c r="N317" i="63"/>
  <c r="AU316" i="63"/>
  <c r="AV316" i="63" s="1"/>
  <c r="Q317" i="63" l="1"/>
  <c r="V317" i="63" s="1"/>
  <c r="M317" i="63"/>
  <c r="L317" i="63" s="1"/>
  <c r="AN317" i="63"/>
  <c r="AS317" i="63" s="1"/>
  <c r="P317" i="63"/>
  <c r="U317" i="63" s="1"/>
  <c r="Z317" i="63" l="1"/>
  <c r="AM317" i="63"/>
  <c r="W317" i="63"/>
  <c r="AT317" i="63" l="1"/>
  <c r="AU317" i="63"/>
  <c r="AV317" i="63" s="1"/>
  <c r="N318" i="63"/>
  <c r="O318" i="63"/>
  <c r="AN318" i="63" l="1"/>
  <c r="AS318" i="63" s="1"/>
  <c r="M318" i="63"/>
  <c r="L318" i="63" s="1"/>
  <c r="Q318" i="63"/>
  <c r="V318" i="63" s="1"/>
  <c r="Z318" i="63" l="1"/>
  <c r="AM318" i="63"/>
  <c r="P318" i="63"/>
  <c r="U318" i="63" l="1"/>
  <c r="W318" i="63"/>
  <c r="O319" i="63" l="1"/>
  <c r="N319" i="63"/>
  <c r="AT318" i="63"/>
  <c r="AU318" i="63"/>
  <c r="AV318" i="63" s="1"/>
  <c r="Q319" i="63" l="1"/>
  <c r="V319" i="63" s="1"/>
  <c r="M319" i="63"/>
  <c r="L319" i="63" s="1"/>
  <c r="AN319" i="63"/>
  <c r="AS319" i="63" s="1"/>
  <c r="P319" i="63"/>
  <c r="W319" i="63" l="1"/>
  <c r="U319" i="63"/>
  <c r="Z319" i="63"/>
  <c r="AM319" i="63"/>
  <c r="AT319" i="63" l="1"/>
  <c r="O320" i="63"/>
  <c r="N320" i="63"/>
  <c r="AU319" i="63"/>
  <c r="AV319" i="63" s="1"/>
  <c r="M320" i="63" l="1"/>
  <c r="L320" i="63" s="1"/>
  <c r="Q320" i="63"/>
  <c r="V320" i="63" s="1"/>
  <c r="AN320" i="63"/>
  <c r="AS320" i="63" s="1"/>
  <c r="P320" i="63" l="1"/>
  <c r="U320" i="63" s="1"/>
  <c r="Z320" i="63"/>
  <c r="AM320" i="63"/>
  <c r="W320" i="63" l="1"/>
  <c r="N321" i="63"/>
  <c r="AU320" i="63"/>
  <c r="AV320" i="63" s="1"/>
  <c r="O321" i="63"/>
  <c r="AT320" i="63"/>
  <c r="AN321" i="63" l="1"/>
  <c r="AS321" i="63" s="1"/>
  <c r="Q321" i="63"/>
  <c r="V321" i="63" s="1"/>
  <c r="M321" i="63"/>
  <c r="L321" i="63" s="1"/>
  <c r="AM321" i="63" l="1"/>
  <c r="Z321" i="63"/>
  <c r="P321" i="63"/>
  <c r="U321" i="63" l="1"/>
  <c r="W321" i="63"/>
  <c r="AU321" i="63" l="1"/>
  <c r="AV321" i="63" s="1"/>
  <c r="AT321" i="63"/>
  <c r="O322" i="63"/>
  <c r="N322" i="63"/>
  <c r="M322" i="63" l="1"/>
  <c r="L322" i="63" s="1"/>
  <c r="Q322" i="63"/>
  <c r="V322" i="63" s="1"/>
  <c r="AN322" i="63"/>
  <c r="AS322" i="63" s="1"/>
  <c r="P322" i="63" l="1"/>
  <c r="U322" i="63" s="1"/>
  <c r="Z322" i="63"/>
  <c r="AM322" i="63"/>
  <c r="W322" i="63" l="1"/>
  <c r="AT322" i="63"/>
  <c r="O323" i="63"/>
  <c r="N323" i="63"/>
  <c r="AU322" i="63"/>
  <c r="AV322" i="63" s="1"/>
  <c r="M323" i="63" l="1"/>
  <c r="L323" i="63" s="1"/>
  <c r="Q323" i="63"/>
  <c r="V323" i="63" s="1"/>
  <c r="AN323" i="63"/>
  <c r="AS323" i="63" s="1"/>
  <c r="P323" i="63" l="1"/>
  <c r="U323" i="63" s="1"/>
  <c r="W323" i="63"/>
  <c r="Z323" i="63"/>
  <c r="AM323" i="63"/>
  <c r="N324" i="63" l="1"/>
  <c r="AT323" i="63"/>
  <c r="AU323" i="63"/>
  <c r="AV323" i="63" s="1"/>
  <c r="O324" i="63"/>
  <c r="AN324" i="63" l="1"/>
  <c r="AS324" i="63" s="1"/>
  <c r="Q324" i="63"/>
  <c r="V324" i="63" s="1"/>
  <c r="M324" i="63"/>
  <c r="L324" i="63" s="1"/>
  <c r="Z324" i="63" l="1"/>
  <c r="AM324" i="63"/>
  <c r="P324" i="63"/>
  <c r="U324" i="63" l="1"/>
  <c r="W324" i="63"/>
  <c r="AT324" i="63" l="1"/>
  <c r="N325" i="63"/>
  <c r="O325" i="63"/>
  <c r="AU324" i="63"/>
  <c r="AV324" i="63" s="1"/>
  <c r="AN325" i="63" l="1"/>
  <c r="AS325" i="63" s="1"/>
  <c r="M325" i="63"/>
  <c r="L325" i="63" s="1"/>
  <c r="Q325" i="63"/>
  <c r="V325" i="63" s="1"/>
  <c r="Z325" i="63" l="1"/>
  <c r="AM325" i="63"/>
  <c r="P325" i="63"/>
  <c r="U325" i="63" l="1"/>
  <c r="W325" i="63"/>
  <c r="O326" i="63" l="1"/>
  <c r="AU325" i="63"/>
  <c r="AV325" i="63" s="1"/>
  <c r="AT325" i="63"/>
  <c r="N326" i="63"/>
  <c r="M326" i="63" l="1"/>
  <c r="L326" i="63" s="1"/>
  <c r="Q326" i="63"/>
  <c r="V326" i="63" s="1"/>
  <c r="AN326" i="63"/>
  <c r="AS326" i="63" s="1"/>
  <c r="P326" i="63" l="1"/>
  <c r="U326" i="63" s="1"/>
  <c r="AM326" i="63"/>
  <c r="Z326" i="63"/>
  <c r="W326" i="63" l="1"/>
  <c r="N327" i="63"/>
  <c r="AT326" i="63"/>
  <c r="O327" i="63"/>
  <c r="AU326" i="63"/>
  <c r="AV326" i="63" s="1"/>
  <c r="AN327" i="63" l="1"/>
  <c r="AS327" i="63" s="1"/>
  <c r="M327" i="63"/>
  <c r="L327" i="63" s="1"/>
  <c r="Q327" i="63"/>
  <c r="V327" i="63" s="1"/>
  <c r="AM327" i="63" l="1"/>
  <c r="Z327" i="63"/>
  <c r="P327" i="63"/>
  <c r="U327" i="63" l="1"/>
  <c r="W327" i="63"/>
  <c r="N328" i="63" l="1"/>
  <c r="AU327" i="63"/>
  <c r="AV327" i="63" s="1"/>
  <c r="AT327" i="63"/>
  <c r="O328" i="63"/>
  <c r="AN328" i="63" l="1"/>
  <c r="AS328" i="63" s="1"/>
  <c r="Q328" i="63"/>
  <c r="V328" i="63" s="1"/>
  <c r="M328" i="63"/>
  <c r="L328" i="63" s="1"/>
  <c r="Z328" i="63" l="1"/>
  <c r="AM328" i="63"/>
  <c r="P328" i="63"/>
  <c r="U328" i="63" l="1"/>
  <c r="W328" i="63"/>
  <c r="AT328" i="63" l="1"/>
  <c r="N329" i="63"/>
  <c r="O329" i="63"/>
  <c r="AU328" i="63"/>
  <c r="AV328" i="63" s="1"/>
  <c r="AN329" i="63" l="1"/>
  <c r="AS329" i="63" s="1"/>
  <c r="Q329" i="63"/>
  <c r="V329" i="63" s="1"/>
  <c r="M329" i="63"/>
  <c r="L329" i="63" s="1"/>
  <c r="AM329" i="63" l="1"/>
  <c r="Z329" i="63"/>
  <c r="P329" i="63"/>
  <c r="U329" i="63" l="1"/>
  <c r="W329" i="63"/>
  <c r="AT329" i="63" l="1"/>
  <c r="N330" i="63"/>
  <c r="O330" i="63"/>
  <c r="AU329" i="63"/>
  <c r="AV329" i="63" s="1"/>
  <c r="AN330" i="63" l="1"/>
  <c r="AS330" i="63" s="1"/>
  <c r="M330" i="63"/>
  <c r="L330" i="63" s="1"/>
  <c r="Q330" i="63"/>
  <c r="V330" i="63" s="1"/>
  <c r="P330" i="63" l="1"/>
  <c r="AM330" i="63"/>
  <c r="Z330" i="63"/>
  <c r="U330" i="63" l="1"/>
  <c r="W330" i="63"/>
  <c r="O331" i="63" l="1"/>
  <c r="AT330" i="63"/>
  <c r="AU330" i="63"/>
  <c r="AV330" i="63" s="1"/>
  <c r="N331" i="63"/>
  <c r="M331" i="63" l="1"/>
  <c r="L331" i="63" s="1"/>
  <c r="Q331" i="63"/>
  <c r="V331" i="63" s="1"/>
  <c r="AN331" i="63"/>
  <c r="AS331" i="63" s="1"/>
  <c r="P331" i="63" l="1"/>
  <c r="U331" i="63" s="1"/>
  <c r="W331" i="63"/>
  <c r="Z331" i="63"/>
  <c r="AM331" i="63"/>
  <c r="AU331" i="63" l="1"/>
  <c r="AV331" i="63" s="1"/>
  <c r="AT331" i="63"/>
  <c r="N332" i="63"/>
  <c r="O332" i="63"/>
  <c r="AN332" i="63" l="1"/>
  <c r="AS332" i="63" s="1"/>
  <c r="M332" i="63"/>
  <c r="L332" i="63" s="1"/>
  <c r="Q332" i="63"/>
  <c r="V332" i="63" s="1"/>
  <c r="Z332" i="63" l="1"/>
  <c r="AM332" i="63"/>
  <c r="P332" i="63"/>
  <c r="U332" i="63" l="1"/>
  <c r="W332" i="63"/>
  <c r="AT332" i="63" l="1"/>
  <c r="N333" i="63"/>
  <c r="AU332" i="63"/>
  <c r="AV332" i="63" s="1"/>
  <c r="O333" i="63"/>
  <c r="AN333" i="63" l="1"/>
  <c r="AS333" i="63" s="1"/>
  <c r="Q333" i="63"/>
  <c r="V333" i="63" s="1"/>
  <c r="M333" i="63"/>
  <c r="L333" i="63" s="1"/>
  <c r="Z333" i="63" l="1"/>
  <c r="AM333" i="63"/>
  <c r="P333" i="63"/>
  <c r="U333" i="63" l="1"/>
  <c r="W333" i="63"/>
  <c r="O334" i="63" l="1"/>
  <c r="AT333" i="63"/>
  <c r="N334" i="63"/>
  <c r="AU333" i="63"/>
  <c r="AV333" i="63" s="1"/>
  <c r="M334" i="63" l="1"/>
  <c r="L334" i="63" s="1"/>
  <c r="Q334" i="63"/>
  <c r="V334" i="63" s="1"/>
  <c r="AN334" i="63"/>
  <c r="AS334" i="63" s="1"/>
  <c r="P334" i="63" l="1"/>
  <c r="Z334" i="63"/>
  <c r="AM334" i="63"/>
  <c r="U334" i="63" l="1"/>
  <c r="W334" i="63"/>
  <c r="AT334" i="63" l="1"/>
  <c r="AU334" i="63"/>
  <c r="AV334" i="63" s="1"/>
  <c r="O335" i="63"/>
  <c r="N335" i="63"/>
  <c r="M335" i="63" l="1"/>
  <c r="L335" i="63" s="1"/>
  <c r="Q335" i="63"/>
  <c r="V335" i="63" s="1"/>
  <c r="AN335" i="63"/>
  <c r="AS335" i="63" s="1"/>
  <c r="P335" i="63" l="1"/>
  <c r="U335" i="63" s="1"/>
  <c r="W335" i="63"/>
  <c r="Z335" i="63"/>
  <c r="AM335" i="63"/>
  <c r="AU335" i="63" l="1"/>
  <c r="AV335" i="63" s="1"/>
  <c r="O336" i="63"/>
  <c r="AT335" i="63"/>
  <c r="N336" i="63"/>
  <c r="M336" i="63" l="1"/>
  <c r="L336" i="63" s="1"/>
  <c r="Q336" i="63"/>
  <c r="V336" i="63" s="1"/>
  <c r="AN336" i="63"/>
  <c r="AS336" i="63" s="1"/>
  <c r="P336" i="63" l="1"/>
  <c r="U336" i="63" s="1"/>
  <c r="AM336" i="63"/>
  <c r="Z336" i="63"/>
  <c r="W336" i="63" l="1"/>
  <c r="O337" i="63" s="1"/>
  <c r="N337" i="63"/>
  <c r="AU336" i="63"/>
  <c r="AV336" i="63" s="1"/>
  <c r="AT336" i="63" l="1"/>
  <c r="M337" i="63"/>
  <c r="L337" i="63" s="1"/>
  <c r="Q337" i="63"/>
  <c r="V337" i="63" s="1"/>
  <c r="AN337" i="63"/>
  <c r="AS337" i="63" s="1"/>
  <c r="P337" i="63" l="1"/>
  <c r="U337" i="63" s="1"/>
  <c r="W337" i="63"/>
  <c r="Z337" i="63"/>
  <c r="AM337" i="63"/>
  <c r="O338" i="63" l="1"/>
  <c r="AU337" i="63"/>
  <c r="AV337" i="63" s="1"/>
  <c r="AT337" i="63"/>
  <c r="N338" i="63"/>
  <c r="M338" i="63" l="1"/>
  <c r="L338" i="63" s="1"/>
  <c r="Q338" i="63"/>
  <c r="V338" i="63" s="1"/>
  <c r="AN338" i="63"/>
  <c r="AS338" i="63" s="1"/>
  <c r="P338" i="63" l="1"/>
  <c r="U338" i="63" s="1"/>
  <c r="W338" i="63"/>
  <c r="Z338" i="63"/>
  <c r="AM338" i="63"/>
  <c r="N339" i="63" l="1"/>
  <c r="AU338" i="63"/>
  <c r="AV338" i="63" s="1"/>
  <c r="O339" i="63"/>
  <c r="AT338" i="63"/>
  <c r="AN339" i="63" l="1"/>
  <c r="AS339" i="63" s="1"/>
  <c r="M339" i="63"/>
  <c r="L339" i="63" s="1"/>
  <c r="Q339" i="63"/>
  <c r="V339" i="63" s="1"/>
  <c r="AM339" i="63" l="1"/>
  <c r="Z339" i="63"/>
  <c r="P339" i="63"/>
  <c r="U339" i="63" l="1"/>
  <c r="W339" i="63"/>
  <c r="N340" i="63" l="1"/>
  <c r="AU339" i="63"/>
  <c r="AV339" i="63" s="1"/>
  <c r="AT339" i="63"/>
  <c r="O340" i="63"/>
  <c r="AN340" i="63" l="1"/>
  <c r="AS340" i="63" s="1"/>
  <c r="M340" i="63"/>
  <c r="L340" i="63" s="1"/>
  <c r="Q340" i="63"/>
  <c r="V340" i="63" s="1"/>
  <c r="AM340" i="63" l="1"/>
  <c r="Z340" i="63"/>
  <c r="P340" i="63"/>
  <c r="U340" i="63" l="1"/>
  <c r="W340" i="63"/>
  <c r="AT340" i="63" l="1"/>
  <c r="O341" i="63"/>
  <c r="AU340" i="63"/>
  <c r="AV340" i="63" s="1"/>
  <c r="N341" i="63"/>
  <c r="M341" i="63" l="1"/>
  <c r="L341" i="63" s="1"/>
  <c r="Q341" i="63"/>
  <c r="V341" i="63" s="1"/>
  <c r="AN341" i="63"/>
  <c r="AS341" i="63" s="1"/>
  <c r="P341" i="63" l="1"/>
  <c r="Z341" i="63"/>
  <c r="AM341" i="63"/>
  <c r="U341" i="63" l="1"/>
  <c r="W341" i="63"/>
  <c r="AU341" i="63" l="1"/>
  <c r="AV341" i="63" s="1"/>
  <c r="O342" i="63"/>
  <c r="AT341" i="63"/>
  <c r="N342" i="63"/>
  <c r="Q342" i="63" l="1"/>
  <c r="V342" i="63" s="1"/>
  <c r="M342" i="63"/>
  <c r="L342" i="63" s="1"/>
  <c r="AN342" i="63"/>
  <c r="AS342" i="63" s="1"/>
  <c r="P342" i="63"/>
  <c r="U342" i="63" s="1"/>
  <c r="W342" i="63" l="1"/>
  <c r="Z342" i="63"/>
  <c r="AM342" i="63"/>
  <c r="AU342" i="63" l="1"/>
  <c r="AV342" i="63" s="1"/>
  <c r="AT342" i="63"/>
  <c r="O343" i="63"/>
  <c r="N343" i="63"/>
  <c r="Q343" i="63" l="1"/>
  <c r="V343" i="63" s="1"/>
  <c r="M343" i="63"/>
  <c r="L343" i="63" s="1"/>
  <c r="AN343" i="63"/>
  <c r="AS343" i="63" s="1"/>
  <c r="P343" i="63"/>
  <c r="U343" i="63" s="1"/>
  <c r="AM343" i="63" l="1"/>
  <c r="Z343" i="63"/>
  <c r="W343" i="63"/>
  <c r="N344" i="63" l="1"/>
  <c r="AU343" i="63"/>
  <c r="AV343" i="63" s="1"/>
  <c r="AT343" i="63"/>
  <c r="O344" i="63"/>
  <c r="AN344" i="63" l="1"/>
  <c r="AS344" i="63" s="1"/>
  <c r="M344" i="63"/>
  <c r="L344" i="63" s="1"/>
  <c r="Q344" i="63"/>
  <c r="V344" i="63" s="1"/>
  <c r="AM344" i="63" l="1"/>
  <c r="Z344" i="63"/>
  <c r="P344" i="63"/>
  <c r="U344" i="63" l="1"/>
  <c r="W344" i="63"/>
  <c r="N345" i="63" l="1"/>
  <c r="AT344" i="63"/>
  <c r="AU344" i="63"/>
  <c r="AV344" i="63" s="1"/>
  <c r="O345" i="63"/>
  <c r="AN345" i="63" l="1"/>
  <c r="AS345" i="63" s="1"/>
  <c r="Q345" i="63"/>
  <c r="V345" i="63" s="1"/>
  <c r="M345" i="63"/>
  <c r="L345" i="63" s="1"/>
  <c r="Z345" i="63" l="1"/>
  <c r="AM345" i="63"/>
  <c r="P345" i="63"/>
  <c r="U345" i="63" l="1"/>
  <c r="W345" i="63"/>
  <c r="N346" i="63" l="1"/>
  <c r="O346" i="63"/>
  <c r="AT345" i="63"/>
  <c r="AU345" i="63"/>
  <c r="AV345" i="63" s="1"/>
  <c r="AN346" i="63" l="1"/>
  <c r="AS346" i="63" s="1"/>
  <c r="Q346" i="63"/>
  <c r="V346" i="63" s="1"/>
  <c r="M346" i="63"/>
  <c r="L346" i="63" s="1"/>
  <c r="Z346" i="63" l="1"/>
  <c r="AM346" i="63"/>
  <c r="P346" i="63"/>
  <c r="U346" i="63" l="1"/>
  <c r="W346" i="63"/>
  <c r="AU346" i="63" l="1"/>
  <c r="AV346" i="63" s="1"/>
  <c r="O347" i="63"/>
  <c r="AT346" i="63"/>
  <c r="N347" i="63"/>
  <c r="M347" i="63" l="1"/>
  <c r="L347" i="63" s="1"/>
  <c r="Q347" i="63"/>
  <c r="V347" i="63" s="1"/>
  <c r="AN347" i="63"/>
  <c r="AS347" i="63" s="1"/>
  <c r="P347" i="63" l="1"/>
  <c r="U347" i="63" s="1"/>
  <c r="W347" i="63"/>
  <c r="Z347" i="63"/>
  <c r="AM347" i="63"/>
  <c r="AT347" i="63" l="1"/>
  <c r="N348" i="63"/>
  <c r="O348" i="63"/>
  <c r="AU347" i="63"/>
  <c r="AV347" i="63" s="1"/>
  <c r="Q348" i="63" l="1"/>
  <c r="V348" i="63" s="1"/>
  <c r="M348" i="63"/>
  <c r="L348" i="63" s="1"/>
  <c r="AN348" i="63"/>
  <c r="AS348" i="63" s="1"/>
  <c r="P348" i="63"/>
  <c r="U348" i="63" s="1"/>
  <c r="W348" i="63" l="1"/>
  <c r="Z348" i="63"/>
  <c r="AM348" i="63"/>
  <c r="N349" i="63" l="1"/>
  <c r="AU348" i="63"/>
  <c r="AV348" i="63" s="1"/>
  <c r="O349" i="63"/>
  <c r="AT348" i="63"/>
  <c r="AN349" i="63" l="1"/>
  <c r="AS349" i="63" s="1"/>
  <c r="M349" i="63"/>
  <c r="L349" i="63" s="1"/>
  <c r="Q349" i="63"/>
  <c r="V349" i="63" s="1"/>
  <c r="AM349" i="63" l="1"/>
  <c r="Z349" i="63"/>
  <c r="P349" i="63"/>
  <c r="U349" i="63" l="1"/>
  <c r="W349" i="63"/>
  <c r="O350" i="63" l="1"/>
  <c r="AT349" i="63"/>
  <c r="N350" i="63"/>
  <c r="AU349" i="63"/>
  <c r="AV349" i="63" s="1"/>
  <c r="M350" i="63" l="1"/>
  <c r="L350" i="63" s="1"/>
  <c r="Q350" i="63"/>
  <c r="V350" i="63" s="1"/>
  <c r="AN350" i="63"/>
  <c r="AS350" i="63" s="1"/>
  <c r="P350" i="63" l="1"/>
  <c r="U350" i="63" s="1"/>
  <c r="W350" i="63"/>
  <c r="Z350" i="63"/>
  <c r="AM350" i="63"/>
  <c r="O351" i="63" l="1"/>
  <c r="N351" i="63"/>
  <c r="AU350" i="63"/>
  <c r="AV350" i="63" s="1"/>
  <c r="AT350" i="63"/>
  <c r="M351" i="63" l="1"/>
  <c r="L351" i="63" s="1"/>
  <c r="Q351" i="63"/>
  <c r="V351" i="63" s="1"/>
  <c r="AN351" i="63"/>
  <c r="AS351" i="63" s="1"/>
  <c r="P351" i="63" l="1"/>
  <c r="U351" i="63" s="1"/>
  <c r="W351" i="63"/>
  <c r="Z351" i="63"/>
  <c r="AM351" i="63"/>
  <c r="N352" i="63" l="1"/>
  <c r="AT351" i="63"/>
  <c r="AU351" i="63"/>
  <c r="AV351" i="63" s="1"/>
  <c r="O352" i="63"/>
  <c r="AN352" i="63" l="1"/>
  <c r="AS352" i="63" s="1"/>
  <c r="M352" i="63"/>
  <c r="L352" i="63" s="1"/>
  <c r="Q352" i="63"/>
  <c r="V352" i="63" s="1"/>
  <c r="AM352" i="63" l="1"/>
  <c r="Z352" i="63"/>
  <c r="P352" i="63"/>
  <c r="U352" i="63" l="1"/>
  <c r="W352" i="63"/>
  <c r="O353" i="63" l="1"/>
  <c r="AT352" i="63"/>
  <c r="AU352" i="63"/>
  <c r="AV352" i="63" s="1"/>
  <c r="N353" i="63"/>
  <c r="M353" i="63" l="1"/>
  <c r="L353" i="63" s="1"/>
  <c r="Q353" i="63"/>
  <c r="V353" i="63" s="1"/>
  <c r="AN353" i="63"/>
  <c r="AS353" i="63" s="1"/>
  <c r="P353" i="63" l="1"/>
  <c r="U353" i="63" s="1"/>
  <c r="W353" i="63"/>
  <c r="Z353" i="63"/>
  <c r="AM353" i="63"/>
  <c r="N354" i="63" l="1"/>
  <c r="O354" i="63"/>
  <c r="AT353" i="63"/>
  <c r="AU353" i="63"/>
  <c r="AV353" i="63" s="1"/>
  <c r="AN354" i="63" l="1"/>
  <c r="AS354" i="63" s="1"/>
  <c r="M354" i="63"/>
  <c r="L354" i="63" s="1"/>
  <c r="Q354" i="63"/>
  <c r="V354" i="63" s="1"/>
  <c r="P354" i="63" l="1"/>
  <c r="Z354" i="63"/>
  <c r="AM354" i="63"/>
  <c r="U354" i="63" l="1"/>
  <c r="W354" i="63"/>
  <c r="N355" i="63" l="1"/>
  <c r="O355" i="63"/>
  <c r="AT354" i="63"/>
  <c r="AU354" i="63"/>
  <c r="AV354" i="63" s="1"/>
  <c r="AN355" i="63" l="1"/>
  <c r="AS355" i="63" s="1"/>
  <c r="M355" i="63"/>
  <c r="L355" i="63" s="1"/>
  <c r="Q355" i="63"/>
  <c r="V355" i="63" s="1"/>
  <c r="Z355" i="63" l="1"/>
  <c r="AM355" i="63"/>
  <c r="P355" i="63"/>
  <c r="U355" i="63" l="1"/>
  <c r="W355" i="63"/>
  <c r="O356" i="63" l="1"/>
  <c r="AT355" i="63"/>
  <c r="AU355" i="63"/>
  <c r="AV355" i="63" s="1"/>
  <c r="N356" i="63"/>
  <c r="M356" i="63" l="1"/>
  <c r="L356" i="63" s="1"/>
  <c r="Q356" i="63"/>
  <c r="V356" i="63" s="1"/>
  <c r="AN356" i="63"/>
  <c r="AS356" i="63" s="1"/>
  <c r="P356" i="63" l="1"/>
  <c r="U356" i="63" s="1"/>
  <c r="Z356" i="63"/>
  <c r="AM356" i="63"/>
  <c r="W356" i="63" l="1"/>
  <c r="N357" i="63" s="1"/>
  <c r="AT356" i="63"/>
  <c r="O357" i="63"/>
  <c r="AU356" i="63"/>
  <c r="AV356" i="63" s="1"/>
  <c r="AN357" i="63" l="1"/>
  <c r="AS357" i="63" s="1"/>
  <c r="Q357" i="63"/>
  <c r="V357" i="63" s="1"/>
  <c r="M357" i="63"/>
  <c r="L357" i="63" s="1"/>
  <c r="P357" i="63" l="1"/>
  <c r="AM357" i="63"/>
  <c r="Z357" i="63"/>
  <c r="U357" i="63" l="1"/>
  <c r="W357" i="63"/>
  <c r="O358" i="63" l="1"/>
  <c r="AT357" i="63"/>
  <c r="AU357" i="63"/>
  <c r="AV357" i="63" s="1"/>
  <c r="N358" i="63"/>
  <c r="M358" i="63" l="1"/>
  <c r="L358" i="63" s="1"/>
  <c r="Q358" i="63"/>
  <c r="V358" i="63" s="1"/>
  <c r="AN358" i="63"/>
  <c r="AS358" i="63" s="1"/>
  <c r="P358" i="63" l="1"/>
  <c r="U358" i="63" s="1"/>
  <c r="W358" i="63"/>
  <c r="AM358" i="63"/>
  <c r="Z358" i="63"/>
  <c r="O359" i="63" l="1"/>
  <c r="AU358" i="63"/>
  <c r="AV358" i="63" s="1"/>
  <c r="AT358" i="63"/>
  <c r="N359" i="63"/>
  <c r="M359" i="63" l="1"/>
  <c r="L359" i="63" s="1"/>
  <c r="Q359" i="63"/>
  <c r="V359" i="63" s="1"/>
  <c r="AN359" i="63"/>
  <c r="AS359" i="63" s="1"/>
  <c r="P359" i="63" l="1"/>
  <c r="U359" i="63" s="1"/>
  <c r="W359" i="63"/>
  <c r="Z359" i="63"/>
  <c r="AM359" i="63"/>
  <c r="N360" i="63" l="1"/>
  <c r="AT359" i="63"/>
  <c r="AU359" i="63"/>
  <c r="AV359" i="63" s="1"/>
  <c r="O360" i="63"/>
  <c r="AN360" i="63" l="1"/>
  <c r="AS360" i="63" s="1"/>
  <c r="M360" i="63"/>
  <c r="L360" i="63" s="1"/>
  <c r="Q360" i="63"/>
  <c r="V360" i="63" s="1"/>
  <c r="AM360" i="63" l="1"/>
  <c r="Z360" i="63"/>
  <c r="P360" i="63"/>
  <c r="U360" i="63" l="1"/>
  <c r="W360" i="63"/>
  <c r="N361" i="63" l="1"/>
  <c r="AT360" i="63"/>
  <c r="AU360" i="63"/>
  <c r="AV360" i="63" s="1"/>
  <c r="O361" i="63"/>
  <c r="AN361" i="63" l="1"/>
  <c r="AS361" i="63" s="1"/>
  <c r="M361" i="63"/>
  <c r="L361" i="63" s="1"/>
  <c r="Q361" i="63"/>
  <c r="V361" i="63" s="1"/>
  <c r="AM361" i="63" l="1"/>
  <c r="Z361" i="63"/>
  <c r="P361" i="63"/>
  <c r="U361" i="63" l="1"/>
  <c r="W361" i="63"/>
  <c r="O362" i="63" l="1"/>
  <c r="AU361" i="63"/>
  <c r="AV361" i="63" s="1"/>
  <c r="AT361" i="63"/>
  <c r="N362" i="63"/>
  <c r="Q362" i="63" l="1"/>
  <c r="V362" i="63" s="1"/>
  <c r="M362" i="63"/>
  <c r="L362" i="63" s="1"/>
  <c r="AN362" i="63"/>
  <c r="AS362" i="63" s="1"/>
  <c r="P362" i="63"/>
  <c r="U362" i="63" s="1"/>
  <c r="AM362" i="63" l="1"/>
  <c r="Z362" i="63"/>
  <c r="W362" i="63"/>
  <c r="AU362" i="63" l="1"/>
  <c r="AV362" i="63" s="1"/>
  <c r="N363" i="63"/>
  <c r="O363" i="63"/>
  <c r="AT362" i="63"/>
  <c r="AN363" i="63" l="1"/>
  <c r="AS363" i="63" s="1"/>
  <c r="M363" i="63"/>
  <c r="L363" i="63" s="1"/>
  <c r="Q363" i="63"/>
  <c r="V363" i="63" s="1"/>
  <c r="Z363" i="63" l="1"/>
  <c r="AM363" i="63"/>
  <c r="P363" i="63"/>
  <c r="U363" i="63" l="1"/>
  <c r="W363" i="63"/>
  <c r="AU363" i="63" l="1"/>
  <c r="AV363" i="63" s="1"/>
  <c r="O364" i="63"/>
  <c r="AT363" i="63"/>
  <c r="N364" i="63"/>
  <c r="M364" i="63" l="1"/>
  <c r="L364" i="63" s="1"/>
  <c r="Q364" i="63"/>
  <c r="V364" i="63" s="1"/>
  <c r="AN364" i="63"/>
  <c r="AS364" i="63" s="1"/>
  <c r="P364" i="63" l="1"/>
  <c r="U364" i="63" s="1"/>
  <c r="W364" i="63"/>
  <c r="Z364" i="63"/>
  <c r="AM364" i="63"/>
  <c r="AT364" i="63" l="1"/>
  <c r="N365" i="63"/>
  <c r="AU364" i="63"/>
  <c r="AV364" i="63" s="1"/>
  <c r="O365" i="63"/>
  <c r="AN365" i="63" l="1"/>
  <c r="AS365" i="63" s="1"/>
  <c r="Q365" i="63"/>
  <c r="V365" i="63" s="1"/>
  <c r="M365" i="63"/>
  <c r="L365" i="63" s="1"/>
  <c r="Z365" i="63" l="1"/>
  <c r="AM365" i="63"/>
  <c r="P365" i="63"/>
  <c r="U365" i="63" l="1"/>
  <c r="W365" i="63"/>
  <c r="N366" i="63" l="1"/>
  <c r="AT365" i="63"/>
  <c r="AU365" i="63"/>
  <c r="AV365" i="63" s="1"/>
  <c r="O366" i="63"/>
  <c r="AN366" i="63" l="1"/>
  <c r="AS366" i="63" s="1"/>
  <c r="Q366" i="63"/>
  <c r="V366" i="63" s="1"/>
  <c r="M366" i="63"/>
  <c r="L366" i="63" s="1"/>
  <c r="AM366" i="63" l="1"/>
  <c r="Z366" i="63"/>
  <c r="P366" i="63"/>
  <c r="U366" i="63" l="1"/>
  <c r="W366" i="63"/>
  <c r="N367" i="63" l="1"/>
  <c r="AU366" i="63"/>
  <c r="AV366" i="63" s="1"/>
  <c r="AT366" i="63"/>
  <c r="O367" i="63"/>
  <c r="AN367" i="63" l="1"/>
  <c r="AS367" i="63" s="1"/>
  <c r="Q367" i="63"/>
  <c r="V367" i="63" s="1"/>
  <c r="M367" i="63"/>
  <c r="L367" i="63" s="1"/>
  <c r="AM367" i="63" l="1"/>
  <c r="Z367" i="63"/>
  <c r="P367" i="63"/>
  <c r="U367" i="63" l="1"/>
  <c r="W367" i="63"/>
  <c r="AU367" i="63" l="1"/>
  <c r="AV367" i="63" s="1"/>
  <c r="O368" i="63"/>
  <c r="N368" i="63"/>
  <c r="AT367" i="63"/>
  <c r="Q368" i="63" l="1"/>
  <c r="V368" i="63" s="1"/>
  <c r="M368" i="63"/>
  <c r="L368" i="63" s="1"/>
  <c r="AN368" i="63"/>
  <c r="AS368" i="63" s="1"/>
  <c r="P368" i="63" l="1"/>
  <c r="U368" i="63" s="1"/>
  <c r="W368" i="63"/>
  <c r="AM368" i="63"/>
  <c r="Z368" i="63"/>
  <c r="N369" i="63" l="1"/>
  <c r="AT368" i="63"/>
  <c r="AU368" i="63"/>
  <c r="AV368" i="63" s="1"/>
  <c r="O369" i="63"/>
  <c r="AN369" i="63" l="1"/>
  <c r="AS369" i="63" s="1"/>
  <c r="M369" i="63"/>
  <c r="L369" i="63" s="1"/>
  <c r="Q369" i="63"/>
  <c r="V369" i="63" s="1"/>
  <c r="Z369" i="63" l="1"/>
  <c r="AM369" i="63"/>
  <c r="P369" i="63"/>
  <c r="U369" i="63" l="1"/>
  <c r="W369" i="63"/>
  <c r="O370" i="63" l="1"/>
  <c r="N370" i="63"/>
  <c r="AU369" i="63"/>
  <c r="AV369" i="63" s="1"/>
  <c r="AT369" i="63"/>
  <c r="Q370" i="63" l="1"/>
  <c r="V370" i="63" s="1"/>
  <c r="M370" i="63"/>
  <c r="L370" i="63" s="1"/>
  <c r="AN370" i="63"/>
  <c r="AS370" i="63" s="1"/>
  <c r="P370" i="63" l="1"/>
  <c r="U370" i="63" s="1"/>
  <c r="Z370" i="63"/>
  <c r="AM370" i="63"/>
  <c r="W370" i="63" l="1"/>
  <c r="AU370" i="63"/>
  <c r="AV370" i="63" s="1"/>
  <c r="O371" i="63"/>
  <c r="AT370" i="63"/>
  <c r="N371" i="63"/>
  <c r="M371" i="63" l="1"/>
  <c r="L371" i="63" s="1"/>
  <c r="Q371" i="63"/>
  <c r="V371" i="63" s="1"/>
  <c r="AN371" i="63"/>
  <c r="AS371" i="63" s="1"/>
  <c r="P371" i="63" l="1"/>
  <c r="U371" i="63" s="1"/>
  <c r="AM371" i="63"/>
  <c r="Z371" i="63"/>
  <c r="W371" i="63" l="1"/>
  <c r="AT371" i="63" s="1"/>
  <c r="O372" i="63"/>
  <c r="N372" i="63"/>
  <c r="AU371" i="63"/>
  <c r="AV371" i="63" s="1"/>
  <c r="M372" i="63" l="1"/>
  <c r="L372" i="63" s="1"/>
  <c r="Q372" i="63"/>
  <c r="V372" i="63" s="1"/>
  <c r="AN372" i="63"/>
  <c r="AS372" i="63" s="1"/>
  <c r="P372" i="63" l="1"/>
  <c r="U372" i="63" s="1"/>
  <c r="AM372" i="63"/>
  <c r="Z372" i="63"/>
  <c r="W372" i="63" l="1"/>
  <c r="AT372" i="63"/>
  <c r="AU372" i="63"/>
  <c r="AV372" i="63" s="1"/>
  <c r="N373" i="63"/>
  <c r="O373" i="63"/>
  <c r="AN373" i="63" l="1"/>
  <c r="AS373" i="63" s="1"/>
  <c r="Q373" i="63"/>
  <c r="V373" i="63" s="1"/>
  <c r="M373" i="63"/>
  <c r="L373" i="63" s="1"/>
  <c r="Z373" i="63" l="1"/>
  <c r="AM373" i="63"/>
  <c r="P373" i="63"/>
  <c r="U373" i="63" l="1"/>
  <c r="W373" i="63"/>
  <c r="O374" i="63" l="1"/>
  <c r="N374" i="63"/>
  <c r="AT373" i="63"/>
  <c r="AU373" i="63"/>
  <c r="AV373" i="63" s="1"/>
  <c r="M374" i="63" l="1"/>
  <c r="L374" i="63" s="1"/>
  <c r="Q374" i="63"/>
  <c r="V374" i="63" s="1"/>
  <c r="AN374" i="63"/>
  <c r="AS374" i="63" s="1"/>
  <c r="P374" i="63" l="1"/>
  <c r="U374" i="63" s="1"/>
  <c r="Z374" i="63"/>
  <c r="AM374" i="63"/>
  <c r="W374" i="63" l="1"/>
  <c r="N375" i="63" s="1"/>
  <c r="O375" i="63"/>
  <c r="AU374" i="63"/>
  <c r="AV374" i="63" s="1"/>
  <c r="AT374" i="63" l="1"/>
  <c r="AN375" i="63"/>
  <c r="AS375" i="63" s="1"/>
  <c r="Q375" i="63"/>
  <c r="V375" i="63" s="1"/>
  <c r="M375" i="63"/>
  <c r="L375" i="63" s="1"/>
  <c r="AM375" i="63" l="1"/>
  <c r="Z375" i="63"/>
  <c r="P375" i="63"/>
  <c r="U375" i="63" l="1"/>
  <c r="W375" i="63"/>
  <c r="O376" i="63" l="1"/>
  <c r="AU375" i="63"/>
  <c r="AV375" i="63" s="1"/>
  <c r="AT375" i="63"/>
  <c r="N376" i="63"/>
  <c r="Q376" i="63" l="1"/>
  <c r="V376" i="63" s="1"/>
  <c r="M376" i="63"/>
  <c r="L376" i="63" s="1"/>
  <c r="AN376" i="63"/>
  <c r="AS376" i="63" s="1"/>
  <c r="P376" i="63" l="1"/>
  <c r="U376" i="63" s="1"/>
  <c r="Z376" i="63"/>
  <c r="AM376" i="63"/>
  <c r="W376" i="63"/>
  <c r="N377" i="63" l="1"/>
  <c r="O377" i="63"/>
  <c r="AT376" i="63"/>
  <c r="AU376" i="63"/>
  <c r="AV376" i="63" s="1"/>
  <c r="AN377" i="63" l="1"/>
  <c r="AS377" i="63" s="1"/>
  <c r="M377" i="63"/>
  <c r="L377" i="63" s="1"/>
  <c r="Q377" i="63"/>
  <c r="V377" i="63" s="1"/>
  <c r="AM377" i="63" l="1"/>
  <c r="Z377" i="63"/>
  <c r="P377" i="63"/>
  <c r="U377" i="63" l="1"/>
  <c r="W377" i="63"/>
  <c r="N378" i="63" l="1"/>
  <c r="AT377" i="63"/>
  <c r="O378" i="63"/>
  <c r="AU377" i="63"/>
  <c r="AV377" i="63" s="1"/>
  <c r="AN378" i="63" l="1"/>
  <c r="AS378" i="63" s="1"/>
  <c r="Q378" i="63"/>
  <c r="V378" i="63" s="1"/>
  <c r="M378" i="63"/>
  <c r="L378" i="63" s="1"/>
  <c r="Z378" i="63" l="1"/>
  <c r="AM378" i="63"/>
  <c r="P378" i="63"/>
  <c r="U378" i="63" l="1"/>
  <c r="W378" i="63"/>
  <c r="AT378" i="63" l="1"/>
  <c r="AU378" i="63"/>
  <c r="AV378" i="63" s="1"/>
  <c r="N379" i="63"/>
  <c r="O379" i="63"/>
  <c r="AN379" i="63" l="1"/>
  <c r="AS379" i="63" s="1"/>
  <c r="Q379" i="63"/>
  <c r="V379" i="63" s="1"/>
  <c r="M379" i="63"/>
  <c r="L379" i="63" s="1"/>
  <c r="Z379" i="63" l="1"/>
  <c r="AM379" i="63"/>
  <c r="P379" i="63"/>
  <c r="U379" i="63" l="1"/>
  <c r="W379" i="63"/>
  <c r="O380" i="63" l="1"/>
  <c r="AT379" i="63"/>
  <c r="N380" i="63"/>
  <c r="AU379" i="63"/>
  <c r="AV379" i="63" s="1"/>
  <c r="M380" i="63" l="1"/>
  <c r="L380" i="63" s="1"/>
  <c r="Q380" i="63"/>
  <c r="V380" i="63" s="1"/>
  <c r="AN380" i="63"/>
  <c r="AS380" i="63" s="1"/>
  <c r="P380" i="63" l="1"/>
  <c r="U380" i="63" s="1"/>
  <c r="Z380" i="63"/>
  <c r="AM380" i="63"/>
  <c r="W380" i="63" l="1"/>
  <c r="N381" i="63" s="1"/>
  <c r="O381" i="63"/>
  <c r="AU380" i="63"/>
  <c r="AV380" i="63" s="1"/>
  <c r="AT380" i="63" l="1"/>
  <c r="AN381" i="63"/>
  <c r="AS381" i="63" s="1"/>
  <c r="Q381" i="63"/>
  <c r="V381" i="63" s="1"/>
  <c r="M381" i="63"/>
  <c r="L381" i="63" s="1"/>
  <c r="AM381" i="63" l="1"/>
  <c r="Z381" i="63"/>
  <c r="P381" i="63"/>
  <c r="U381" i="63" l="1"/>
  <c r="W381" i="63"/>
  <c r="AT381" i="63" l="1"/>
  <c r="AU381" i="63"/>
  <c r="AV381" i="63" s="1"/>
  <c r="O382" i="63"/>
  <c r="N382" i="63"/>
  <c r="M382" i="63" l="1"/>
  <c r="L382" i="63" s="1"/>
  <c r="Q382" i="63"/>
  <c r="V382" i="63" s="1"/>
  <c r="AN382" i="63"/>
  <c r="AS382" i="63" s="1"/>
  <c r="P382" i="63" l="1"/>
  <c r="U382" i="63" s="1"/>
  <c r="AM382" i="63"/>
  <c r="Z382" i="63"/>
  <c r="W382" i="63" l="1"/>
  <c r="AU382" i="63" s="1"/>
  <c r="AV382" i="63" s="1"/>
  <c r="AT382" i="63"/>
  <c r="O383" i="63"/>
  <c r="N383" i="63" l="1"/>
  <c r="AN383" i="63"/>
  <c r="AS383" i="63" s="1"/>
  <c r="M383" i="63"/>
  <c r="L383" i="63" s="1"/>
  <c r="Q383" i="63"/>
  <c r="V383" i="63" s="1"/>
  <c r="AM383" i="63" l="1"/>
  <c r="Z383" i="63"/>
  <c r="P383" i="63"/>
  <c r="U383" i="63" l="1"/>
  <c r="W383" i="63"/>
  <c r="N384" i="63" l="1"/>
  <c r="AU383" i="63"/>
  <c r="AV383" i="63" s="1"/>
  <c r="O384" i="63"/>
  <c r="AT383" i="63"/>
  <c r="AN384" i="63" l="1"/>
  <c r="AS384" i="63" s="1"/>
  <c r="M384" i="63"/>
  <c r="L384" i="63" s="1"/>
  <c r="Q384" i="63"/>
  <c r="V384" i="63" s="1"/>
  <c r="Z384" i="63" l="1"/>
  <c r="AM384" i="63"/>
  <c r="P384" i="63"/>
  <c r="U384" i="63" l="1"/>
  <c r="W384" i="63"/>
  <c r="AT384" i="63" l="1"/>
  <c r="O385" i="63"/>
  <c r="AU384" i="63"/>
  <c r="AV384" i="63" s="1"/>
  <c r="N385" i="63"/>
  <c r="Q385" i="63" l="1"/>
  <c r="V385" i="63" s="1"/>
  <c r="M385" i="63"/>
  <c r="L385" i="63" s="1"/>
  <c r="AN385" i="63"/>
  <c r="AS385" i="63" s="1"/>
  <c r="P385" i="63"/>
  <c r="U385" i="63" s="1"/>
  <c r="AM385" i="63" l="1"/>
  <c r="Z385" i="63"/>
  <c r="W385" i="63"/>
  <c r="AT385" i="63" l="1"/>
  <c r="O386" i="63"/>
  <c r="AU385" i="63"/>
  <c r="AV385" i="63" s="1"/>
  <c r="N386" i="63"/>
  <c r="M386" i="63" l="1"/>
  <c r="L386" i="63" s="1"/>
  <c r="Q386" i="63"/>
  <c r="V386" i="63" s="1"/>
  <c r="AN386" i="63"/>
  <c r="AS386" i="63" s="1"/>
  <c r="P386" i="63" l="1"/>
  <c r="AM386" i="63"/>
  <c r="Z386" i="63"/>
  <c r="U386" i="63" l="1"/>
  <c r="W386" i="63"/>
  <c r="O387" i="63" l="1"/>
  <c r="N387" i="63"/>
  <c r="AU386" i="63"/>
  <c r="AV386" i="63" s="1"/>
  <c r="AT386" i="63"/>
  <c r="M387" i="63" l="1"/>
  <c r="L387" i="63" s="1"/>
  <c r="Q387" i="63"/>
  <c r="V387" i="63" s="1"/>
  <c r="AN387" i="63"/>
  <c r="AS387" i="63" s="1"/>
  <c r="P387" i="63" l="1"/>
  <c r="AM387" i="63"/>
  <c r="Z387" i="63"/>
  <c r="U387" i="63" l="1"/>
  <c r="W387" i="63"/>
  <c r="AU387" i="63" l="1"/>
  <c r="AV387" i="63" s="1"/>
  <c r="O388" i="63"/>
  <c r="AT387" i="63"/>
  <c r="N388" i="63"/>
  <c r="Q388" i="63" l="1"/>
  <c r="V388" i="63" s="1"/>
  <c r="M388" i="63"/>
  <c r="L388" i="63" s="1"/>
  <c r="AN388" i="63"/>
  <c r="AS388" i="63" s="1"/>
  <c r="P388" i="63"/>
  <c r="U388" i="63" s="1"/>
  <c r="Z388" i="63" l="1"/>
  <c r="AM388" i="63"/>
  <c r="W388" i="63"/>
  <c r="AU388" i="63" l="1"/>
  <c r="AV388" i="63" s="1"/>
  <c r="N389" i="63"/>
  <c r="AT388" i="63"/>
  <c r="O389" i="63"/>
  <c r="AN389" i="63" l="1"/>
  <c r="AS389" i="63" s="1"/>
  <c r="M389" i="63"/>
  <c r="L389" i="63" s="1"/>
  <c r="Q389" i="63"/>
  <c r="V389" i="63" s="1"/>
  <c r="Z389" i="63" l="1"/>
  <c r="AM389" i="63"/>
  <c r="P389" i="63"/>
  <c r="U389" i="63" l="1"/>
  <c r="W389" i="63"/>
  <c r="AT389" i="63" l="1"/>
  <c r="N390" i="63"/>
  <c r="O390" i="63"/>
  <c r="AU389" i="63"/>
  <c r="AV389" i="63" s="1"/>
  <c r="AN390" i="63" l="1"/>
  <c r="AS390" i="63" s="1"/>
  <c r="Q390" i="63"/>
  <c r="V390" i="63" s="1"/>
  <c r="M390" i="63"/>
  <c r="L390" i="63" s="1"/>
  <c r="Z390" i="63" l="1"/>
  <c r="AM390" i="63"/>
  <c r="P390" i="63"/>
  <c r="U390" i="63" l="1"/>
  <c r="W390" i="63"/>
  <c r="AT390" i="63" l="1"/>
  <c r="O391" i="63"/>
  <c r="N391" i="63"/>
  <c r="AU390" i="63"/>
  <c r="AV390" i="63" s="1"/>
  <c r="M391" i="63" l="1"/>
  <c r="L391" i="63" s="1"/>
  <c r="Q391" i="63"/>
  <c r="V391" i="63" s="1"/>
  <c r="AN391" i="63"/>
  <c r="AS391" i="63" s="1"/>
  <c r="P391" i="63" l="1"/>
  <c r="Z391" i="63"/>
  <c r="AM391" i="63"/>
  <c r="U391" i="63" l="1"/>
  <c r="W391" i="63"/>
  <c r="AT391" i="63" l="1"/>
  <c r="N392" i="63"/>
  <c r="O392" i="63"/>
  <c r="AU391" i="63"/>
  <c r="AV391" i="63" s="1"/>
  <c r="AN392" i="63" l="1"/>
  <c r="AS392" i="63" s="1"/>
  <c r="M392" i="63"/>
  <c r="L392" i="63" s="1"/>
  <c r="Q392" i="63"/>
  <c r="V392" i="63" s="1"/>
  <c r="Z392" i="63" l="1"/>
  <c r="AM392" i="63"/>
  <c r="P392" i="63"/>
  <c r="U392" i="63" l="1"/>
  <c r="W392" i="63"/>
  <c r="AT392" i="63" l="1"/>
  <c r="O393" i="63"/>
  <c r="N393" i="63"/>
  <c r="AU392" i="63"/>
  <c r="AV392" i="63" s="1"/>
  <c r="Q393" i="63" l="1"/>
  <c r="V393" i="63" s="1"/>
  <c r="M393" i="63"/>
  <c r="L393" i="63" s="1"/>
  <c r="AN393" i="63"/>
  <c r="AS393" i="63" s="1"/>
  <c r="P393" i="63"/>
  <c r="U393" i="63" s="1"/>
  <c r="W393" i="63" l="1"/>
  <c r="Z393" i="63"/>
  <c r="AM393" i="63"/>
  <c r="AT393" i="63" l="1"/>
  <c r="N394" i="63"/>
  <c r="AU393" i="63"/>
  <c r="AV393" i="63" s="1"/>
  <c r="O394" i="63"/>
  <c r="AN394" i="63" l="1"/>
  <c r="AS394" i="63" s="1"/>
  <c r="M394" i="63"/>
  <c r="L394" i="63" s="1"/>
  <c r="Q394" i="63"/>
  <c r="V394" i="63" s="1"/>
  <c r="Z394" i="63" l="1"/>
  <c r="AM394" i="63"/>
  <c r="P394" i="63"/>
  <c r="U394" i="63" l="1"/>
  <c r="W394" i="63"/>
  <c r="O395" i="63" l="1"/>
  <c r="AU394" i="63"/>
  <c r="AV394" i="63" s="1"/>
  <c r="AT394" i="63"/>
  <c r="N395" i="63"/>
  <c r="M395" i="63" l="1"/>
  <c r="L395" i="63" s="1"/>
  <c r="Q395" i="63"/>
  <c r="V395" i="63" s="1"/>
  <c r="AN395" i="63"/>
  <c r="AS395" i="63" s="1"/>
  <c r="P395" i="63" l="1"/>
  <c r="U395" i="63" s="1"/>
  <c r="W395" i="63"/>
  <c r="AM395" i="63"/>
  <c r="Z395" i="63"/>
  <c r="AT395" i="63" l="1"/>
  <c r="N396" i="63"/>
  <c r="AU395" i="63"/>
  <c r="AV395" i="63" s="1"/>
  <c r="O396" i="63"/>
  <c r="AN396" i="63" l="1"/>
  <c r="AS396" i="63" s="1"/>
  <c r="M396" i="63"/>
  <c r="L396" i="63" s="1"/>
  <c r="Q396" i="63"/>
  <c r="V396" i="63" s="1"/>
  <c r="Z396" i="63" l="1"/>
  <c r="AM396" i="63"/>
  <c r="P396" i="63"/>
  <c r="U396" i="63" l="1"/>
  <c r="W396" i="63"/>
  <c r="O397" i="63" l="1"/>
  <c r="N397" i="63"/>
  <c r="AT396" i="63"/>
  <c r="AU396" i="63"/>
  <c r="AV396" i="63" s="1"/>
  <c r="Q397" i="63" l="1"/>
  <c r="V397" i="63" s="1"/>
  <c r="M397" i="63"/>
  <c r="L397" i="63" s="1"/>
  <c r="AN397" i="63"/>
  <c r="AS397" i="63" s="1"/>
  <c r="P397" i="63" l="1"/>
  <c r="U397" i="63" s="1"/>
  <c r="Z397" i="63"/>
  <c r="AM397" i="63"/>
  <c r="W397" i="63" l="1"/>
  <c r="AT397" i="63" s="1"/>
  <c r="N398" i="63"/>
  <c r="AU397" i="63"/>
  <c r="AV397" i="63" s="1"/>
  <c r="O398" i="63"/>
  <c r="AN398" i="63" l="1"/>
  <c r="AS398" i="63" s="1"/>
  <c r="M398" i="63"/>
  <c r="L398" i="63" s="1"/>
  <c r="Q398" i="63"/>
  <c r="V398" i="63" s="1"/>
  <c r="AM398" i="63" l="1"/>
  <c r="Z398" i="63"/>
  <c r="P398" i="63"/>
  <c r="U398" i="63" l="1"/>
  <c r="W398" i="63"/>
  <c r="AU398" i="63" l="1"/>
  <c r="AV398" i="63" s="1"/>
  <c r="N399" i="63"/>
  <c r="AT398" i="63"/>
  <c r="O399" i="63"/>
  <c r="AN399" i="63" l="1"/>
  <c r="AS399" i="63" s="1"/>
  <c r="Q399" i="63"/>
  <c r="V399" i="63" s="1"/>
  <c r="M399" i="63"/>
  <c r="L399" i="63" s="1"/>
  <c r="AM399" i="63" l="1"/>
  <c r="Z399" i="63"/>
  <c r="P399" i="63"/>
  <c r="U399" i="63" l="1"/>
  <c r="W399" i="63"/>
  <c r="AU399" i="63" l="1"/>
  <c r="AV399" i="63" s="1"/>
  <c r="N400" i="63"/>
  <c r="AT399" i="63"/>
  <c r="O400" i="63"/>
  <c r="M400" i="63" l="1"/>
  <c r="L400" i="63" s="1"/>
  <c r="Q400" i="63"/>
  <c r="V400" i="63" s="1"/>
  <c r="AN400" i="63"/>
  <c r="AS400" i="63" s="1"/>
  <c r="P400" i="63" l="1"/>
  <c r="U400" i="63" s="1"/>
  <c r="Z400" i="63"/>
  <c r="AM400" i="63"/>
  <c r="W400" i="63" l="1"/>
  <c r="O401" i="63"/>
  <c r="AU400" i="63"/>
  <c r="AV400" i="63" s="1"/>
  <c r="AT400" i="63"/>
  <c r="N401" i="63"/>
  <c r="Q401" i="63" l="1"/>
  <c r="V401" i="63" s="1"/>
  <c r="M401" i="63"/>
  <c r="L401" i="63" s="1"/>
  <c r="AN401" i="63"/>
  <c r="AS401" i="63" s="1"/>
  <c r="P401" i="63" l="1"/>
  <c r="U401" i="63" s="1"/>
  <c r="W401" i="63"/>
  <c r="Z401" i="63"/>
  <c r="AM401" i="63"/>
  <c r="AT401" i="63" l="1"/>
  <c r="N402" i="63"/>
  <c r="O402" i="63"/>
  <c r="AU401" i="63"/>
  <c r="AV401" i="63" s="1"/>
  <c r="AN402" i="63" l="1"/>
  <c r="AS402" i="63" s="1"/>
  <c r="M402" i="63"/>
  <c r="L402" i="63" s="1"/>
  <c r="Q402" i="63"/>
  <c r="V402" i="63" s="1"/>
  <c r="Z402" i="63" l="1"/>
  <c r="AM402" i="63"/>
  <c r="P402" i="63"/>
  <c r="U402" i="63" l="1"/>
  <c r="W402" i="63"/>
  <c r="AT402" i="63" l="1"/>
  <c r="N403" i="63"/>
  <c r="AU402" i="63"/>
  <c r="AV402" i="63" s="1"/>
  <c r="O403" i="63"/>
  <c r="AN403" i="63" l="1"/>
  <c r="AS403" i="63" s="1"/>
  <c r="Q403" i="63"/>
  <c r="V403" i="63" s="1"/>
  <c r="M403" i="63"/>
  <c r="L403" i="63" s="1"/>
  <c r="Z403" i="63" l="1"/>
  <c r="AM403" i="63"/>
  <c r="P403" i="63"/>
  <c r="U403" i="63" l="1"/>
  <c r="W403" i="63"/>
  <c r="AT403" i="63" l="1"/>
  <c r="N404" i="63"/>
  <c r="AU403" i="63"/>
  <c r="AV403" i="63" s="1"/>
  <c r="O404" i="63"/>
  <c r="AN404" i="63" l="1"/>
  <c r="AS404" i="63" s="1"/>
  <c r="M404" i="63"/>
  <c r="L404" i="63" s="1"/>
  <c r="Q404" i="63"/>
  <c r="V404" i="63" s="1"/>
  <c r="Z404" i="63" l="1"/>
  <c r="AM404" i="63"/>
  <c r="P404" i="63"/>
  <c r="U404" i="63" l="1"/>
  <c r="W404" i="63"/>
  <c r="AU404" i="63" l="1"/>
  <c r="AV404" i="63" s="1"/>
  <c r="N405" i="63"/>
  <c r="AT404" i="63"/>
  <c r="O405" i="63"/>
  <c r="AN405" i="63" l="1"/>
  <c r="AS405" i="63" s="1"/>
  <c r="Q405" i="63"/>
  <c r="V405" i="63" s="1"/>
  <c r="M405" i="63"/>
  <c r="L405" i="63" s="1"/>
  <c r="Z405" i="63" l="1"/>
  <c r="AM405" i="63"/>
  <c r="P405" i="63"/>
  <c r="U405" i="63" l="1"/>
  <c r="W405" i="63"/>
  <c r="AU405" i="63" l="1"/>
  <c r="AV405" i="63" s="1"/>
  <c r="N406" i="63"/>
  <c r="AT405" i="63"/>
  <c r="O406" i="63"/>
  <c r="AN406" i="63" l="1"/>
  <c r="AS406" i="63" s="1"/>
  <c r="Q406" i="63"/>
  <c r="V406" i="63" s="1"/>
  <c r="M406" i="63"/>
  <c r="L406" i="63" s="1"/>
  <c r="P406" i="63" l="1"/>
  <c r="Z406" i="63"/>
  <c r="AM406" i="63"/>
  <c r="U406" i="63" l="1"/>
  <c r="W406" i="63"/>
  <c r="AT406" i="63" l="1"/>
  <c r="O407" i="63"/>
  <c r="N407" i="63"/>
  <c r="AU406" i="63"/>
  <c r="AV406" i="63" s="1"/>
  <c r="M407" i="63" l="1"/>
  <c r="L407" i="63" s="1"/>
  <c r="Q407" i="63"/>
  <c r="V407" i="63" s="1"/>
  <c r="AN407" i="63"/>
  <c r="AS407" i="63" s="1"/>
  <c r="P407" i="63" l="1"/>
  <c r="Z407" i="63"/>
  <c r="AM407" i="63"/>
  <c r="U407" i="63" l="1"/>
  <c r="W407" i="63"/>
  <c r="O408" i="63" l="1"/>
  <c r="AU407" i="63"/>
  <c r="AV407" i="63" s="1"/>
  <c r="N408" i="63"/>
  <c r="AT407" i="63"/>
  <c r="M408" i="63" l="1"/>
  <c r="L408" i="63" s="1"/>
  <c r="Q408" i="63"/>
  <c r="V408" i="63" s="1"/>
  <c r="AN408" i="63"/>
  <c r="AS408" i="63" s="1"/>
  <c r="P408" i="63" l="1"/>
  <c r="U408" i="63" s="1"/>
  <c r="W408" i="63"/>
  <c r="AM408" i="63"/>
  <c r="Z408" i="63"/>
  <c r="O409" i="63" l="1"/>
  <c r="N409" i="63"/>
  <c r="AU408" i="63"/>
  <c r="AV408" i="63" s="1"/>
  <c r="AT408" i="63"/>
  <c r="M409" i="63" l="1"/>
  <c r="L409" i="63" s="1"/>
  <c r="Q409" i="63"/>
  <c r="V409" i="63" s="1"/>
  <c r="AN409" i="63"/>
  <c r="AS409" i="63" s="1"/>
  <c r="P409" i="63" l="1"/>
  <c r="Z409" i="63"/>
  <c r="AM409" i="63"/>
  <c r="U409" i="63" l="1"/>
  <c r="W409" i="63"/>
  <c r="AT409" i="63" l="1"/>
  <c r="O410" i="63"/>
  <c r="AU409" i="63"/>
  <c r="AV409" i="63" s="1"/>
  <c r="N410" i="63"/>
  <c r="M410" i="63" l="1"/>
  <c r="L410" i="63" s="1"/>
  <c r="Q410" i="63"/>
  <c r="V410" i="63" s="1"/>
  <c r="AN410" i="63"/>
  <c r="AS410" i="63" s="1"/>
  <c r="P410" i="63" l="1"/>
  <c r="U410" i="63" s="1"/>
  <c r="Z410" i="63"/>
  <c r="AM410" i="63"/>
  <c r="W410" i="63" l="1"/>
  <c r="AT410" i="63"/>
  <c r="O411" i="63"/>
  <c r="AU410" i="63"/>
  <c r="AV410" i="63" s="1"/>
  <c r="N411" i="63"/>
  <c r="Q411" i="63" l="1"/>
  <c r="V411" i="63" s="1"/>
  <c r="M411" i="63"/>
  <c r="L411" i="63" s="1"/>
  <c r="AN411" i="63"/>
  <c r="AS411" i="63" s="1"/>
  <c r="P411" i="63"/>
  <c r="U411" i="63" s="1"/>
  <c r="AM411" i="63" l="1"/>
  <c r="Z411" i="63"/>
  <c r="W411" i="63"/>
  <c r="AT411" i="63" l="1"/>
  <c r="AU411" i="63"/>
  <c r="AV411" i="63" s="1"/>
  <c r="O412" i="63"/>
  <c r="N412" i="63"/>
  <c r="M412" i="63" l="1"/>
  <c r="L412" i="63" s="1"/>
  <c r="Q412" i="63"/>
  <c r="V412" i="63" s="1"/>
  <c r="AN412" i="63"/>
  <c r="AS412" i="63" s="1"/>
  <c r="P412" i="63" l="1"/>
  <c r="W412" i="63" s="1"/>
  <c r="Z412" i="63"/>
  <c r="AM412" i="63"/>
  <c r="U412" i="63" l="1"/>
  <c r="AU412" i="63"/>
  <c r="AV412" i="63" s="1"/>
  <c r="N413" i="63"/>
  <c r="O413" i="63"/>
  <c r="AN413" i="63" s="1"/>
  <c r="AS413" i="63" s="1"/>
  <c r="AT412" i="63"/>
  <c r="M413" i="63" l="1"/>
  <c r="L413" i="63" s="1"/>
  <c r="Q413" i="63"/>
  <c r="V413" i="63" l="1"/>
  <c r="P413" i="63"/>
  <c r="Z413" i="63"/>
  <c r="AM413" i="63"/>
  <c r="U413" i="63" l="1"/>
  <c r="W413" i="63"/>
  <c r="AT413" i="63" l="1"/>
  <c r="N414" i="63"/>
  <c r="AU413" i="63"/>
  <c r="AV413" i="63" s="1"/>
  <c r="O414" i="63"/>
  <c r="AN414" i="63" s="1"/>
  <c r="AS414" i="63" s="1"/>
  <c r="M414" i="63" l="1"/>
  <c r="L414" i="63" s="1"/>
  <c r="Q414" i="63"/>
  <c r="V414" i="63" l="1"/>
  <c r="P414" i="63"/>
  <c r="AM414" i="63"/>
  <c r="Z414" i="63"/>
  <c r="W414" i="63" l="1"/>
  <c r="U414" i="63"/>
  <c r="AU414" i="63" l="1"/>
  <c r="AV414" i="63" s="1"/>
  <c r="N415" i="63"/>
  <c r="AT414" i="63"/>
  <c r="O415" i="63"/>
  <c r="AN415" i="63" l="1"/>
  <c r="AS415" i="63" s="1"/>
  <c r="M415" i="63"/>
  <c r="L415" i="63" s="1"/>
  <c r="Q415" i="63"/>
  <c r="V415" i="63" s="1"/>
  <c r="AM415" i="63" l="1"/>
  <c r="Z415" i="63"/>
  <c r="P415" i="63"/>
  <c r="U415" i="63" l="1"/>
  <c r="W415" i="63"/>
  <c r="AU415" i="63" l="1"/>
  <c r="AV415" i="63" s="1"/>
  <c r="N416" i="63"/>
  <c r="O416" i="63"/>
  <c r="AT415" i="63"/>
  <c r="AN416" i="63" l="1"/>
  <c r="AS416" i="63" s="1"/>
  <c r="M416" i="63"/>
  <c r="L416" i="63" s="1"/>
  <c r="Q416" i="63"/>
  <c r="V416" i="63" s="1"/>
  <c r="Z416" i="63" l="1"/>
  <c r="AM416" i="63"/>
  <c r="P416" i="63"/>
  <c r="U416" i="63" l="1"/>
  <c r="W416" i="63"/>
  <c r="N417" i="63" l="1"/>
  <c r="AU416" i="63"/>
  <c r="AV416" i="63" s="1"/>
  <c r="AT416" i="63"/>
  <c r="O417" i="63"/>
  <c r="AN417" i="63" l="1"/>
  <c r="AS417" i="63" s="1"/>
  <c r="Q417" i="63"/>
  <c r="V417" i="63" s="1"/>
  <c r="M417" i="63"/>
  <c r="L417" i="63" s="1"/>
  <c r="Z417" i="63" l="1"/>
  <c r="AM417" i="63"/>
  <c r="P417" i="63"/>
  <c r="U417" i="63" l="1"/>
  <c r="W417" i="63"/>
  <c r="O418" i="63" l="1"/>
  <c r="AU417" i="63"/>
  <c r="AV417" i="63" s="1"/>
  <c r="N418" i="63"/>
  <c r="AT417" i="63"/>
  <c r="Q418" i="63" l="1"/>
  <c r="V418" i="63" s="1"/>
  <c r="M418" i="63"/>
  <c r="L418" i="63" s="1"/>
  <c r="AN418" i="63"/>
  <c r="AS418" i="63" s="1"/>
  <c r="P418" i="63" l="1"/>
  <c r="U418" i="63" s="1"/>
  <c r="Z418" i="63"/>
  <c r="AM418" i="63"/>
  <c r="W418" i="63"/>
  <c r="N419" i="63" l="1"/>
  <c r="O419" i="63"/>
  <c r="AT418" i="63"/>
  <c r="AO418" i="63"/>
  <c r="AU418" i="63"/>
  <c r="AV418" i="63" s="1"/>
  <c r="AP419" i="63" l="1"/>
  <c r="AN419" i="63"/>
  <c r="AS419" i="63" s="1"/>
  <c r="Q419" i="63"/>
  <c r="V419" i="63" s="1"/>
  <c r="M419" i="63"/>
  <c r="L419" i="63" s="1"/>
  <c r="Z419" i="63" l="1"/>
  <c r="AM419" i="63"/>
  <c r="P419" i="63"/>
  <c r="U419" i="63" l="1"/>
  <c r="W419" i="63"/>
  <c r="N420" i="63" l="1"/>
  <c r="AU419" i="63"/>
  <c r="AV419" i="63"/>
  <c r="O420" i="63"/>
  <c r="AO419" i="63"/>
  <c r="AT419" i="63"/>
  <c r="AN420" i="63" l="1"/>
  <c r="AS420" i="63" s="1"/>
  <c r="AP420" i="63"/>
  <c r="M420" i="63"/>
  <c r="L420" i="63" s="1"/>
  <c r="Q420" i="63"/>
  <c r="V420" i="63" s="1"/>
  <c r="Z420" i="63" l="1"/>
  <c r="AM420" i="63"/>
  <c r="P420" i="63"/>
  <c r="U420" i="63" l="1"/>
  <c r="W420" i="63"/>
  <c r="AV420" i="63" l="1"/>
  <c r="AU420" i="63"/>
  <c r="N421" i="63"/>
  <c r="AT420" i="63"/>
  <c r="O421" i="63"/>
  <c r="AO420" i="63"/>
  <c r="AP421" i="63" l="1"/>
  <c r="AN421" i="63"/>
  <c r="AS421" i="63" s="1"/>
  <c r="Q421" i="63"/>
  <c r="V421" i="63" s="1"/>
  <c r="M421" i="63"/>
  <c r="L421" i="63" s="1"/>
  <c r="Z421" i="63" l="1"/>
  <c r="AM421" i="63"/>
  <c r="P421" i="63"/>
  <c r="U421" i="63" l="1"/>
  <c r="W421" i="63"/>
  <c r="AU421" i="63" l="1"/>
  <c r="O422" i="63"/>
  <c r="N422" i="63"/>
  <c r="AO421" i="63"/>
  <c r="AT421" i="63"/>
  <c r="AV421" i="63"/>
  <c r="M422" i="63" l="1"/>
  <c r="L422" i="63" s="1"/>
  <c r="Q422" i="63"/>
  <c r="V422" i="63" s="1"/>
  <c r="AN422" i="63"/>
  <c r="AS422" i="63" s="1"/>
  <c r="AP422" i="63"/>
  <c r="P422" i="63" l="1"/>
  <c r="U422" i="63" s="1"/>
  <c r="Z422" i="63"/>
  <c r="AM422" i="63"/>
  <c r="W422" i="63" l="1"/>
  <c r="AU422" i="63"/>
  <c r="AO422" i="63"/>
  <c r="AV422" i="63"/>
  <c r="AT422" i="63"/>
  <c r="O423" i="63"/>
  <c r="N423" i="63"/>
  <c r="M423" i="63" l="1"/>
  <c r="L423" i="63" s="1"/>
  <c r="Q423" i="63"/>
  <c r="V423" i="63" s="1"/>
  <c r="AN423" i="63"/>
  <c r="AS423" i="63" s="1"/>
  <c r="AP423" i="63"/>
  <c r="P423" i="63" l="1"/>
  <c r="U423" i="63" s="1"/>
  <c r="Z423" i="63"/>
  <c r="AM423" i="63"/>
  <c r="W423" i="63" l="1"/>
  <c r="N424" i="63" s="1"/>
  <c r="AO423" i="63"/>
  <c r="O424" i="63"/>
  <c r="AU423" i="63"/>
  <c r="AT423" i="63"/>
  <c r="AV423" i="63"/>
  <c r="AN424" i="63" l="1"/>
  <c r="AS424" i="63" s="1"/>
  <c r="AP424" i="63"/>
  <c r="Q424" i="63"/>
  <c r="V424" i="63" s="1"/>
  <c r="M424" i="63"/>
  <c r="L424" i="63" s="1"/>
  <c r="Z424" i="63" l="1"/>
  <c r="AM424" i="63"/>
  <c r="P424" i="63"/>
  <c r="U424" i="63" l="1"/>
  <c r="W424" i="63"/>
  <c r="O425" i="63" l="1"/>
  <c r="AO424" i="63"/>
  <c r="AU424" i="63"/>
  <c r="AV424" i="63"/>
  <c r="N425" i="63"/>
  <c r="AT424" i="63"/>
  <c r="M425" i="63" l="1"/>
  <c r="L425" i="63" s="1"/>
  <c r="Q425" i="63"/>
  <c r="V425" i="63" s="1"/>
  <c r="AP425" i="63"/>
  <c r="AN425" i="63"/>
  <c r="AS425" i="63" s="1"/>
  <c r="P425" i="63" l="1"/>
  <c r="U425" i="63" s="1"/>
  <c r="Z425" i="63"/>
  <c r="AM425" i="63"/>
  <c r="W425" i="63" l="1"/>
  <c r="AO425" i="63"/>
  <c r="AV425" i="63"/>
  <c r="N426" i="63"/>
  <c r="O426" i="63"/>
  <c r="AU425" i="63"/>
  <c r="AT425" i="63"/>
  <c r="M426" i="63" l="1"/>
  <c r="L426" i="63" s="1"/>
  <c r="Q426" i="63"/>
  <c r="V426" i="63" s="1"/>
  <c r="AN426" i="63"/>
  <c r="AS426" i="63" s="1"/>
  <c r="AP426" i="63"/>
  <c r="P426" i="63" l="1"/>
  <c r="U426" i="63" s="1"/>
  <c r="AM426" i="63"/>
  <c r="Z426" i="63"/>
  <c r="W426" i="63" l="1"/>
  <c r="N427" i="63" s="1"/>
  <c r="O427" i="63"/>
  <c r="AO426" i="63"/>
  <c r="AU426" i="63"/>
  <c r="AV426" i="63"/>
  <c r="AT426" i="63"/>
  <c r="AN427" i="63" l="1"/>
  <c r="AS427" i="63" s="1"/>
  <c r="AP427" i="63"/>
  <c r="M427" i="63"/>
  <c r="L427" i="63" s="1"/>
  <c r="Q427" i="63"/>
  <c r="V427" i="63" s="1"/>
  <c r="Z427" i="63" l="1"/>
  <c r="AM427" i="63"/>
  <c r="P427" i="63"/>
  <c r="U427" i="63" l="1"/>
  <c r="W427" i="63"/>
  <c r="O428" i="63" l="1"/>
  <c r="AO427" i="63"/>
  <c r="N428" i="63"/>
  <c r="AU427" i="63"/>
  <c r="AV427" i="63"/>
  <c r="AT427" i="63"/>
  <c r="M428" i="63" l="1"/>
  <c r="L428" i="63" s="1"/>
  <c r="Q428" i="63"/>
  <c r="V428" i="63" s="1"/>
  <c r="AP428" i="63"/>
  <c r="AN428" i="63"/>
  <c r="AS428" i="63" s="1"/>
  <c r="P428" i="63" l="1"/>
  <c r="U428" i="63" s="1"/>
  <c r="Z428" i="63"/>
  <c r="AM428" i="63"/>
  <c r="W428" i="63" l="1"/>
  <c r="AO428" i="63" s="1"/>
  <c r="AU428" i="63"/>
  <c r="O429" i="63"/>
  <c r="AT428" i="63"/>
  <c r="AV428" i="63"/>
  <c r="N429" i="63"/>
  <c r="Q429" i="63" l="1"/>
  <c r="V429" i="63" s="1"/>
  <c r="M429" i="63"/>
  <c r="L429" i="63" s="1"/>
  <c r="AN429" i="63"/>
  <c r="AS429" i="63" s="1"/>
  <c r="AP429" i="63"/>
  <c r="P429" i="63"/>
  <c r="Z429" i="63" l="1"/>
  <c r="AM429" i="63"/>
  <c r="U429" i="63"/>
  <c r="W429" i="63"/>
  <c r="AT429" i="63" l="1"/>
  <c r="AO429" i="63"/>
  <c r="AU429" i="63"/>
  <c r="N430" i="63"/>
  <c r="O430" i="63"/>
  <c r="AV429" i="63"/>
  <c r="AN430" i="63" l="1"/>
  <c r="AS430" i="63" s="1"/>
  <c r="AP430" i="63"/>
  <c r="M430" i="63"/>
  <c r="L430" i="63" s="1"/>
  <c r="Q430" i="63"/>
  <c r="V430" i="63" s="1"/>
  <c r="P430" i="63" l="1"/>
  <c r="U430" i="63" s="1"/>
  <c r="W430" i="63"/>
  <c r="O431" i="63" s="1"/>
  <c r="Z430" i="63"/>
  <c r="AM430" i="63"/>
  <c r="AV430" i="63"/>
  <c r="N431" i="63"/>
  <c r="AO430" i="63"/>
  <c r="AT430" i="63"/>
  <c r="AU430" i="63" l="1"/>
  <c r="AN431" i="63"/>
  <c r="AS431" i="63" s="1"/>
  <c r="AP431" i="63"/>
  <c r="M431" i="63"/>
  <c r="L431" i="63" s="1"/>
  <c r="Q431" i="63"/>
  <c r="V431" i="63" s="1"/>
  <c r="Z431" i="63" l="1"/>
  <c r="AM431" i="63"/>
  <c r="P431" i="63"/>
  <c r="U431" i="63" l="1"/>
  <c r="W431" i="63"/>
  <c r="AV431" i="63" l="1"/>
  <c r="AU431" i="63"/>
  <c r="AT431" i="63"/>
  <c r="O432" i="63"/>
  <c r="N432" i="63"/>
  <c r="AO431" i="63"/>
  <c r="Q432" i="63" l="1"/>
  <c r="V432" i="63" s="1"/>
  <c r="M432" i="63"/>
  <c r="L432" i="63" s="1"/>
  <c r="P432" i="63"/>
  <c r="U432" i="63" s="1"/>
  <c r="AP432" i="63"/>
  <c r="AN432" i="63"/>
  <c r="AS432" i="63" s="1"/>
  <c r="W432" i="63" l="1"/>
  <c r="AM432" i="63"/>
  <c r="Z432" i="63"/>
  <c r="AT432" i="63" l="1"/>
  <c r="AV432" i="63"/>
  <c r="N433" i="63"/>
  <c r="O433" i="63"/>
  <c r="AU432" i="63"/>
  <c r="AO432" i="63"/>
  <c r="AN433" i="63" l="1"/>
  <c r="AS433" i="63" s="1"/>
  <c r="AP433" i="63"/>
  <c r="M433" i="63"/>
  <c r="L433" i="63" s="1"/>
  <c r="Q433" i="63"/>
  <c r="V433" i="63" s="1"/>
  <c r="Z433" i="63" l="1"/>
  <c r="AM433" i="63"/>
  <c r="P433" i="63"/>
  <c r="U433" i="63" l="1"/>
  <c r="W433" i="63"/>
  <c r="AU433" i="63" l="1"/>
  <c r="O434" i="63"/>
  <c r="N434" i="63"/>
  <c r="AO433" i="63"/>
  <c r="AT433" i="63"/>
  <c r="AV433" i="63"/>
  <c r="Q434" i="63" l="1"/>
  <c r="V434" i="63" s="1"/>
  <c r="M434" i="63"/>
  <c r="L434" i="63" s="1"/>
  <c r="AN434" i="63"/>
  <c r="AS434" i="63" s="1"/>
  <c r="AP434" i="63"/>
  <c r="P434" i="63" l="1"/>
  <c r="U434" i="63" s="1"/>
  <c r="W434" i="63"/>
  <c r="Z434" i="63"/>
  <c r="AM434" i="63"/>
  <c r="AO434" i="63" l="1"/>
  <c r="AV434" i="63"/>
  <c r="AU434" i="63"/>
  <c r="AT434" i="63"/>
  <c r="N435" i="63"/>
  <c r="O435" i="63"/>
  <c r="AN435" i="63" l="1"/>
  <c r="AS435" i="63" s="1"/>
  <c r="AP435" i="63"/>
  <c r="Q435" i="63"/>
  <c r="V435" i="63" s="1"/>
  <c r="M435" i="63"/>
  <c r="L435" i="63" s="1"/>
  <c r="AM435" i="63" l="1"/>
  <c r="Z435" i="63"/>
  <c r="P435" i="63"/>
  <c r="U435" i="63" l="1"/>
  <c r="W435" i="63"/>
  <c r="AO435" i="63" l="1"/>
  <c r="O436" i="63"/>
  <c r="AT435" i="63"/>
  <c r="N436" i="63"/>
  <c r="AU435" i="63"/>
  <c r="AV435" i="63"/>
  <c r="Q436" i="63" l="1"/>
  <c r="V436" i="63" s="1"/>
  <c r="M436" i="63"/>
  <c r="L436" i="63" s="1"/>
  <c r="AN436" i="63"/>
  <c r="AS436" i="63" s="1"/>
  <c r="AP436" i="63"/>
  <c r="P436" i="63" l="1"/>
  <c r="U436" i="63" s="1"/>
  <c r="AM436" i="63"/>
  <c r="Z436" i="63"/>
  <c r="W436" i="63" l="1"/>
  <c r="AU436" i="63"/>
  <c r="AO436" i="63"/>
  <c r="N437" i="63"/>
  <c r="O437" i="63"/>
  <c r="AV436" i="63"/>
  <c r="AT436" i="63"/>
  <c r="AN437" i="63" l="1"/>
  <c r="AS437" i="63" s="1"/>
  <c r="AP437" i="63"/>
  <c r="M437" i="63"/>
  <c r="L437" i="63" s="1"/>
  <c r="Q437" i="63"/>
  <c r="V437" i="63" s="1"/>
  <c r="Z437" i="63" l="1"/>
  <c r="AM437" i="63"/>
  <c r="P437" i="63"/>
  <c r="U437" i="63" l="1"/>
  <c r="W437" i="63"/>
  <c r="AO437" i="63" l="1"/>
  <c r="N438" i="63"/>
  <c r="AT437" i="63"/>
  <c r="AV437" i="63"/>
  <c r="O438" i="63"/>
  <c r="AU437" i="63"/>
  <c r="AN438" i="63" l="1"/>
  <c r="AS438" i="63" s="1"/>
  <c r="AP438" i="63"/>
  <c r="M438" i="63"/>
  <c r="L438" i="63" s="1"/>
  <c r="Q438" i="63"/>
  <c r="V438" i="63" s="1"/>
  <c r="Z438" i="63" l="1"/>
  <c r="AM438" i="63"/>
  <c r="P438" i="63"/>
  <c r="U438" i="63" l="1"/>
  <c r="W438" i="63"/>
  <c r="N439" i="63" l="1"/>
  <c r="AT438" i="63"/>
  <c r="AV438" i="63"/>
  <c r="AU438" i="63"/>
  <c r="AO438" i="63"/>
  <c r="O439" i="63"/>
  <c r="AN439" i="63" l="1"/>
  <c r="AS439" i="63" s="1"/>
  <c r="AP439" i="63"/>
  <c r="Q439" i="63"/>
  <c r="V439" i="63" s="1"/>
  <c r="M439" i="63"/>
  <c r="L439" i="63" s="1"/>
  <c r="P439" i="63" l="1"/>
  <c r="Z439" i="63"/>
  <c r="AM439" i="63"/>
  <c r="U439" i="63" l="1"/>
  <c r="W439" i="63"/>
  <c r="AO439" i="63" l="1"/>
  <c r="O440" i="63"/>
  <c r="AT439" i="63"/>
  <c r="AU439" i="63"/>
  <c r="N440" i="63"/>
  <c r="AV439" i="63"/>
  <c r="M440" i="63" l="1"/>
  <c r="L440" i="63" s="1"/>
  <c r="Q440" i="63"/>
  <c r="V440" i="63" s="1"/>
  <c r="AN440" i="63"/>
  <c r="AS440" i="63" s="1"/>
  <c r="AP440" i="63"/>
  <c r="P440" i="63" l="1"/>
  <c r="U440" i="63" s="1"/>
  <c r="W440" i="63"/>
  <c r="Z440" i="63"/>
  <c r="AM440" i="63"/>
  <c r="AT440" i="63" l="1"/>
  <c r="O441" i="63"/>
  <c r="AO440" i="63"/>
  <c r="AU440" i="63"/>
  <c r="N441" i="63"/>
  <c r="AV440" i="63"/>
  <c r="M441" i="63" l="1"/>
  <c r="L441" i="63" s="1"/>
  <c r="Q441" i="63"/>
  <c r="V441" i="63" s="1"/>
  <c r="AN441" i="63"/>
  <c r="AS441" i="63" s="1"/>
  <c r="AP441" i="63"/>
  <c r="P441" i="63" l="1"/>
  <c r="U441" i="63" s="1"/>
  <c r="AM441" i="63"/>
  <c r="Z441" i="63"/>
  <c r="W441" i="63" l="1"/>
  <c r="AO441" i="63"/>
  <c r="AT441" i="63"/>
  <c r="N442" i="63"/>
  <c r="AV441" i="63"/>
  <c r="AU441" i="63"/>
  <c r="O442" i="63"/>
  <c r="AN442" i="63" l="1"/>
  <c r="AS442" i="63" s="1"/>
  <c r="AP442" i="63"/>
  <c r="M442" i="63"/>
  <c r="L442" i="63" s="1"/>
  <c r="Q442" i="63"/>
  <c r="V442" i="63" s="1"/>
  <c r="Z442" i="63" l="1"/>
  <c r="AM442" i="63"/>
  <c r="P442" i="63"/>
  <c r="U442" i="63" l="1"/>
  <c r="W442" i="63"/>
  <c r="AO442" i="63" l="1"/>
  <c r="AU442" i="63"/>
  <c r="N443" i="63"/>
  <c r="AT442" i="63"/>
  <c r="O443" i="63"/>
  <c r="AV442" i="63"/>
  <c r="AP443" i="63" l="1"/>
  <c r="AN443" i="63"/>
  <c r="AS443" i="63" s="1"/>
  <c r="M443" i="63"/>
  <c r="L443" i="63" s="1"/>
  <c r="Q443" i="63"/>
  <c r="V443" i="63" s="1"/>
  <c r="AM443" i="63" l="1"/>
  <c r="Z443" i="63"/>
  <c r="P443" i="63"/>
  <c r="U443" i="63" l="1"/>
  <c r="W443" i="63"/>
  <c r="AO443" i="63" l="1"/>
  <c r="AU443" i="63"/>
  <c r="O444" i="63"/>
  <c r="N444" i="63"/>
  <c r="AV443" i="63"/>
  <c r="AT443" i="63"/>
  <c r="M444" i="63" l="1"/>
  <c r="L444" i="63" s="1"/>
  <c r="Q444" i="63"/>
  <c r="V444" i="63" s="1"/>
  <c r="AP444" i="63"/>
  <c r="AN444" i="63"/>
  <c r="AS444" i="63" s="1"/>
  <c r="P444" i="63" l="1"/>
  <c r="U444" i="63" s="1"/>
  <c r="AM444" i="63"/>
  <c r="Z444" i="63"/>
  <c r="W444" i="63" l="1"/>
  <c r="O445" i="63" s="1"/>
  <c r="AV444" i="63"/>
  <c r="N445" i="63"/>
  <c r="AT444" i="63"/>
  <c r="AU444" i="63"/>
  <c r="AO444" i="63" l="1"/>
  <c r="Q445" i="63"/>
  <c r="V445" i="63" s="1"/>
  <c r="M445" i="63"/>
  <c r="L445" i="63" s="1"/>
  <c r="AP445" i="63"/>
  <c r="AN445" i="63"/>
  <c r="AS445" i="63" s="1"/>
  <c r="P445" i="63"/>
  <c r="U445" i="63" s="1"/>
  <c r="AM445" i="63" l="1"/>
  <c r="Z445" i="63"/>
  <c r="W445" i="63"/>
  <c r="AU445" i="63" l="1"/>
  <c r="N446" i="63"/>
  <c r="AV445" i="63"/>
  <c r="O446" i="63"/>
  <c r="AO445" i="63"/>
  <c r="AT445" i="63"/>
  <c r="AN446" i="63" l="1"/>
  <c r="AS446" i="63" s="1"/>
  <c r="AP446" i="63"/>
  <c r="M446" i="63"/>
  <c r="L446" i="63" s="1"/>
  <c r="Q446" i="63"/>
  <c r="V446" i="63" s="1"/>
  <c r="Z446" i="63" l="1"/>
  <c r="AM446" i="63"/>
  <c r="P446" i="63"/>
  <c r="U446" i="63" l="1"/>
  <c r="W446" i="63"/>
  <c r="AT446" i="63" l="1"/>
  <c r="AU446" i="63"/>
  <c r="O447" i="63"/>
  <c r="N447" i="63"/>
  <c r="AV446" i="63"/>
  <c r="AO446" i="63"/>
  <c r="M447" i="63" l="1"/>
  <c r="L447" i="63" s="1"/>
  <c r="Q447" i="63"/>
  <c r="V447" i="63" s="1"/>
  <c r="AN447" i="63"/>
  <c r="AS447" i="63" s="1"/>
  <c r="AP447" i="63"/>
  <c r="P447" i="63" l="1"/>
  <c r="U447" i="63" s="1"/>
  <c r="W447" i="63"/>
  <c r="Z447" i="63"/>
  <c r="AM447" i="63"/>
  <c r="O448" i="63" l="1"/>
  <c r="N448" i="63"/>
  <c r="AT447" i="63"/>
  <c r="AO447" i="63"/>
  <c r="AV447" i="63"/>
  <c r="AU447" i="63"/>
  <c r="M448" i="63" l="1"/>
  <c r="L448" i="63" s="1"/>
  <c r="Q448" i="63"/>
  <c r="V448" i="63" s="1"/>
  <c r="AN448" i="63"/>
  <c r="AS448" i="63" s="1"/>
  <c r="AP448" i="63"/>
  <c r="P448" i="63" l="1"/>
  <c r="U448" i="63" s="1"/>
  <c r="W448" i="63"/>
  <c r="Z448" i="63"/>
  <c r="AM448" i="63"/>
  <c r="AT448" i="63" l="1"/>
  <c r="AV448" i="63"/>
  <c r="AU448" i="63"/>
  <c r="N449" i="63"/>
  <c r="AO448" i="63"/>
  <c r="O449" i="63"/>
  <c r="AP449" i="63" l="1"/>
  <c r="AN449" i="63"/>
  <c r="AS449" i="63" s="1"/>
  <c r="Q449" i="63"/>
  <c r="V449" i="63" s="1"/>
  <c r="M449" i="63"/>
  <c r="L449" i="63" s="1"/>
  <c r="Z449" i="63" l="1"/>
  <c r="AM449" i="63"/>
  <c r="P449" i="63"/>
  <c r="U449" i="63" l="1"/>
  <c r="W449" i="63"/>
  <c r="O450" i="63" l="1"/>
  <c r="AT449" i="63"/>
  <c r="AO449" i="63"/>
  <c r="N450" i="63"/>
  <c r="AU449" i="63"/>
  <c r="AV449" i="63"/>
  <c r="M450" i="63" l="1"/>
  <c r="L450" i="63" s="1"/>
  <c r="Q450" i="63"/>
  <c r="V450" i="63" s="1"/>
  <c r="AP450" i="63"/>
  <c r="AN450" i="63"/>
  <c r="AS450" i="63" s="1"/>
  <c r="P450" i="63" l="1"/>
  <c r="U450" i="63" s="1"/>
  <c r="AM450" i="63"/>
  <c r="Z450" i="63"/>
  <c r="W450" i="63" l="1"/>
  <c r="AT450" i="63"/>
  <c r="N451" i="63"/>
  <c r="AU450" i="63"/>
  <c r="O451" i="63"/>
  <c r="AO450" i="63"/>
  <c r="AV450" i="63"/>
  <c r="AP451" i="63" l="1"/>
  <c r="AN451" i="63"/>
  <c r="AS451" i="63" s="1"/>
  <c r="M451" i="63"/>
  <c r="L451" i="63" s="1"/>
  <c r="Q451" i="63"/>
  <c r="V451" i="63" s="1"/>
  <c r="AM451" i="63" l="1"/>
  <c r="Z451" i="63"/>
  <c r="P451" i="63"/>
  <c r="U451" i="63" l="1"/>
  <c r="W451" i="63"/>
  <c r="AU451" i="63" l="1"/>
  <c r="AO451" i="63"/>
  <c r="AT451" i="63"/>
  <c r="AV451" i="63"/>
  <c r="N452" i="63"/>
  <c r="O452" i="63"/>
  <c r="AN452" i="63" l="1"/>
  <c r="AS452" i="63" s="1"/>
  <c r="AP452" i="63"/>
  <c r="Q452" i="63"/>
  <c r="V452" i="63" s="1"/>
  <c r="M452" i="63"/>
  <c r="L452" i="63" s="1"/>
  <c r="AM452" i="63" l="1"/>
  <c r="Z452" i="63"/>
  <c r="P452" i="63"/>
  <c r="U452" i="63" l="1"/>
  <c r="W452" i="63"/>
  <c r="AU452" i="63" l="1"/>
  <c r="AO452" i="63"/>
  <c r="AV452" i="63"/>
  <c r="AT452" i="63"/>
  <c r="O453" i="63"/>
  <c r="N453" i="63"/>
  <c r="Q453" i="63" l="1"/>
  <c r="V453" i="63" s="1"/>
  <c r="M453" i="63"/>
  <c r="L453" i="63" s="1"/>
  <c r="AN453" i="63"/>
  <c r="AS453" i="63" s="1"/>
  <c r="P453" i="63"/>
  <c r="U453" i="63" s="1"/>
  <c r="AP453" i="63"/>
  <c r="Z453" i="63" l="1"/>
  <c r="AM453" i="63"/>
  <c r="W453" i="63"/>
  <c r="N454" i="63" l="1"/>
  <c r="AT453" i="63"/>
  <c r="AU453" i="63"/>
  <c r="O454" i="63"/>
  <c r="AV453" i="63"/>
  <c r="AO453" i="63"/>
  <c r="AP454" i="63" l="1"/>
  <c r="AN454" i="63"/>
  <c r="AS454" i="63" s="1"/>
  <c r="M454" i="63"/>
  <c r="L454" i="63" s="1"/>
  <c r="Q454" i="63"/>
  <c r="V454" i="63" s="1"/>
  <c r="Z454" i="63" l="1"/>
  <c r="AM454" i="63"/>
  <c r="P454" i="63"/>
  <c r="U454" i="63" l="1"/>
  <c r="W454" i="63"/>
  <c r="E55" i="1"/>
  <c r="D54" i="1"/>
  <c r="AV454" i="63" l="1"/>
  <c r="AO454" i="63"/>
  <c r="N455" i="63"/>
  <c r="AU454" i="63"/>
  <c r="AT454" i="63"/>
  <c r="O455" i="63"/>
  <c r="K49" i="1"/>
  <c r="G80" i="1"/>
  <c r="G14" i="33"/>
  <c r="AP455" i="63" l="1"/>
  <c r="AN455" i="63"/>
  <c r="AS455" i="63" s="1"/>
  <c r="M455" i="63"/>
  <c r="L455" i="63" s="1"/>
  <c r="Q455" i="63"/>
  <c r="V455" i="63" s="1"/>
  <c r="G82" i="1"/>
  <c r="H80" i="1" s="1"/>
  <c r="E17" i="33"/>
  <c r="E39" i="33"/>
  <c r="E15" i="33"/>
  <c r="E16" i="33" s="1"/>
  <c r="E25" i="33"/>
  <c r="E52" i="33"/>
  <c r="Z455" i="63" l="1"/>
  <c r="AM455" i="63"/>
  <c r="P455" i="63"/>
  <c r="H76" i="1"/>
  <c r="H77" i="1"/>
  <c r="H78" i="1"/>
  <c r="H79" i="1"/>
  <c r="U455" i="63" l="1"/>
  <c r="W455" i="63"/>
  <c r="H81" i="1"/>
  <c r="H82" i="1"/>
  <c r="AV455" i="63" l="1"/>
  <c r="AT455" i="63"/>
  <c r="AO455" i="63"/>
  <c r="AU455" i="63"/>
  <c r="O456" i="63"/>
  <c r="N456" i="63"/>
  <c r="Q456" i="63" l="1"/>
  <c r="V456" i="63" s="1"/>
  <c r="M456" i="63"/>
  <c r="L456" i="63" s="1"/>
  <c r="AP456" i="63"/>
  <c r="AN456" i="63"/>
  <c r="AS456" i="63" s="1"/>
  <c r="P456" i="63"/>
  <c r="U456" i="63" s="1"/>
  <c r="Z456" i="63" l="1"/>
  <c r="AM456" i="63"/>
  <c r="W456" i="63"/>
  <c r="N457" i="63" l="1"/>
  <c r="AU456" i="63"/>
  <c r="AV456" i="63"/>
  <c r="AT456" i="63"/>
  <c r="AO456" i="63"/>
  <c r="O457" i="63"/>
  <c r="AP457" i="63" l="1"/>
  <c r="AN457" i="63"/>
  <c r="AS457" i="63" s="1"/>
  <c r="Q457" i="63"/>
  <c r="V457" i="63" s="1"/>
  <c r="M457" i="63"/>
  <c r="L457" i="63" s="1"/>
  <c r="AM457" i="63" l="1"/>
  <c r="Z457" i="63"/>
  <c r="P457" i="63"/>
  <c r="U457" i="63" l="1"/>
  <c r="W457" i="63"/>
  <c r="N458" i="63" l="1"/>
  <c r="O458" i="63"/>
  <c r="AT457" i="63"/>
  <c r="AU457" i="63"/>
  <c r="AO457" i="63"/>
  <c r="AV457" i="63"/>
  <c r="B16" i="64"/>
  <c r="B15" i="64" s="1"/>
  <c r="M2" i="64" s="1"/>
  <c r="B25" i="64"/>
  <c r="AN458" i="63" l="1"/>
  <c r="AS458" i="63" s="1"/>
  <c r="AP458" i="63"/>
  <c r="M458" i="63"/>
  <c r="L458" i="63" s="1"/>
  <c r="Q458" i="63"/>
  <c r="V458" i="63" s="1"/>
  <c r="P2" i="64"/>
  <c r="B22" i="64"/>
  <c r="P458" i="63" l="1"/>
  <c r="AM458" i="63"/>
  <c r="Z458" i="63"/>
  <c r="U458" i="63" l="1"/>
  <c r="W458" i="63"/>
  <c r="AU458" i="63" l="1"/>
  <c r="AT458" i="63"/>
  <c r="N459" i="63"/>
  <c r="AV458" i="63"/>
  <c r="AO458" i="63"/>
  <c r="O459" i="63"/>
  <c r="AP459" i="63" l="1"/>
  <c r="AN459" i="63"/>
  <c r="AS459" i="63" s="1"/>
  <c r="Q459" i="63"/>
  <c r="V459" i="63" s="1"/>
  <c r="M459" i="63"/>
  <c r="L459" i="63" s="1"/>
  <c r="Z459" i="63" l="1"/>
  <c r="AM459" i="63"/>
  <c r="P459" i="63"/>
  <c r="U459" i="63" l="1"/>
  <c r="W459" i="63"/>
  <c r="N460" i="63" l="1"/>
  <c r="AT459" i="63"/>
  <c r="O460" i="63"/>
  <c r="AO459" i="63"/>
  <c r="AV459" i="63"/>
  <c r="AU459" i="63"/>
  <c r="AN460" i="63" l="1"/>
  <c r="AS460" i="63" s="1"/>
  <c r="AP460" i="63"/>
  <c r="M460" i="63"/>
  <c r="L460" i="63" s="1"/>
  <c r="Q460" i="63"/>
  <c r="V460" i="63" s="1"/>
  <c r="AM460" i="63" l="1"/>
  <c r="Z460" i="63"/>
  <c r="P460" i="63"/>
  <c r="U460" i="63" l="1"/>
  <c r="W460" i="63"/>
  <c r="AV460" i="63" l="1"/>
  <c r="AT460" i="63"/>
  <c r="N461" i="63"/>
  <c r="O461" i="63"/>
  <c r="AO460" i="63"/>
  <c r="AU460" i="63"/>
  <c r="AN461" i="63" l="1"/>
  <c r="AS461" i="63" s="1"/>
  <c r="AP461" i="63"/>
  <c r="Q461" i="63"/>
  <c r="V461" i="63" s="1"/>
  <c r="M461" i="63"/>
  <c r="L461" i="63" s="1"/>
  <c r="Z461" i="63" l="1"/>
  <c r="AM461" i="63"/>
  <c r="P461" i="63"/>
  <c r="U461" i="63" l="1"/>
  <c r="W461" i="63"/>
  <c r="AV461" i="63" l="1"/>
  <c r="AT461" i="63"/>
  <c r="N462" i="63"/>
  <c r="AU461" i="63"/>
  <c r="AO461" i="63"/>
  <c r="O462" i="63"/>
  <c r="AP462" i="63" l="1"/>
  <c r="AN462" i="63"/>
  <c r="AS462" i="63" s="1"/>
  <c r="Q462" i="63"/>
  <c r="V462" i="63" s="1"/>
  <c r="M462" i="63"/>
  <c r="L462" i="63" s="1"/>
  <c r="Z462" i="63" l="1"/>
  <c r="AM462" i="63"/>
  <c r="P462" i="63"/>
  <c r="U462" i="63" l="1"/>
  <c r="W462" i="63"/>
  <c r="AO462" i="63" l="1"/>
  <c r="O463" i="63"/>
  <c r="AT462" i="63"/>
  <c r="AV462" i="63"/>
  <c r="N463" i="63"/>
  <c r="AU462" i="63"/>
  <c r="Q463" i="63" l="1"/>
  <c r="V463" i="63" s="1"/>
  <c r="M463" i="63"/>
  <c r="L463" i="63" s="1"/>
  <c r="AN463" i="63"/>
  <c r="AS463" i="63" s="1"/>
  <c r="AP463" i="63"/>
  <c r="P463" i="63"/>
  <c r="U463" i="63" s="1"/>
  <c r="W463" i="63" l="1"/>
  <c r="Z463" i="63"/>
  <c r="AM463" i="63"/>
  <c r="AO463" i="63" l="1"/>
  <c r="AV463" i="63"/>
  <c r="N464" i="63"/>
  <c r="AU463" i="63"/>
  <c r="O464" i="63"/>
  <c r="AT463" i="63"/>
  <c r="AN464" i="63" l="1"/>
  <c r="AS464" i="63" s="1"/>
  <c r="AP464" i="63"/>
  <c r="M464" i="63"/>
  <c r="L464" i="63" s="1"/>
  <c r="Q464" i="63"/>
  <c r="V464" i="63" s="1"/>
  <c r="Z464" i="63" l="1"/>
  <c r="AM464" i="63"/>
  <c r="P464" i="63"/>
  <c r="U464" i="63" l="1"/>
  <c r="W464" i="63"/>
  <c r="AV464" i="63" l="1"/>
  <c r="N465" i="63"/>
  <c r="AT464" i="63"/>
  <c r="O465" i="63"/>
  <c r="AO464" i="63"/>
  <c r="AU464" i="63"/>
  <c r="AP465" i="63" l="1"/>
  <c r="AN465" i="63"/>
  <c r="AS465" i="63" s="1"/>
  <c r="Q465" i="63"/>
  <c r="V465" i="63" s="1"/>
  <c r="M465" i="63"/>
  <c r="L465" i="63" s="1"/>
  <c r="Z465" i="63" l="1"/>
  <c r="AM465" i="63"/>
  <c r="P465" i="63"/>
  <c r="U465" i="63" l="1"/>
  <c r="W465" i="63"/>
  <c r="AO465" i="63" l="1"/>
  <c r="AV465" i="63"/>
  <c r="N466" i="63"/>
  <c r="AU465" i="63"/>
  <c r="O466" i="63"/>
  <c r="AT465" i="63"/>
  <c r="AN466" i="63" l="1"/>
  <c r="AS466" i="63" s="1"/>
  <c r="AP466" i="63"/>
  <c r="M466" i="63"/>
  <c r="L466" i="63" s="1"/>
  <c r="Q466" i="63"/>
  <c r="V466" i="63" s="1"/>
  <c r="Z466" i="63" l="1"/>
  <c r="AM466" i="63"/>
  <c r="P466" i="63"/>
  <c r="U466" i="63" l="1"/>
  <c r="W466" i="63"/>
  <c r="AU466" i="63" l="1"/>
  <c r="N467" i="63"/>
  <c r="AT466" i="63"/>
  <c r="AO466" i="63"/>
  <c r="AV466" i="63"/>
  <c r="O467" i="63"/>
  <c r="AN467" i="63" l="1"/>
  <c r="AS467" i="63" s="1"/>
  <c r="AP467" i="63"/>
  <c r="Q467" i="63"/>
  <c r="V467" i="63" s="1"/>
  <c r="M467" i="63"/>
  <c r="L467" i="63" s="1"/>
  <c r="AM467" i="63" l="1"/>
  <c r="Z467" i="63"/>
  <c r="P467" i="63"/>
  <c r="U467" i="63" l="1"/>
  <c r="W467" i="63"/>
  <c r="AU467" i="63" l="1"/>
  <c r="N468" i="63"/>
  <c r="AV467" i="63"/>
  <c r="O468" i="63"/>
  <c r="AO467" i="63"/>
  <c r="AT467" i="63"/>
  <c r="AN468" i="63" l="1"/>
  <c r="AS468" i="63" s="1"/>
  <c r="AP468" i="63"/>
  <c r="M468" i="63"/>
  <c r="L468" i="63" s="1"/>
  <c r="Q468" i="63"/>
  <c r="V468" i="63" s="1"/>
  <c r="Z468" i="63" l="1"/>
  <c r="AM468" i="63"/>
  <c r="P468" i="63"/>
  <c r="U468" i="63" l="1"/>
  <c r="W468" i="63"/>
  <c r="AO468" i="63" l="1"/>
  <c r="AT468" i="63"/>
  <c r="AV468" i="63"/>
  <c r="N469" i="63"/>
  <c r="AU468" i="63"/>
  <c r="O469" i="63"/>
  <c r="Q469" i="63" l="1"/>
  <c r="V469" i="63" s="1"/>
  <c r="M469" i="63"/>
  <c r="L469" i="63" s="1"/>
  <c r="AN469" i="63"/>
  <c r="AS469" i="63" s="1"/>
  <c r="AP469" i="63"/>
  <c r="P469" i="63" l="1"/>
  <c r="U469" i="63" s="1"/>
  <c r="Z469" i="63"/>
  <c r="AM469" i="63"/>
  <c r="W469" i="63" l="1"/>
  <c r="AU469" i="63"/>
  <c r="AO469" i="63"/>
  <c r="N470" i="63"/>
  <c r="O470" i="63"/>
  <c r="AT469" i="63"/>
  <c r="AV469" i="63"/>
  <c r="Q470" i="63" l="1"/>
  <c r="V470" i="63" s="1"/>
  <c r="M470" i="63"/>
  <c r="L470" i="63" s="1"/>
  <c r="AP470" i="63"/>
  <c r="AN470" i="63"/>
  <c r="AS470" i="63" s="1"/>
  <c r="P470" i="63" l="1"/>
  <c r="U470" i="63" s="1"/>
  <c r="AM470" i="63"/>
  <c r="Z470" i="63"/>
  <c r="W470" i="63" l="1"/>
  <c r="AU470" i="63" s="1"/>
  <c r="O471" i="63"/>
  <c r="N471" i="63"/>
  <c r="AO470" i="63"/>
  <c r="AT470" i="63"/>
  <c r="AV470" i="63"/>
  <c r="M471" i="63" l="1"/>
  <c r="L471" i="63" s="1"/>
  <c r="Q471" i="63"/>
  <c r="V471" i="63" s="1"/>
  <c r="AN471" i="63"/>
  <c r="AS471" i="63" s="1"/>
  <c r="AP471" i="63"/>
  <c r="P471" i="63" l="1"/>
  <c r="U471" i="63" s="1"/>
  <c r="W471" i="63"/>
  <c r="Z471" i="63"/>
  <c r="AM471" i="63"/>
  <c r="AV471" i="63" l="1"/>
  <c r="O472" i="63"/>
  <c r="N472" i="63"/>
  <c r="AU471" i="63"/>
  <c r="AT471" i="63"/>
  <c r="AO471" i="63"/>
  <c r="Q472" i="63" l="1"/>
  <c r="V472" i="63" s="1"/>
  <c r="M472" i="63"/>
  <c r="L472" i="63" s="1"/>
  <c r="AN472" i="63"/>
  <c r="AS472" i="63" s="1"/>
  <c r="AP472" i="63"/>
  <c r="P472" i="63" l="1"/>
  <c r="U472" i="63" s="1"/>
  <c r="AM472" i="63"/>
  <c r="Z472" i="63"/>
  <c r="W472" i="63" l="1"/>
  <c r="O473" i="63"/>
  <c r="N473" i="63"/>
  <c r="AV472" i="63"/>
  <c r="AO472" i="63"/>
  <c r="AT472" i="63"/>
  <c r="AU472" i="63"/>
  <c r="M473" i="63" l="1"/>
  <c r="L473" i="63" s="1"/>
  <c r="Q473" i="63"/>
  <c r="V473" i="63" s="1"/>
  <c r="AN473" i="63"/>
  <c r="AS473" i="63" s="1"/>
  <c r="AP473" i="63"/>
  <c r="P473" i="63" l="1"/>
  <c r="U473" i="63" s="1"/>
  <c r="Z473" i="63"/>
  <c r="AM473" i="63"/>
  <c r="W473" i="63" l="1"/>
  <c r="N474" i="63" s="1"/>
  <c r="AV473" i="63" l="1"/>
  <c r="AT473" i="63"/>
  <c r="AU473" i="63"/>
  <c r="AO473" i="63"/>
  <c r="O474" i="63"/>
  <c r="AN474" i="63" s="1"/>
  <c r="AS474" i="63" s="1"/>
  <c r="M474" i="63"/>
  <c r="L474" i="63" s="1"/>
  <c r="Q474" i="63"/>
  <c r="V474" i="63" s="1"/>
  <c r="AP474" i="63" l="1"/>
  <c r="Z474" i="63"/>
  <c r="AM474" i="63"/>
  <c r="P474" i="63"/>
  <c r="U474" i="63" l="1"/>
  <c r="W474" i="63"/>
  <c r="O475" i="63" l="1"/>
  <c r="AO474" i="63"/>
  <c r="N475" i="63"/>
  <c r="AT474" i="63"/>
  <c r="AV474" i="63"/>
  <c r="AU474" i="63"/>
  <c r="Q475" i="63" l="1"/>
  <c r="V475" i="63" s="1"/>
  <c r="M475" i="63"/>
  <c r="L475" i="63" s="1"/>
  <c r="AN475" i="63"/>
  <c r="AS475" i="63" s="1"/>
  <c r="AP475" i="63"/>
  <c r="P475" i="63" l="1"/>
  <c r="U475" i="63" s="1"/>
  <c r="Z475" i="63"/>
  <c r="AM475" i="63"/>
  <c r="W475" i="63" l="1"/>
  <c r="O476" i="63"/>
  <c r="N476" i="63"/>
  <c r="AV475" i="63"/>
  <c r="AU475" i="63"/>
  <c r="AO475" i="63"/>
  <c r="AT475" i="63"/>
  <c r="M476" i="63" l="1"/>
  <c r="L476" i="63" s="1"/>
  <c r="Q476" i="63"/>
  <c r="V476" i="63" s="1"/>
  <c r="AP476" i="63"/>
  <c r="AN476" i="63"/>
  <c r="AS476" i="63" s="1"/>
  <c r="P476" i="63" l="1"/>
  <c r="Z476" i="63"/>
  <c r="AM476" i="63"/>
  <c r="U476" i="63" l="1"/>
  <c r="W476" i="63"/>
  <c r="O477" i="63" l="1"/>
  <c r="AU476" i="63"/>
  <c r="AT476" i="63"/>
  <c r="N477" i="63"/>
  <c r="AO476" i="63"/>
  <c r="AV476" i="63"/>
  <c r="Q477" i="63" l="1"/>
  <c r="V477" i="63" s="1"/>
  <c r="M477" i="63"/>
  <c r="L477" i="63" s="1"/>
  <c r="AN477" i="63"/>
  <c r="AS477" i="63" s="1"/>
  <c r="AP477" i="63"/>
  <c r="P477" i="63"/>
  <c r="U477" i="63" s="1"/>
  <c r="W477" i="63" l="1"/>
  <c r="Z477" i="63"/>
  <c r="AM477" i="63"/>
  <c r="N478" i="63" l="1"/>
  <c r="AU477" i="63"/>
  <c r="O478" i="63"/>
  <c r="AT477" i="63"/>
  <c r="AO477" i="63"/>
  <c r="AV477" i="63"/>
  <c r="AN478" i="63" l="1"/>
  <c r="AS478" i="63" s="1"/>
  <c r="AP478" i="63"/>
  <c r="M478" i="63"/>
  <c r="L478" i="63" s="1"/>
  <c r="Q478" i="63"/>
  <c r="V478" i="63" s="1"/>
  <c r="Z478" i="63" l="1"/>
  <c r="AM478" i="63"/>
  <c r="P478" i="63"/>
  <c r="U478" i="63" l="1"/>
  <c r="W478" i="63"/>
  <c r="AV478" i="63" l="1"/>
  <c r="AT478" i="63"/>
  <c r="N479" i="63"/>
  <c r="AU478" i="63"/>
  <c r="AO478" i="63"/>
  <c r="O479" i="63"/>
  <c r="M479" i="63" l="1"/>
  <c r="L479" i="63" s="1"/>
  <c r="Q479" i="63"/>
  <c r="V479" i="63" s="1"/>
  <c r="AN479" i="63"/>
  <c r="AS479" i="63" s="1"/>
  <c r="AP479" i="63"/>
  <c r="P479" i="63" l="1"/>
  <c r="U479" i="63" s="1"/>
  <c r="W479" i="63"/>
  <c r="Z479" i="63"/>
  <c r="AM479" i="63"/>
  <c r="N480" i="63" l="1"/>
  <c r="AU479" i="63"/>
  <c r="O480" i="63"/>
  <c r="AV479" i="63"/>
  <c r="AO479" i="63"/>
  <c r="AT479" i="63"/>
  <c r="AN480" i="63" l="1"/>
  <c r="AS480" i="63" s="1"/>
  <c r="AP480" i="63"/>
  <c r="Q480" i="63"/>
  <c r="V480" i="63" s="1"/>
  <c r="M480" i="63"/>
  <c r="L480" i="63" s="1"/>
  <c r="AM480" i="63" l="1"/>
  <c r="Z480" i="63"/>
  <c r="P480" i="63"/>
  <c r="U480" i="63" l="1"/>
  <c r="W480" i="63"/>
  <c r="O481" i="63" l="1"/>
  <c r="AV480" i="63"/>
  <c r="AT480" i="63"/>
  <c r="AU480" i="63"/>
  <c r="N481" i="63"/>
  <c r="AO480" i="63"/>
  <c r="M481" i="63" l="1"/>
  <c r="L481" i="63" s="1"/>
  <c r="Q481" i="63"/>
  <c r="V481" i="63" s="1"/>
  <c r="AN481" i="63"/>
  <c r="AS481" i="63" s="1"/>
  <c r="AP481" i="63"/>
  <c r="P481" i="63" l="1"/>
  <c r="U481" i="63" s="1"/>
  <c r="Z481" i="63"/>
  <c r="AM481" i="63"/>
  <c r="W481" i="63" l="1"/>
  <c r="AU481" i="63" s="1"/>
  <c r="O482" i="63"/>
  <c r="AO481" i="63"/>
  <c r="AT481" i="63"/>
  <c r="N482" i="63"/>
  <c r="AV481" i="63"/>
  <c r="M482" i="63" l="1"/>
  <c r="L482" i="63" s="1"/>
  <c r="Q482" i="63"/>
  <c r="V482" i="63" s="1"/>
  <c r="AN482" i="63"/>
  <c r="AS482" i="63" s="1"/>
  <c r="AP482" i="63"/>
  <c r="P482" i="63" l="1"/>
  <c r="U482" i="63" s="1"/>
  <c r="AM482" i="63"/>
  <c r="Z482" i="63"/>
  <c r="W482" i="63" l="1"/>
  <c r="N483" i="63" s="1"/>
  <c r="AO482" i="63"/>
  <c r="O483" i="63"/>
  <c r="AV482" i="63"/>
  <c r="AT482" i="63"/>
  <c r="AU482" i="63"/>
  <c r="AI7" i="63"/>
  <c r="AI8" i="63" s="1"/>
  <c r="X5" i="63" s="1"/>
  <c r="AB3" i="63" s="1"/>
  <c r="AR9" i="63"/>
  <c r="AR8" i="63"/>
  <c r="AP483" i="63" l="1"/>
  <c r="AN483" i="63"/>
  <c r="AS483" i="63" s="1"/>
  <c r="M483" i="63"/>
  <c r="L483" i="63" s="1"/>
  <c r="Q483" i="63"/>
  <c r="V483" i="63" s="1"/>
  <c r="AI10" i="63"/>
  <c r="AJ9" i="63"/>
  <c r="AB5" i="63"/>
  <c r="AA5" i="63" s="1"/>
  <c r="AC3" i="63"/>
  <c r="AA3" i="63"/>
  <c r="B14" i="64" s="1"/>
  <c r="AR4" i="63"/>
  <c r="AT3" i="63"/>
  <c r="AU5" i="63"/>
  <c r="AU3" i="63"/>
  <c r="AS3" i="63"/>
  <c r="AT5" i="63"/>
  <c r="AU4" i="63"/>
  <c r="AT4" i="63"/>
  <c r="AS4" i="63"/>
  <c r="AR5" i="63"/>
  <c r="AS5" i="63"/>
  <c r="AI9" i="63"/>
  <c r="F15" i="1" s="1"/>
  <c r="F54" i="1" s="1"/>
  <c r="AR10" i="63"/>
  <c r="AM483" i="63" l="1"/>
  <c r="Z483" i="63"/>
  <c r="P483"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24" i="64" s="1"/>
  <c r="O2" i="64"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I11" i="63"/>
  <c r="B26" i="64"/>
  <c r="B23" i="64" s="1"/>
  <c r="W2" i="64" s="1"/>
  <c r="T61" i="63"/>
  <c r="T60" i="63"/>
  <c r="T59" i="63"/>
  <c r="R62" i="63"/>
  <c r="T62" i="63" s="1"/>
  <c r="B17" i="64"/>
  <c r="Q2" i="64" s="1"/>
  <c r="U483" i="63" l="1"/>
  <c r="W483" i="63"/>
  <c r="Y16" i="63"/>
  <c r="AL16" i="63" s="1"/>
  <c r="AJ15" i="63"/>
  <c r="L2" i="64"/>
  <c r="B13" i="64"/>
  <c r="K2" i="64" s="1"/>
  <c r="B29" i="64"/>
  <c r="X2" i="64" s="1"/>
  <c r="R63" i="63"/>
  <c r="AT483" i="63" l="1"/>
  <c r="O484" i="63"/>
  <c r="AV483" i="63"/>
  <c r="AO483" i="63"/>
  <c r="N484" i="63"/>
  <c r="AU483" i="63"/>
  <c r="Y17" i="63"/>
  <c r="AL17" i="63" s="1"/>
  <c r="AJ16" i="63"/>
  <c r="S2" i="64"/>
  <c r="R64" i="63"/>
  <c r="T63" i="63"/>
  <c r="Q484" i="63" l="1"/>
  <c r="V484" i="63" s="1"/>
  <c r="M484" i="63"/>
  <c r="L484" i="63" s="1"/>
  <c r="AN484" i="63"/>
  <c r="AS484" i="63" s="1"/>
  <c r="AP484" i="63"/>
  <c r="P484" i="63"/>
  <c r="U484" i="63" s="1"/>
  <c r="Y18" i="63"/>
  <c r="AL18" i="63" s="1"/>
  <c r="AJ17" i="63"/>
  <c r="T64" i="63"/>
  <c r="R65" i="63"/>
  <c r="Z484" i="63" l="1"/>
  <c r="AM484" i="63"/>
  <c r="W484" i="63"/>
  <c r="Y19" i="63"/>
  <c r="AL19" i="63" s="1"/>
  <c r="AJ18" i="63"/>
  <c r="R66" i="63"/>
  <c r="T65" i="63"/>
  <c r="AU484" i="63" l="1"/>
  <c r="AO484" i="63"/>
  <c r="O485" i="63"/>
  <c r="AT484" i="63"/>
  <c r="N485" i="63"/>
  <c r="AV484" i="63"/>
  <c r="AJ19" i="63"/>
  <c r="Y20" i="63"/>
  <c r="AL20" i="63" s="1"/>
  <c r="T66" i="63"/>
  <c r="R67" i="63"/>
  <c r="M485" i="63" l="1"/>
  <c r="L485" i="63" s="1"/>
  <c r="Q485" i="63"/>
  <c r="V485" i="63" s="1"/>
  <c r="AN485" i="63"/>
  <c r="AS485" i="63" s="1"/>
  <c r="AP485" i="63"/>
  <c r="AJ20" i="63"/>
  <c r="Y21" i="63"/>
  <c r="AL21" i="63" s="1"/>
  <c r="T67" i="63"/>
  <c r="R68" i="63"/>
  <c r="P485" i="63" l="1"/>
  <c r="Z485" i="63"/>
  <c r="AM485" i="63"/>
  <c r="Y22" i="63"/>
  <c r="AL22" i="63" s="1"/>
  <c r="AJ21" i="63"/>
  <c r="T68" i="63"/>
  <c r="R69" i="63"/>
  <c r="U485" i="63" l="1"/>
  <c r="W485" i="63"/>
  <c r="Y23" i="63"/>
  <c r="AL23" i="63" s="1"/>
  <c r="AJ22" i="63"/>
  <c r="T69" i="63"/>
  <c r="R70" i="63"/>
  <c r="AV485" i="63" l="1"/>
  <c r="AO485" i="63"/>
  <c r="N486" i="63"/>
  <c r="AT485" i="63"/>
  <c r="O486" i="63"/>
  <c r="AU485" i="63"/>
  <c r="AR3" i="63"/>
  <c r="AR6" i="63" s="1"/>
  <c r="Y24" i="63"/>
  <c r="AL24" i="63" s="1"/>
  <c r="AJ23" i="63"/>
  <c r="R71" i="63"/>
  <c r="T70" i="63"/>
  <c r="AN486" i="63" l="1"/>
  <c r="AS486" i="63" s="1"/>
  <c r="AP486" i="63"/>
  <c r="M486" i="63"/>
  <c r="L486" i="63" s="1"/>
  <c r="Q486" i="63"/>
  <c r="V486" i="63" s="1"/>
  <c r="Y25" i="63"/>
  <c r="AL25" i="63" s="1"/>
  <c r="AJ24" i="63"/>
  <c r="R72" i="63"/>
  <c r="T71" i="63"/>
  <c r="AM486" i="63" l="1"/>
  <c r="Z486" i="63"/>
  <c r="P486" i="63"/>
  <c r="Y26" i="63"/>
  <c r="AL26" i="63" s="1"/>
  <c r="AJ25" i="63"/>
  <c r="T72" i="63"/>
  <c r="R73" i="63"/>
  <c r="U486" i="63" l="1"/>
  <c r="W486" i="63"/>
  <c r="Y27" i="63"/>
  <c r="AL27" i="63" s="1"/>
  <c r="AJ26" i="63"/>
  <c r="R74" i="63"/>
  <c r="T73" i="63"/>
  <c r="AU486" i="63" l="1"/>
  <c r="AV486" i="63"/>
  <c r="AT486" i="63"/>
  <c r="N487" i="63"/>
  <c r="AO486" i="63"/>
  <c r="O487" i="63"/>
  <c r="Y28" i="63"/>
  <c r="AL28" i="63" s="1"/>
  <c r="AJ27" i="63"/>
  <c r="R75" i="63"/>
  <c r="T74" i="63"/>
  <c r="AN487" i="63" l="1"/>
  <c r="AS487" i="63" s="1"/>
  <c r="AP487" i="63"/>
  <c r="Q487" i="63"/>
  <c r="V487" i="63" s="1"/>
  <c r="M487" i="63"/>
  <c r="L487" i="63" s="1"/>
  <c r="Y29" i="63"/>
  <c r="AL29" i="63" s="1"/>
  <c r="AJ28" i="63"/>
  <c r="R76" i="63"/>
  <c r="T75" i="63"/>
  <c r="Z487" i="63" l="1"/>
  <c r="AM487" i="63"/>
  <c r="P487" i="63"/>
  <c r="Y30" i="63"/>
  <c r="AL30" i="63" s="1"/>
  <c r="AJ29" i="63"/>
  <c r="T76" i="63"/>
  <c r="R77" i="63"/>
  <c r="U487" i="63" l="1"/>
  <c r="W487" i="63"/>
  <c r="Y31" i="63"/>
  <c r="AL31" i="63" s="1"/>
  <c r="AJ30" i="63"/>
  <c r="R78" i="63"/>
  <c r="T77" i="63"/>
  <c r="AV487" i="63" l="1"/>
  <c r="N488" i="63"/>
  <c r="AO487" i="63"/>
  <c r="AT487" i="63"/>
  <c r="O488" i="63"/>
  <c r="AU487" i="63"/>
  <c r="Y32" i="63"/>
  <c r="AL32" i="63" s="1"/>
  <c r="AJ31" i="63"/>
  <c r="R79" i="63"/>
  <c r="T78" i="63"/>
  <c r="AN488" i="63" l="1"/>
  <c r="AS488" i="63" s="1"/>
  <c r="AP488" i="63"/>
  <c r="Q488" i="63"/>
  <c r="V488" i="63" s="1"/>
  <c r="M488" i="63"/>
  <c r="L488" i="63" s="1"/>
  <c r="Y33" i="63"/>
  <c r="AL33" i="63" s="1"/>
  <c r="AJ32" i="63"/>
  <c r="R80" i="63"/>
  <c r="T79" i="63"/>
  <c r="AM488" i="63" l="1"/>
  <c r="Z488" i="63"/>
  <c r="P488" i="63"/>
  <c r="Y34" i="63"/>
  <c r="AL34" i="63" s="1"/>
  <c r="AJ33" i="63"/>
  <c r="T80" i="63"/>
  <c r="R81" i="63"/>
  <c r="U488" i="63" l="1"/>
  <c r="W488" i="63"/>
  <c r="Y35" i="63"/>
  <c r="AL35" i="63" s="1"/>
  <c r="AJ34" i="63"/>
  <c r="R82" i="63"/>
  <c r="T81" i="63"/>
  <c r="AV488" i="63" l="1"/>
  <c r="N489" i="63"/>
  <c r="AU488" i="63"/>
  <c r="AO488" i="63"/>
  <c r="O489" i="63"/>
  <c r="AT488" i="63"/>
  <c r="Y36" i="63"/>
  <c r="AL36" i="63" s="1"/>
  <c r="AJ35" i="63"/>
  <c r="R83" i="63"/>
  <c r="T82" i="63"/>
  <c r="AN489" i="63" l="1"/>
  <c r="AS489" i="63" s="1"/>
  <c r="AP489" i="63"/>
  <c r="Q489" i="63"/>
  <c r="V489" i="63" s="1"/>
  <c r="M489" i="63"/>
  <c r="L489" i="63" s="1"/>
  <c r="Y37" i="63"/>
  <c r="AL37" i="63" s="1"/>
  <c r="AJ36" i="63"/>
  <c r="R84" i="63"/>
  <c r="T83" i="63"/>
  <c r="AM489" i="63" l="1"/>
  <c r="Z489" i="63"/>
  <c r="P489" i="63"/>
  <c r="Y38" i="63"/>
  <c r="AL38" i="63" s="1"/>
  <c r="AJ37" i="63"/>
  <c r="T84" i="63"/>
  <c r="R85" i="63"/>
  <c r="U489" i="63" l="1"/>
  <c r="W489" i="63"/>
  <c r="Y39" i="63"/>
  <c r="AL39" i="63" s="1"/>
  <c r="AJ38" i="63"/>
  <c r="R86" i="63"/>
  <c r="T85" i="63"/>
  <c r="N490" i="63" l="1"/>
  <c r="O490" i="63"/>
  <c r="AV489" i="63"/>
  <c r="AO489" i="63"/>
  <c r="AU489" i="63"/>
  <c r="AT489" i="63"/>
  <c r="Y40" i="63"/>
  <c r="AL40" i="63" s="1"/>
  <c r="AJ39" i="63"/>
  <c r="R87" i="63"/>
  <c r="T86" i="63"/>
  <c r="AP490" i="63" l="1"/>
  <c r="AN490" i="63"/>
  <c r="AS490" i="63" s="1"/>
  <c r="M490" i="63"/>
  <c r="L490" i="63" s="1"/>
  <c r="Q490" i="63"/>
  <c r="V490" i="63" s="1"/>
  <c r="Y41" i="63"/>
  <c r="AL41" i="63" s="1"/>
  <c r="AJ40" i="63"/>
  <c r="R88" i="63"/>
  <c r="T87" i="63"/>
  <c r="AM490" i="63" l="1"/>
  <c r="Z490" i="63"/>
  <c r="P490" i="63"/>
  <c r="AJ41" i="63"/>
  <c r="Y42" i="63"/>
  <c r="AL42" i="63" s="1"/>
  <c r="T88" i="63"/>
  <c r="R89" i="63"/>
  <c r="U490" i="63" l="1"/>
  <c r="W490" i="63"/>
  <c r="Y43" i="63"/>
  <c r="AL43" i="63" s="1"/>
  <c r="AJ42" i="63"/>
  <c r="R90" i="63"/>
  <c r="T89" i="63"/>
  <c r="AO490" i="63" l="1"/>
  <c r="AU490" i="63"/>
  <c r="AT490" i="63"/>
  <c r="AV490" i="63"/>
  <c r="Y44" i="63"/>
  <c r="AL44" i="63" s="1"/>
  <c r="AJ43" i="63"/>
  <c r="R91" i="63"/>
  <c r="T90" i="63"/>
  <c r="Y45" i="63" l="1"/>
  <c r="AL45" i="63" s="1"/>
  <c r="AJ44" i="63"/>
  <c r="R92" i="63"/>
  <c r="T91" i="63"/>
  <c r="Y46" i="63" l="1"/>
  <c r="AL46" i="63" s="1"/>
  <c r="AJ45" i="63"/>
  <c r="T92" i="63"/>
  <c r="R93" i="63"/>
  <c r="Y47" i="63" l="1"/>
  <c r="AL47" i="63" s="1"/>
  <c r="AJ46" i="63"/>
  <c r="R94" i="63"/>
  <c r="T93" i="63"/>
  <c r="Y48" i="63" l="1"/>
  <c r="AL48" i="63" s="1"/>
  <c r="AJ47" i="63"/>
  <c r="R95" i="63"/>
  <c r="T94" i="63"/>
  <c r="Y49" i="63" l="1"/>
  <c r="AL49" i="63" s="1"/>
  <c r="AJ48" i="63"/>
  <c r="R96" i="63"/>
  <c r="T95" i="63"/>
  <c r="Y50" i="63" l="1"/>
  <c r="AL50" i="63" s="1"/>
  <c r="AJ49" i="63"/>
  <c r="T96" i="63"/>
  <c r="R97" i="63"/>
  <c r="Y51" i="63" l="1"/>
  <c r="AL51" i="63" s="1"/>
  <c r="AJ50" i="63"/>
  <c r="R98" i="63"/>
  <c r="T97" i="63"/>
  <c r="AJ51" i="63" l="1"/>
  <c r="Y52" i="63"/>
  <c r="AL52" i="63" s="1"/>
  <c r="R99" i="63"/>
  <c r="T98" i="63"/>
  <c r="Y53" i="63" l="1"/>
  <c r="AL53" i="63" s="1"/>
  <c r="AJ52" i="63"/>
  <c r="R100" i="63"/>
  <c r="T99" i="63"/>
  <c r="Y54" i="63" l="1"/>
  <c r="AL54" i="63" s="1"/>
  <c r="AJ53" i="63"/>
  <c r="T100" i="63"/>
  <c r="R101" i="63"/>
  <c r="Y55" i="63" l="1"/>
  <c r="AL55" i="63" s="1"/>
  <c r="AJ54" i="63"/>
  <c r="R102" i="63"/>
  <c r="T101" i="63"/>
  <c r="Y56" i="63" l="1"/>
  <c r="AL56" i="63" s="1"/>
  <c r="AJ55" i="63"/>
  <c r="R103" i="63"/>
  <c r="T102" i="63"/>
  <c r="Y57" i="63" l="1"/>
  <c r="AL57" i="63" s="1"/>
  <c r="AJ56" i="63"/>
  <c r="R104" i="63"/>
  <c r="T103" i="63"/>
  <c r="Y58" i="63" l="1"/>
  <c r="AL58" i="63" s="1"/>
  <c r="AJ57" i="63"/>
  <c r="T104" i="63"/>
  <c r="R105" i="63"/>
  <c r="AJ58" i="63" l="1"/>
  <c r="Y59" i="63"/>
  <c r="AA59" i="63"/>
  <c r="AP59" i="63" s="1"/>
  <c r="R106" i="63"/>
  <c r="T105" i="63"/>
  <c r="AI59" i="63" l="1"/>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AB59" i="63" l="1"/>
  <c r="AD492" i="63"/>
  <c r="R108" i="63"/>
  <c r="T107" i="63"/>
  <c r="AD493" i="63" l="1"/>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AF59" i="63" l="1"/>
  <c r="Y60" i="63"/>
  <c r="AA60" i="63"/>
  <c r="AP60" i="63" s="1"/>
  <c r="AJ59" i="63"/>
  <c r="AK59" i="63" s="1"/>
  <c r="AE492" i="63"/>
  <c r="AF491" i="63"/>
  <c r="AD494" i="63"/>
  <c r="R110" i="63"/>
  <c r="T109" i="63"/>
  <c r="AE493" i="63" l="1"/>
  <c r="AF492" i="63"/>
  <c r="AD495" i="63"/>
  <c r="AI60" i="63"/>
  <c r="AC60" i="63"/>
  <c r="AH60" i="63" s="1"/>
  <c r="R111" i="63"/>
  <c r="T110" i="63"/>
  <c r="AB60" i="63" l="1"/>
  <c r="AD496" i="63"/>
  <c r="AE494" i="63"/>
  <c r="AF493" i="63"/>
  <c r="R112" i="63"/>
  <c r="T111" i="63"/>
  <c r="AE495" i="63" l="1"/>
  <c r="AF494" i="63"/>
  <c r="AD497" i="63"/>
  <c r="AF60" i="63"/>
  <c r="AG60" i="63"/>
  <c r="AL60" i="63"/>
  <c r="T112" i="63"/>
  <c r="R113" i="63"/>
  <c r="AJ60" i="63" l="1"/>
  <c r="AK60" i="63" s="1"/>
  <c r="Y61" i="63"/>
  <c r="AA61" i="63"/>
  <c r="AP61" i="63" s="1"/>
  <c r="AD498" i="63"/>
  <c r="AE496" i="63"/>
  <c r="AF495" i="63"/>
  <c r="R114" i="63"/>
  <c r="T113" i="63"/>
  <c r="AE497" i="63" l="1"/>
  <c r="AF496" i="63"/>
  <c r="AD499" i="63"/>
  <c r="AI61" i="63"/>
  <c r="AC61" i="63"/>
  <c r="AH61" i="63" s="1"/>
  <c r="R115" i="63"/>
  <c r="T114" i="63"/>
  <c r="AB61" i="63" l="1"/>
  <c r="AD500" i="63"/>
  <c r="AE498" i="63"/>
  <c r="AF497" i="63"/>
  <c r="R116" i="63"/>
  <c r="T115" i="63"/>
  <c r="AE499" i="63" l="1"/>
  <c r="AF498" i="63"/>
  <c r="AD501" i="63"/>
  <c r="AF61" i="63"/>
  <c r="AG61" i="63"/>
  <c r="AL61" i="63"/>
  <c r="T116" i="63"/>
  <c r="R117" i="63"/>
  <c r="AJ61" i="63" l="1"/>
  <c r="AK61" i="63" s="1"/>
  <c r="AA62" i="63"/>
  <c r="AP62" i="63" s="1"/>
  <c r="Y62" i="63"/>
  <c r="AD502" i="63"/>
  <c r="AE500" i="63"/>
  <c r="AF499" i="63"/>
  <c r="R118" i="63"/>
  <c r="T117" i="63"/>
  <c r="AE501" i="63" l="1"/>
  <c r="AF500" i="63"/>
  <c r="AD503" i="63"/>
  <c r="AC62" i="63"/>
  <c r="AH62" i="63" s="1"/>
  <c r="AI62" i="63"/>
  <c r="R119" i="63"/>
  <c r="T118" i="63"/>
  <c r="AB62" i="63" l="1"/>
  <c r="AD504" i="63"/>
  <c r="AE502" i="63"/>
  <c r="AF501" i="63"/>
  <c r="R120" i="63"/>
  <c r="T119" i="63"/>
  <c r="AE503" i="63" l="1"/>
  <c r="AF502" i="63"/>
  <c r="AD505" i="63"/>
  <c r="AG62" i="63"/>
  <c r="AF62" i="63"/>
  <c r="AL62" i="63"/>
  <c r="T120" i="63"/>
  <c r="R121" i="63"/>
  <c r="AJ62" i="63" l="1"/>
  <c r="AK62" i="63" s="1"/>
  <c r="Y63" i="63"/>
  <c r="AA63" i="63"/>
  <c r="AP63" i="63" s="1"/>
  <c r="AD506" i="63"/>
  <c r="AE504" i="63"/>
  <c r="AF503" i="63"/>
  <c r="R122" i="63"/>
  <c r="T121" i="63"/>
  <c r="AE505" i="63" l="1"/>
  <c r="AF504" i="63"/>
  <c r="AD507" i="63"/>
  <c r="AI63" i="63"/>
  <c r="AC63" i="63"/>
  <c r="AH63" i="63" s="1"/>
  <c r="R123" i="63"/>
  <c r="T122" i="63"/>
  <c r="AB63" i="63" l="1"/>
  <c r="AD508" i="63"/>
  <c r="AE506" i="63"/>
  <c r="AF505" i="63"/>
  <c r="R124" i="63"/>
  <c r="T123" i="63"/>
  <c r="AE507" i="63" l="1"/>
  <c r="AF506" i="63"/>
  <c r="AD509" i="63"/>
  <c r="AF63" i="63"/>
  <c r="AG63" i="63"/>
  <c r="AL63" i="63"/>
  <c r="T124" i="63"/>
  <c r="R125" i="63"/>
  <c r="Y64" i="63" l="1"/>
  <c r="AA64" i="63"/>
  <c r="AP64" i="63" s="1"/>
  <c r="AJ63" i="63"/>
  <c r="AK63" i="63" s="1"/>
  <c r="AD510" i="63"/>
  <c r="AE508" i="63"/>
  <c r="AF507" i="63"/>
  <c r="R126" i="63"/>
  <c r="T125" i="63"/>
  <c r="AE509" i="63" l="1"/>
  <c r="AF508" i="63"/>
  <c r="AD511" i="63"/>
  <c r="AI64" i="63"/>
  <c r="AC64" i="63"/>
  <c r="AH64" i="63" s="1"/>
  <c r="R127" i="63"/>
  <c r="T126" i="63"/>
  <c r="AB64" i="63" l="1"/>
  <c r="AD512" i="63"/>
  <c r="AE510" i="63"/>
  <c r="AF509" i="63"/>
  <c r="R128" i="63"/>
  <c r="T127" i="63"/>
  <c r="AE511" i="63" l="1"/>
  <c r="AF510" i="63"/>
  <c r="AD513" i="63"/>
  <c r="AG64" i="63"/>
  <c r="AF64" i="63"/>
  <c r="AL64" i="63"/>
  <c r="T128" i="63"/>
  <c r="R129" i="63"/>
  <c r="AJ64" i="63" l="1"/>
  <c r="AK64" i="63" s="1"/>
  <c r="Y65" i="63"/>
  <c r="AA65" i="63"/>
  <c r="AP65" i="63" s="1"/>
  <c r="AD514" i="63"/>
  <c r="AE512" i="63"/>
  <c r="AF511" i="63"/>
  <c r="R130" i="63"/>
  <c r="T129" i="63"/>
  <c r="AD515" i="63" l="1"/>
  <c r="AI65" i="63"/>
  <c r="AC65" i="63"/>
  <c r="AH65" i="63" s="1"/>
  <c r="AE513" i="63"/>
  <c r="AF512" i="63"/>
  <c r="R131" i="63"/>
  <c r="T130" i="63"/>
  <c r="AE514" i="63" l="1"/>
  <c r="AF513" i="63"/>
  <c r="AB65" i="63"/>
  <c r="AD516" i="63"/>
  <c r="R132" i="63"/>
  <c r="T131" i="63"/>
  <c r="AD517" i="63" l="1"/>
  <c r="AF65" i="63"/>
  <c r="AG65" i="63"/>
  <c r="AL65" i="63"/>
  <c r="AE515" i="63"/>
  <c r="AF514" i="63"/>
  <c r="T132" i="63"/>
  <c r="R133" i="63"/>
  <c r="AJ65" i="63" l="1"/>
  <c r="AK65" i="63" s="1"/>
  <c r="Y66" i="63"/>
  <c r="AA66" i="63"/>
  <c r="AP66" i="63" s="1"/>
  <c r="AE516" i="63"/>
  <c r="AF515" i="63"/>
  <c r="AD518" i="63"/>
  <c r="R134" i="63"/>
  <c r="T133" i="63"/>
  <c r="AD519" i="63" l="1"/>
  <c r="AE517" i="63"/>
  <c r="AF516" i="63"/>
  <c r="AC66" i="63"/>
  <c r="AH66" i="63" s="1"/>
  <c r="AI66" i="63"/>
  <c r="R135" i="63"/>
  <c r="T134" i="63"/>
  <c r="AB66" i="63" l="1"/>
  <c r="AE518" i="63"/>
  <c r="AF517" i="63"/>
  <c r="AD520" i="63"/>
  <c r="R136" i="63"/>
  <c r="T135" i="63"/>
  <c r="AD521" i="63" l="1"/>
  <c r="AE519" i="63"/>
  <c r="AF518" i="63"/>
  <c r="AF66" i="63"/>
  <c r="AG66" i="63"/>
  <c r="AL66" i="63"/>
  <c r="T136" i="63"/>
  <c r="R137" i="63"/>
  <c r="AJ66" i="63" l="1"/>
  <c r="AK66" i="63" s="1"/>
  <c r="AA67" i="63"/>
  <c r="AP67" i="63" s="1"/>
  <c r="Y67" i="63"/>
  <c r="AE520" i="63"/>
  <c r="AF519" i="63"/>
  <c r="AD522" i="63"/>
  <c r="R138" i="63"/>
  <c r="T137" i="63"/>
  <c r="AI67" i="63" l="1"/>
  <c r="AD523" i="63"/>
  <c r="AE521" i="63"/>
  <c r="AF520" i="63"/>
  <c r="AC67" i="63"/>
  <c r="AH67" i="63" s="1"/>
  <c r="R139" i="63"/>
  <c r="T138" i="63"/>
  <c r="AE522" i="63" l="1"/>
  <c r="AF521" i="63"/>
  <c r="AB67" i="63"/>
  <c r="AD524" i="63"/>
  <c r="R140" i="63"/>
  <c r="T139" i="63"/>
  <c r="AD525" i="63" l="1"/>
  <c r="AF67" i="63"/>
  <c r="AG67" i="63"/>
  <c r="AL67" i="63"/>
  <c r="AE523" i="63"/>
  <c r="AF522" i="63"/>
  <c r="T140" i="63"/>
  <c r="R141" i="63"/>
  <c r="AE524" i="63" l="1"/>
  <c r="AF523" i="63"/>
  <c r="AJ67" i="63"/>
  <c r="AK67" i="63" s="1"/>
  <c r="Y68" i="63"/>
  <c r="AA68" i="63"/>
  <c r="AP68" i="63" s="1"/>
  <c r="AD526" i="63"/>
  <c r="R142" i="63"/>
  <c r="T141" i="63"/>
  <c r="AD527" i="63" l="1"/>
  <c r="AC68" i="63"/>
  <c r="AH68" i="63" s="1"/>
  <c r="AI68" i="63"/>
  <c r="AE525" i="63"/>
  <c r="AF524" i="63"/>
  <c r="R143" i="63"/>
  <c r="T142" i="63"/>
  <c r="AB68" i="63" l="1"/>
  <c r="AG68" i="63" s="1"/>
  <c r="AE526" i="63"/>
  <c r="AF525" i="63"/>
  <c r="AD528" i="63"/>
  <c r="R144" i="63"/>
  <c r="T143" i="63"/>
  <c r="AF68" i="63" l="1"/>
  <c r="AL68" i="63"/>
  <c r="AA69" i="63"/>
  <c r="AP69" i="63" s="1"/>
  <c r="AJ68" i="63"/>
  <c r="AK68" i="63" s="1"/>
  <c r="Y69" i="63"/>
  <c r="AD529" i="63"/>
  <c r="AE527" i="63"/>
  <c r="AF526" i="63"/>
  <c r="T144" i="63"/>
  <c r="R145" i="63"/>
  <c r="AE528" i="63" l="1"/>
  <c r="AF527" i="63"/>
  <c r="AD530" i="63"/>
  <c r="AC69" i="63"/>
  <c r="AH69" i="63" s="1"/>
  <c r="AI69" i="63"/>
  <c r="R146" i="63"/>
  <c r="T145" i="63"/>
  <c r="AB69" i="63" l="1"/>
  <c r="AD531" i="63"/>
  <c r="AE529" i="63"/>
  <c r="AF528" i="63"/>
  <c r="R147" i="63"/>
  <c r="T146" i="63"/>
  <c r="AE530" i="63" l="1"/>
  <c r="AF529" i="63"/>
  <c r="AD532" i="63"/>
  <c r="AG69" i="63"/>
  <c r="AF69" i="63"/>
  <c r="AL69" i="63"/>
  <c r="R148" i="63"/>
  <c r="T147" i="63"/>
  <c r="AJ69" i="63" l="1"/>
  <c r="AK69" i="63" s="1"/>
  <c r="AA70" i="63"/>
  <c r="AP70" i="63" s="1"/>
  <c r="Y70" i="63"/>
  <c r="AD533" i="63"/>
  <c r="AE531" i="63"/>
  <c r="AF530" i="63"/>
  <c r="T148" i="63"/>
  <c r="R149" i="63"/>
  <c r="AE532" i="63" l="1"/>
  <c r="AF531" i="63"/>
  <c r="AI70" i="63"/>
  <c r="AD534" i="63"/>
  <c r="AC70" i="63"/>
  <c r="AH70" i="63" s="1"/>
  <c r="R150" i="63"/>
  <c r="T149" i="63"/>
  <c r="AD535" i="63" l="1"/>
  <c r="AB70" i="63"/>
  <c r="AE533" i="63"/>
  <c r="AF532" i="63"/>
  <c r="R151" i="63"/>
  <c r="T150" i="63"/>
  <c r="AF70" i="63" l="1"/>
  <c r="AG70" i="63"/>
  <c r="AL70" i="63"/>
  <c r="AE534" i="63"/>
  <c r="AF533" i="63"/>
  <c r="AD536" i="63"/>
  <c r="R152" i="63"/>
  <c r="T151" i="63"/>
  <c r="AD537" i="63" l="1"/>
  <c r="AE535" i="63"/>
  <c r="AF534" i="63"/>
  <c r="AA71" i="63"/>
  <c r="AP71" i="63" s="1"/>
  <c r="AJ7" i="63" s="1"/>
  <c r="AJ70" i="63"/>
  <c r="AK70" i="63" s="1"/>
  <c r="Y71" i="63"/>
  <c r="AC71" i="63" s="1"/>
  <c r="AH71" i="63" s="1"/>
  <c r="T152" i="63"/>
  <c r="R153" i="63"/>
  <c r="AJ8" i="63" l="1"/>
  <c r="I9" i="1"/>
  <c r="H10" i="1" s="1"/>
  <c r="I54" i="1" s="1"/>
  <c r="AI71" i="63"/>
  <c r="AB71" i="63"/>
  <c r="AE536" i="63"/>
  <c r="AF535" i="63"/>
  <c r="AD538" i="63"/>
  <c r="R154" i="63"/>
  <c r="T153" i="63"/>
  <c r="I55" i="1" l="1"/>
  <c r="I57" i="1" s="1"/>
  <c r="AD539" i="63"/>
  <c r="AE537" i="63"/>
  <c r="AF536" i="63"/>
  <c r="AL71" i="63"/>
  <c r="AF71" i="63"/>
  <c r="AG71" i="63"/>
  <c r="R155" i="63"/>
  <c r="T154" i="63"/>
  <c r="Y72" i="63" l="1"/>
  <c r="AJ71" i="63"/>
  <c r="AK71" i="63" s="1"/>
  <c r="AA72" i="63"/>
  <c r="AP72" i="63" s="1"/>
  <c r="AE538" i="63"/>
  <c r="AF537" i="63"/>
  <c r="AD540" i="63"/>
  <c r="R156" i="63"/>
  <c r="T155" i="63"/>
  <c r="AE539" i="63" l="1"/>
  <c r="AF538" i="63"/>
  <c r="AD541" i="63"/>
  <c r="AI72" i="63"/>
  <c r="AC72" i="63"/>
  <c r="AH72" i="63" s="1"/>
  <c r="T156" i="63"/>
  <c r="R157" i="63"/>
  <c r="AB72" i="63" l="1"/>
  <c r="AD542" i="63"/>
  <c r="AE540" i="63"/>
  <c r="AF539" i="63"/>
  <c r="R158" i="63"/>
  <c r="T157" i="63"/>
  <c r="AE541" i="63" l="1"/>
  <c r="AF540" i="63"/>
  <c r="AD543" i="63"/>
  <c r="AF72" i="63"/>
  <c r="AG72" i="63"/>
  <c r="AL72" i="63"/>
  <c r="R159" i="63"/>
  <c r="T158" i="63"/>
  <c r="AJ72" i="63" l="1"/>
  <c r="AK72" i="63" s="1"/>
  <c r="Y73" i="63"/>
  <c r="AA73" i="63"/>
  <c r="AP73" i="63" s="1"/>
  <c r="AE542" i="63"/>
  <c r="AF541" i="63"/>
  <c r="R160" i="63"/>
  <c r="T159" i="63"/>
  <c r="AI73" i="63" l="1"/>
  <c r="AE543" i="63"/>
  <c r="AF543" i="63" s="1"/>
  <c r="AF542" i="63"/>
  <c r="AC73" i="63"/>
  <c r="AH73" i="63" s="1"/>
  <c r="T160" i="63"/>
  <c r="R161" i="63"/>
  <c r="AB73" i="63" l="1"/>
  <c r="R162" i="63"/>
  <c r="T161" i="63"/>
  <c r="AF73" i="63" l="1"/>
  <c r="AG73" i="63"/>
  <c r="AL73" i="63"/>
  <c r="R163" i="63"/>
  <c r="T162" i="63"/>
  <c r="Y74" i="63" l="1"/>
  <c r="AJ73" i="63"/>
  <c r="AK73" i="63" s="1"/>
  <c r="AA74" i="63"/>
  <c r="AP74" i="63" s="1"/>
  <c r="R164" i="63"/>
  <c r="T163" i="63"/>
  <c r="AI74" i="63" l="1"/>
  <c r="AC74" i="63"/>
  <c r="AH74" i="63" s="1"/>
  <c r="T164" i="63"/>
  <c r="R165" i="63"/>
  <c r="AB74" i="63" l="1"/>
  <c r="R166" i="63"/>
  <c r="T165" i="63"/>
  <c r="AG74" i="63" l="1"/>
  <c r="AF74" i="63"/>
  <c r="AL74" i="63"/>
  <c r="R167" i="63"/>
  <c r="T166" i="63"/>
  <c r="AA75" i="63" l="1"/>
  <c r="AP75" i="63" s="1"/>
  <c r="Y75" i="63"/>
  <c r="AJ74" i="63"/>
  <c r="AK74" i="63" s="1"/>
  <c r="R168" i="63"/>
  <c r="T167" i="63"/>
  <c r="AC75" i="63" l="1"/>
  <c r="AH75" i="63" s="1"/>
  <c r="AI75" i="63"/>
  <c r="T168" i="63"/>
  <c r="R169" i="63"/>
  <c r="AB75" i="63" l="1"/>
  <c r="AF75" i="63" s="1"/>
  <c r="R170" i="63"/>
  <c r="T169" i="63"/>
  <c r="AL75" i="63" l="1"/>
  <c r="AG75" i="63"/>
  <c r="AJ75" i="63"/>
  <c r="AK75" i="63" s="1"/>
  <c r="AA76" i="63"/>
  <c r="AP76" i="63" s="1"/>
  <c r="Y76" i="63"/>
  <c r="R171" i="63"/>
  <c r="T170" i="63"/>
  <c r="AC76" i="63" l="1"/>
  <c r="AH76" i="63" s="1"/>
  <c r="AI76" i="63"/>
  <c r="R172" i="63"/>
  <c r="T171" i="63"/>
  <c r="AB76" i="63" l="1"/>
  <c r="AF76" i="63"/>
  <c r="AG76" i="63"/>
  <c r="AL76" i="63"/>
  <c r="T172" i="63"/>
  <c r="R173" i="63"/>
  <c r="AJ76" i="63" l="1"/>
  <c r="AK76" i="63" s="1"/>
  <c r="Y77" i="63"/>
  <c r="AA77" i="63"/>
  <c r="AP77" i="63" s="1"/>
  <c r="R174" i="63"/>
  <c r="T173" i="63"/>
  <c r="AI77" i="63" l="1"/>
  <c r="AC77" i="63"/>
  <c r="AH77" i="63" s="1"/>
  <c r="R175" i="63"/>
  <c r="T174" i="63"/>
  <c r="AB77" i="63" l="1"/>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c r="AG79" i="63"/>
  <c r="AL79" i="63"/>
  <c r="R183" i="63"/>
  <c r="T182" i="63"/>
  <c r="AJ79" i="63" l="1"/>
  <c r="AK79" i="63" s="1"/>
  <c r="AA80" i="63"/>
  <c r="AP80" i="63" s="1"/>
  <c r="Y80" i="63"/>
  <c r="R184" i="63"/>
  <c r="T183" i="63"/>
  <c r="AC80" i="63" l="1"/>
  <c r="AH80" i="63" s="1"/>
  <c r="AI80" i="63"/>
  <c r="AB80" i="63"/>
  <c r="T184" i="63"/>
  <c r="R185" i="63"/>
  <c r="AF80" i="63" l="1"/>
  <c r="AG80" i="63"/>
  <c r="AL80" i="63"/>
  <c r="R186" i="63"/>
  <c r="T185" i="63"/>
  <c r="AJ80" i="63" l="1"/>
  <c r="AK80" i="63" s="1"/>
  <c r="AA81" i="63"/>
  <c r="AP81" i="63" s="1"/>
  <c r="Y81" i="63"/>
  <c r="R187" i="63"/>
  <c r="T186" i="63"/>
  <c r="AI81" i="63" l="1"/>
  <c r="AC81" i="63"/>
  <c r="AH81" i="63" s="1"/>
  <c r="R188" i="63"/>
  <c r="T187" i="63"/>
  <c r="AB81" i="63" l="1"/>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F83" i="63" s="1"/>
  <c r="T196" i="63"/>
  <c r="R197" i="63"/>
  <c r="AL83" i="63" l="1"/>
  <c r="AG83" i="63"/>
  <c r="AJ83" i="63"/>
  <c r="AK83" i="63" s="1"/>
  <c r="AA84" i="63"/>
  <c r="AP84" i="63" s="1"/>
  <c r="Y84" i="63"/>
  <c r="R198" i="63"/>
  <c r="T197" i="63"/>
  <c r="AC84" i="63" l="1"/>
  <c r="AH84" i="63" s="1"/>
  <c r="AI84" i="63"/>
  <c r="R199" i="63"/>
  <c r="T198" i="63"/>
  <c r="AB84" i="63" l="1"/>
  <c r="AL84" i="63" s="1"/>
  <c r="AJ84" i="63" s="1"/>
  <c r="AK84" i="63" s="1"/>
  <c r="R200" i="63"/>
  <c r="T199" i="63"/>
  <c r="AG84" i="63" l="1"/>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AJ86" i="63"/>
  <c r="AK86" i="63" s="1"/>
  <c r="Y87" i="63"/>
  <c r="AG86" i="63"/>
  <c r="AF86" i="63"/>
  <c r="R206" i="63"/>
  <c r="T205" i="63"/>
  <c r="AC87" i="63" l="1"/>
  <c r="AH87"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AL88" i="63"/>
  <c r="R210" i="63"/>
  <c r="T209" i="63"/>
  <c r="AG88" i="63" l="1"/>
  <c r="AJ88" i="63"/>
  <c r="AK88" i="63" s="1"/>
  <c r="Y89" i="63"/>
  <c r="AA89" i="63"/>
  <c r="AP89" i="63" s="1"/>
  <c r="R211" i="63"/>
  <c r="T210" i="63"/>
  <c r="AI89" i="63" l="1"/>
  <c r="AC89" i="63"/>
  <c r="AH89" i="63" s="1"/>
  <c r="R212" i="63"/>
  <c r="T211" i="63"/>
  <c r="AB89" i="63" l="1"/>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AF91" i="63"/>
  <c r="AL91" i="63"/>
  <c r="R220" i="63"/>
  <c r="T219" i="63"/>
  <c r="AJ91" i="63" l="1"/>
  <c r="AK91" i="63" s="1"/>
  <c r="AA92" i="63"/>
  <c r="AP92" i="63" s="1"/>
  <c r="Y92" i="63"/>
  <c r="T220" i="63"/>
  <c r="R221" i="63"/>
  <c r="AI92" i="63" l="1"/>
  <c r="AC92" i="63"/>
  <c r="AH92" i="63" s="1"/>
  <c r="R222" i="63"/>
  <c r="T221" i="63"/>
  <c r="AB92" i="63" l="1"/>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AG93" i="63"/>
  <c r="AF93" i="63"/>
  <c r="R227" i="63"/>
  <c r="T226" i="63"/>
  <c r="Y94" i="63" l="1"/>
  <c r="AC94" i="63" s="1"/>
  <c r="AH94" i="63" s="1"/>
  <c r="AA94" i="63"/>
  <c r="AP94" i="63" s="1"/>
  <c r="R228" i="63"/>
  <c r="T227" i="63"/>
  <c r="AB94" i="63" l="1"/>
  <c r="AI94" i="63"/>
  <c r="AL94" i="63"/>
  <c r="AF94" i="63"/>
  <c r="AG94" i="63"/>
  <c r="T228" i="63"/>
  <c r="R229" i="63"/>
  <c r="AJ94" i="63" l="1"/>
  <c r="AK94" i="63" s="1"/>
  <c r="Y95" i="63"/>
  <c r="AA95" i="63"/>
  <c r="AP95" i="63" s="1"/>
  <c r="R230" i="63"/>
  <c r="T229" i="63"/>
  <c r="AC95" i="63" l="1"/>
  <c r="AH95" i="63" s="1"/>
  <c r="AI95" i="63"/>
  <c r="R231" i="63"/>
  <c r="T230" i="63"/>
  <c r="AB95" i="63" l="1"/>
  <c r="AL95" i="63" s="1"/>
  <c r="AJ95" i="63" s="1"/>
  <c r="AK95" i="63" s="1"/>
  <c r="R232" i="63"/>
  <c r="T231" i="63"/>
  <c r="AG95" i="63" l="1"/>
  <c r="Y96" i="63"/>
  <c r="AC96" i="63" s="1"/>
  <c r="AH96" i="63" s="1"/>
  <c r="AF95" i="63"/>
  <c r="AA96" i="63"/>
  <c r="AP96" i="63" s="1"/>
  <c r="T232" i="63"/>
  <c r="R233" i="63"/>
  <c r="AB96" i="63" l="1"/>
  <c r="AI96" i="63"/>
  <c r="AL96" i="63"/>
  <c r="AF96" i="63"/>
  <c r="AG96" i="63"/>
  <c r="R234" i="63"/>
  <c r="T233" i="63"/>
  <c r="AJ96" i="63" l="1"/>
  <c r="AK96" i="63" s="1"/>
  <c r="Y97" i="63"/>
  <c r="AA97" i="63"/>
  <c r="AP97" i="63" s="1"/>
  <c r="R235" i="63"/>
  <c r="T234" i="63"/>
  <c r="AC97" i="63" l="1"/>
  <c r="AH97" i="63" s="1"/>
  <c r="AI97" i="63"/>
  <c r="R236" i="63"/>
  <c r="T235" i="63"/>
  <c r="AB97" i="63" l="1"/>
  <c r="AG97" i="63" s="1"/>
  <c r="T236" i="63"/>
  <c r="R237" i="63"/>
  <c r="AL97" i="63" l="1"/>
  <c r="AF97" i="63"/>
  <c r="AJ97" i="63"/>
  <c r="AK97" i="63" s="1"/>
  <c r="Y98" i="63"/>
  <c r="AA98" i="63"/>
  <c r="AP98" i="63" s="1"/>
  <c r="R238" i="63"/>
  <c r="T237" i="63"/>
  <c r="AC98" i="63" l="1"/>
  <c r="AH98" i="63" s="1"/>
  <c r="AI98" i="63"/>
  <c r="R239" i="63"/>
  <c r="T238" i="63"/>
  <c r="AB98" i="63" l="1"/>
  <c r="AL98" i="63" s="1"/>
  <c r="Y99" i="63" s="1"/>
  <c r="AA99" i="63"/>
  <c r="AP99" i="63" s="1"/>
  <c r="AG98" i="63"/>
  <c r="AF98" i="63"/>
  <c r="R240" i="63"/>
  <c r="T239" i="63"/>
  <c r="AJ98" i="63" l="1"/>
  <c r="AK98" i="63" s="1"/>
  <c r="AI99" i="63"/>
  <c r="AC99" i="63"/>
  <c r="AH99" i="63" s="1"/>
  <c r="T240" i="63"/>
  <c r="R241" i="63"/>
  <c r="AB99" i="63" l="1"/>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AF101" i="63"/>
  <c r="AL101" i="63"/>
  <c r="R250" i="63"/>
  <c r="T249" i="63"/>
  <c r="AA102" i="63" l="1"/>
  <c r="AP102" i="63" s="1"/>
  <c r="Y102" i="63"/>
  <c r="AJ101" i="63"/>
  <c r="AK101" i="63" s="1"/>
  <c r="R251" i="63"/>
  <c r="T250" i="63"/>
  <c r="AC102" i="63" l="1"/>
  <c r="AH102" i="63" s="1"/>
  <c r="AI102" i="63"/>
  <c r="R252" i="63"/>
  <c r="T251" i="63"/>
  <c r="AB102" i="63" l="1"/>
  <c r="AG102" i="63" s="1"/>
  <c r="AF102" i="63"/>
  <c r="AL102" i="63"/>
  <c r="T252" i="63"/>
  <c r="R253" i="63"/>
  <c r="AJ102" i="63" l="1"/>
  <c r="AK102" i="63" s="1"/>
  <c r="Y103" i="63"/>
  <c r="AA103" i="63"/>
  <c r="AP103" i="63" s="1"/>
  <c r="R254" i="63"/>
  <c r="T253" i="63"/>
  <c r="AC103" i="63" l="1"/>
  <c r="AH103" i="63" s="1"/>
  <c r="AI103" i="63"/>
  <c r="R255" i="63"/>
  <c r="T254" i="63"/>
  <c r="AB103" i="63" l="1"/>
  <c r="AF103" i="63"/>
  <c r="AG103" i="63"/>
  <c r="AL103" i="63"/>
  <c r="R256" i="63"/>
  <c r="T255" i="63"/>
  <c r="AJ103" i="63" l="1"/>
  <c r="AK103" i="63" s="1"/>
  <c r="Y104" i="63"/>
  <c r="AA104" i="63"/>
  <c r="AP104" i="63" s="1"/>
  <c r="T256" i="63"/>
  <c r="R257" i="63"/>
  <c r="AC104" i="63" l="1"/>
  <c r="AH104" i="63" s="1"/>
  <c r="AI104" i="63"/>
  <c r="R258" i="63"/>
  <c r="T257" i="63"/>
  <c r="AB104" i="63" l="1"/>
  <c r="AL104" i="63" s="1"/>
  <c r="Y105" i="63" s="1"/>
  <c r="AA105" i="63"/>
  <c r="AP105" i="63" s="1"/>
  <c r="AG104" i="63"/>
  <c r="AF104" i="63"/>
  <c r="R259" i="63"/>
  <c r="T258" i="63"/>
  <c r="AJ104" i="63" l="1"/>
  <c r="AK104" i="63" s="1"/>
  <c r="AC105" i="63"/>
  <c r="AH105" i="63" s="1"/>
  <c r="AI105" i="63"/>
  <c r="R260" i="63"/>
  <c r="T259" i="63"/>
  <c r="AB105" i="63" l="1"/>
  <c r="AF105" i="63"/>
  <c r="AG105" i="63"/>
  <c r="AL105" i="63"/>
  <c r="T260" i="63"/>
  <c r="R261" i="63"/>
  <c r="AJ105" i="63" l="1"/>
  <c r="AK105" i="63" s="1"/>
  <c r="Y106" i="63"/>
  <c r="AA106" i="63"/>
  <c r="AP106" i="63" s="1"/>
  <c r="R262" i="63"/>
  <c r="T261" i="63"/>
  <c r="AI106" i="63" l="1"/>
  <c r="AC106" i="63"/>
  <c r="AH106" i="63" s="1"/>
  <c r="R263" i="63"/>
  <c r="T262" i="63"/>
  <c r="AB106" i="63" l="1"/>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c r="AK107" i="63" s="1"/>
  <c r="AA108" i="63"/>
  <c r="AP108" i="63" s="1"/>
  <c r="Y108" i="63"/>
  <c r="AG107" i="63"/>
  <c r="AF107" i="63"/>
  <c r="R268" i="63"/>
  <c r="T267" i="63"/>
  <c r="AC108" i="63" l="1"/>
  <c r="AH108" i="63" s="1"/>
  <c r="AI108" i="63"/>
  <c r="T268" i="63"/>
  <c r="R269" i="63"/>
  <c r="AB108" i="63" l="1"/>
  <c r="AL108" i="63" s="1"/>
  <c r="AJ108" i="63" s="1"/>
  <c r="AK108" i="63" s="1"/>
  <c r="Y109" i="63"/>
  <c r="AA109" i="63"/>
  <c r="AP109" i="63" s="1"/>
  <c r="AG108" i="63"/>
  <c r="AF108" i="63"/>
  <c r="R270" i="63"/>
  <c r="T269" i="63"/>
  <c r="AI109" i="63" l="1"/>
  <c r="AC109" i="63"/>
  <c r="AH109" i="63" s="1"/>
  <c r="R271" i="63"/>
  <c r="T270" i="63"/>
  <c r="AB109" i="63" l="1"/>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A111" i="63" l="1"/>
  <c r="AP111" i="63" s="1"/>
  <c r="AG110" i="63"/>
  <c r="Y111" i="63"/>
  <c r="AF110" i="63"/>
  <c r="AC111" i="63"/>
  <c r="AH111" i="63" s="1"/>
  <c r="T276" i="63"/>
  <c r="R277" i="63"/>
  <c r="AI111" i="63" l="1"/>
  <c r="AB111" i="63"/>
  <c r="AG111" i="63" s="1"/>
  <c r="AF111" i="63"/>
  <c r="AL111" i="63"/>
  <c r="R278" i="63"/>
  <c r="T277" i="63"/>
  <c r="AJ111" i="63" l="1"/>
  <c r="AK111" i="63" s="1"/>
  <c r="Y112" i="63"/>
  <c r="AA112" i="63"/>
  <c r="AP112" i="63" s="1"/>
  <c r="R279" i="63"/>
  <c r="T278" i="63"/>
  <c r="AI112" i="63" l="1"/>
  <c r="AC112" i="63"/>
  <c r="AH112" i="63" s="1"/>
  <c r="R280" i="63"/>
  <c r="T279" i="63"/>
  <c r="AB112" i="63" l="1"/>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J58" i="1" s="1"/>
  <c r="AC120" i="63"/>
  <c r="AH120" i="63" s="1"/>
  <c r="AI120" i="63"/>
  <c r="K58" i="1" l="1"/>
  <c r="I80" i="1"/>
  <c r="I77" i="1"/>
  <c r="J77" i="1" s="1"/>
  <c r="I78" i="1"/>
  <c r="J78" i="1" s="1"/>
  <c r="I76" i="1"/>
  <c r="I79" i="1"/>
  <c r="J79" i="1" s="1"/>
  <c r="AB120" i="63"/>
  <c r="AL120" i="63" s="1"/>
  <c r="AJ120" i="63" s="1"/>
  <c r="AK120" i="63" s="1"/>
  <c r="AA121" i="63" l="1"/>
  <c r="AP121" i="63" s="1"/>
  <c r="AF120" i="63"/>
  <c r="J76" i="1"/>
  <c r="I81" i="1"/>
  <c r="K80" i="1"/>
  <c r="K82" i="1" s="1"/>
  <c r="J80" i="1"/>
  <c r="AG120" i="63"/>
  <c r="Y121" i="63"/>
  <c r="AC121" i="63" s="1"/>
  <c r="AH121" i="63" s="1"/>
  <c r="AI121" i="63"/>
  <c r="I82" i="1" l="1"/>
  <c r="K59" i="1"/>
  <c r="K60" i="1" s="1"/>
  <c r="K61" i="1" s="1"/>
  <c r="J59" i="1"/>
  <c r="J61" i="1" s="1"/>
  <c r="J81" i="1"/>
  <c r="J82" i="1"/>
  <c r="AB121" i="63"/>
  <c r="AL121" i="63" s="1"/>
  <c r="Y122" i="63" s="1"/>
  <c r="AA122" i="63" l="1"/>
  <c r="AP122" i="63" s="1"/>
  <c r="AF121" i="63"/>
  <c r="AJ121" i="63"/>
  <c r="AK121" i="63" s="1"/>
  <c r="O13" i="1"/>
  <c r="O14" i="1"/>
  <c r="K62" i="1"/>
  <c r="AG121" i="63"/>
  <c r="AC122" i="63"/>
  <c r="AH122" i="63" s="1"/>
  <c r="AI122" i="63"/>
  <c r="C50" i="33" l="1"/>
  <c r="G37" i="33"/>
  <c r="D60" i="1"/>
  <c r="G24" i="33"/>
  <c r="AB122" i="63"/>
  <c r="AG122" i="63" s="1"/>
  <c r="E26" i="33" l="1"/>
  <c r="E27" i="33"/>
  <c r="AL122" i="63"/>
  <c r="AJ122" i="63" s="1"/>
  <c r="AK122" i="63" s="1"/>
  <c r="E41" i="33"/>
  <c r="E40" i="33"/>
  <c r="AF122" i="63"/>
  <c r="E50" i="33"/>
  <c r="G50" i="33"/>
  <c r="E53" i="33" s="1"/>
  <c r="AA123" i="63" l="1"/>
  <c r="AP123" i="63" s="1"/>
  <c r="Y123" i="63"/>
  <c r="F50" i="33"/>
  <c r="E54" i="33" s="1"/>
  <c r="I42" i="33"/>
  <c r="AC123" i="63"/>
  <c r="AH123" i="63" s="1"/>
  <c r="AI123" i="63" l="1"/>
  <c r="AB123" i="63"/>
  <c r="AF123" i="63" s="1"/>
  <c r="AL123" i="63" l="1"/>
  <c r="AG123" i="63"/>
  <c r="AJ123" i="63"/>
  <c r="AK123" i="63" s="1"/>
  <c r="AA124" i="63"/>
  <c r="AP124" i="63" s="1"/>
  <c r="Y124" i="63"/>
  <c r="AC124" i="63" l="1"/>
  <c r="AH124" i="63" s="1"/>
  <c r="AI124" i="63"/>
  <c r="AB124" i="63" l="1"/>
  <c r="AF124" i="63" s="1"/>
  <c r="AL124" i="63" l="1"/>
  <c r="AJ124" i="63" s="1"/>
  <c r="AK124" i="63" s="1"/>
  <c r="AG124" i="63"/>
  <c r="AA125" i="63" l="1"/>
  <c r="AP125" i="63" s="1"/>
  <c r="Y125" i="63"/>
  <c r="AC125" i="63" s="1"/>
  <c r="AH125" i="63" s="1"/>
  <c r="AI125" i="63" l="1"/>
  <c r="AB125" i="63"/>
  <c r="AG125" i="63"/>
  <c r="AF125" i="63"/>
  <c r="AL125" i="63"/>
  <c r="AJ125" i="63" l="1"/>
  <c r="AK125" i="63" s="1"/>
  <c r="AA126" i="63"/>
  <c r="AP126" i="63" s="1"/>
  <c r="Y126" i="63"/>
  <c r="AC126" i="63" l="1"/>
  <c r="AH126" i="63" s="1"/>
  <c r="AI126" i="63"/>
  <c r="AB126" i="63" l="1"/>
  <c r="AF126" i="63" s="1"/>
  <c r="AL126" i="63" l="1"/>
  <c r="AJ126" i="63" s="1"/>
  <c r="AK126" i="63" s="1"/>
  <c r="AG126" i="63"/>
  <c r="AA127" i="63"/>
  <c r="AP127" i="63" s="1"/>
  <c r="Y127" i="63"/>
  <c r="AC127" i="63" l="1"/>
  <c r="AH127" i="63" s="1"/>
  <c r="AI127" i="63"/>
  <c r="AB127" i="63" l="1"/>
  <c r="AL127" i="63" s="1"/>
  <c r="AJ127" i="63" s="1"/>
  <c r="AK127" i="63" s="1"/>
  <c r="AA128" i="63"/>
  <c r="AP128" i="63" s="1"/>
  <c r="Y128" i="63"/>
  <c r="AF127" i="63"/>
  <c r="AG127" i="63"/>
  <c r="AC128" i="63" l="1"/>
  <c r="AH128" i="63" s="1"/>
  <c r="AI128" i="63"/>
  <c r="AB128" i="63" l="1"/>
  <c r="AL128" i="63" s="1"/>
  <c r="AJ128" i="63" s="1"/>
  <c r="AK128" i="63" s="1"/>
  <c r="AF128" i="63" l="1"/>
  <c r="AG128" i="63"/>
  <c r="Y129" i="63"/>
  <c r="AA129" i="63"/>
  <c r="AP129" i="63" s="1"/>
  <c r="AC129" i="63"/>
  <c r="AH129" i="63" s="1"/>
  <c r="AI129" i="63"/>
  <c r="AB129" i="63" l="1"/>
  <c r="AL129" i="63" s="1"/>
  <c r="AA130" i="63" s="1"/>
  <c r="AP130" i="63" s="1"/>
  <c r="AF129" i="63"/>
  <c r="AG129" i="63"/>
  <c r="Y130" i="63" l="1"/>
  <c r="AC130" i="63" s="1"/>
  <c r="AH130" i="63" s="1"/>
  <c r="AJ129" i="63"/>
  <c r="AK129" i="63" s="1"/>
  <c r="AI130" i="63"/>
  <c r="AB130" i="63" l="1"/>
  <c r="AG130" i="63" s="1"/>
  <c r="AL130" i="63" l="1"/>
  <c r="AA131" i="63" s="1"/>
  <c r="AP131" i="63" s="1"/>
  <c r="AF130" i="63"/>
  <c r="Y131" i="63"/>
  <c r="AJ130" i="63" l="1"/>
  <c r="AK130" i="63" s="1"/>
  <c r="AC131" i="63"/>
  <c r="AH131" i="63" s="1"/>
  <c r="AI131" i="63"/>
  <c r="AB131" i="63" l="1"/>
  <c r="AF131" i="63" s="1"/>
  <c r="AG131" i="63" l="1"/>
  <c r="AL131" i="63"/>
  <c r="AJ131" i="63" s="1"/>
  <c r="AK131" i="63" s="1"/>
  <c r="Y132" i="63" l="1"/>
  <c r="AC132" i="63" s="1"/>
  <c r="AH132" i="63" s="1"/>
  <c r="AA132" i="63"/>
  <c r="AP132" i="63" s="1"/>
  <c r="AI132" i="63" l="1"/>
  <c r="AB132" i="63"/>
  <c r="AF132" i="63"/>
  <c r="AG132" i="63"/>
  <c r="AL132" i="63"/>
  <c r="AJ132" i="63" l="1"/>
  <c r="AK132" i="63" s="1"/>
  <c r="AA133" i="63"/>
  <c r="AP133" i="63" s="1"/>
  <c r="Y133" i="63"/>
  <c r="AC133" i="63" l="1"/>
  <c r="AH133" i="63" s="1"/>
  <c r="AI133" i="63"/>
  <c r="AB133" i="63" l="1"/>
  <c r="AG133" i="63" s="1"/>
  <c r="AF133" i="63" l="1"/>
  <c r="AL133" i="63"/>
  <c r="AJ133" i="63" s="1"/>
  <c r="AK133" i="63" s="1"/>
  <c r="Y134" i="63" l="1"/>
  <c r="AA134" i="63"/>
  <c r="AP134" i="63" s="1"/>
  <c r="AC134" i="63"/>
  <c r="AH134" i="63" s="1"/>
  <c r="AI134" i="63"/>
  <c r="AB134" i="63" l="1"/>
  <c r="AF134" i="63"/>
  <c r="AG134" i="63"/>
  <c r="AL134" i="63"/>
  <c r="AJ134" i="63" l="1"/>
  <c r="AK134" i="63" s="1"/>
  <c r="AA135" i="63"/>
  <c r="AP135" i="63" s="1"/>
  <c r="Y135" i="63"/>
  <c r="AC135" i="63" l="1"/>
  <c r="AH135" i="63" s="1"/>
  <c r="AI135" i="63"/>
  <c r="AB135" i="63" l="1"/>
  <c r="AL135" i="63" s="1"/>
  <c r="AJ135" i="63" s="1"/>
  <c r="AK135" i="63" s="1"/>
  <c r="AA136" i="63"/>
  <c r="AP136" i="63" s="1"/>
  <c r="Y136" i="63"/>
  <c r="AG135" i="63"/>
  <c r="AF135" i="63"/>
  <c r="AC136" i="63" l="1"/>
  <c r="AH136" i="63" s="1"/>
  <c r="AI136" i="63"/>
  <c r="AB136" i="63" l="1"/>
  <c r="AF136" i="63" s="1"/>
  <c r="AG136" i="63"/>
  <c r="AL136" i="63"/>
  <c r="AJ136" i="63" l="1"/>
  <c r="AK136" i="63" s="1"/>
  <c r="AA137" i="63"/>
  <c r="AP137" i="63" s="1"/>
  <c r="Y137" i="63"/>
  <c r="AC137" i="63" l="1"/>
  <c r="AH137" i="63" s="1"/>
  <c r="AI137" i="63"/>
  <c r="AB137" i="63" l="1"/>
  <c r="AG137" i="63" s="1"/>
  <c r="AF137" i="63"/>
  <c r="AL137" i="63"/>
  <c r="AA138" i="63" l="1"/>
  <c r="AP138" i="63" s="1"/>
  <c r="AJ137" i="63"/>
  <c r="AK137" i="63" s="1"/>
  <c r="Y138" i="63"/>
  <c r="AC138" i="63" l="1"/>
  <c r="AH138" i="63" s="1"/>
  <c r="AI138" i="63"/>
  <c r="AB138" i="63" l="1"/>
  <c r="AG138" i="63" s="1"/>
  <c r="AF138" i="63"/>
  <c r="AL138" i="63" l="1"/>
  <c r="AJ138" i="63" s="1"/>
  <c r="AK138" i="63" s="1"/>
  <c r="AA139" i="63" l="1"/>
  <c r="AP139" i="63" s="1"/>
  <c r="Y139" i="63"/>
  <c r="AC139" i="63" s="1"/>
  <c r="AH139" i="63" s="1"/>
  <c r="AI139" i="63" l="1"/>
  <c r="AB139" i="63"/>
  <c r="AG139" i="63" s="1"/>
  <c r="AL139" i="63"/>
  <c r="AF139" i="63" l="1"/>
  <c r="AJ139" i="63"/>
  <c r="AK139" i="63" s="1"/>
  <c r="AA140" i="63"/>
  <c r="AP140" i="63" s="1"/>
  <c r="Y140" i="63"/>
  <c r="AC140" i="63" l="1"/>
  <c r="AH140" i="63" s="1"/>
  <c r="AI140" i="63"/>
  <c r="AB140" i="63" l="1"/>
  <c r="AF140" i="63" s="1"/>
  <c r="AG140" i="63"/>
  <c r="AL140" i="63"/>
  <c r="AA141" i="63" l="1"/>
  <c r="AP141" i="63" s="1"/>
  <c r="AJ140" i="63"/>
  <c r="AK140" i="63" s="1"/>
  <c r="Y141" i="63"/>
  <c r="AC141" i="63" l="1"/>
  <c r="AH141" i="63" s="1"/>
  <c r="AI141" i="63"/>
  <c r="AB141" i="63" l="1"/>
  <c r="AG141" i="63" s="1"/>
  <c r="AL141" i="63"/>
  <c r="AF141" i="63" l="1"/>
  <c r="AA142" i="63"/>
  <c r="AP142" i="63" s="1"/>
  <c r="AJ141" i="63"/>
  <c r="AK141" i="63" s="1"/>
  <c r="Y142" i="63"/>
  <c r="AC142" i="63" l="1"/>
  <c r="AH142" i="63" s="1"/>
  <c r="AI142" i="63"/>
  <c r="AB142" i="63" l="1"/>
  <c r="AG142" i="63"/>
  <c r="AF142" i="63"/>
  <c r="AL142" i="63"/>
  <c r="AJ142" i="63" l="1"/>
  <c r="AK142" i="63" s="1"/>
  <c r="AA143" i="63"/>
  <c r="AP143" i="63" s="1"/>
  <c r="Y143" i="63"/>
  <c r="AC143" i="63" l="1"/>
  <c r="AH143" i="63" s="1"/>
  <c r="AI143" i="63"/>
  <c r="AB143" i="63" l="1"/>
  <c r="AF143" i="63"/>
  <c r="AG143" i="63"/>
  <c r="AL143" i="63"/>
  <c r="AA144" i="63" l="1"/>
  <c r="AP144" i="63" s="1"/>
  <c r="AJ143" i="63"/>
  <c r="AK143" i="63" s="1"/>
  <c r="Y144" i="63"/>
  <c r="AC144" i="63" l="1"/>
  <c r="AH144" i="63" s="1"/>
  <c r="AI144" i="63"/>
  <c r="AB144" i="63" l="1"/>
  <c r="AG144" i="63" s="1"/>
  <c r="AF144" i="63"/>
  <c r="AL144" i="63"/>
  <c r="AJ144" i="63" l="1"/>
  <c r="AK144" i="63" s="1"/>
  <c r="AA145" i="63"/>
  <c r="AP145" i="63" s="1"/>
  <c r="Y145" i="63"/>
  <c r="AC145" i="63" l="1"/>
  <c r="AH145" i="63" s="1"/>
  <c r="AI145" i="63"/>
  <c r="AB145" i="63" l="1"/>
  <c r="AL145" i="63" s="1"/>
  <c r="AJ145" i="63" s="1"/>
  <c r="AK145" i="63" s="1"/>
  <c r="AA146" i="63"/>
  <c r="AP146" i="63" s="1"/>
  <c r="Y146" i="63"/>
  <c r="AF145" i="63"/>
  <c r="AG145" i="63"/>
  <c r="AC146" i="63" l="1"/>
  <c r="AH146" i="63" s="1"/>
  <c r="AI146" i="63"/>
  <c r="AB146" i="63" l="1"/>
  <c r="AG146" i="63"/>
  <c r="AF146" i="63"/>
  <c r="AL146" i="63"/>
  <c r="AJ146" i="63" l="1"/>
  <c r="AK146" i="63" s="1"/>
  <c r="AA147" i="63"/>
  <c r="AP147" i="63" s="1"/>
  <c r="Y147" i="63"/>
  <c r="AC147" i="63" l="1"/>
  <c r="AH147" i="63" s="1"/>
  <c r="AI147" i="63"/>
  <c r="AB147" i="63" l="1"/>
  <c r="AF147" i="63" s="1"/>
  <c r="AL147" i="63" l="1"/>
  <c r="AG147" i="63"/>
  <c r="AJ147" i="63"/>
  <c r="AK147" i="63" s="1"/>
  <c r="AA148" i="63"/>
  <c r="AP148" i="63" s="1"/>
  <c r="Y148" i="63"/>
  <c r="AC148" i="63" l="1"/>
  <c r="AH148" i="63" s="1"/>
  <c r="AI148" i="63"/>
  <c r="AB148" i="63" l="1"/>
  <c r="AL148" i="63" s="1"/>
  <c r="AA149" i="63" s="1"/>
  <c r="AP149" i="63" s="1"/>
  <c r="AF148" i="63" l="1"/>
  <c r="AG148" i="63"/>
  <c r="Y149" i="63"/>
  <c r="AJ148" i="63"/>
  <c r="AK148" i="63" s="1"/>
  <c r="AC149" i="63"/>
  <c r="AH149" i="63" s="1"/>
  <c r="AI149" i="63"/>
  <c r="AB149" i="63" l="1"/>
  <c r="AF149" i="63"/>
  <c r="AG149" i="63"/>
  <c r="AL149" i="63"/>
  <c r="AJ149" i="63" l="1"/>
  <c r="AK149" i="63" s="1"/>
  <c r="AA150" i="63"/>
  <c r="AP150" i="63" s="1"/>
  <c r="Y150" i="63"/>
  <c r="AC150" i="63" l="1"/>
  <c r="AH150" i="63" s="1"/>
  <c r="AI150" i="63"/>
  <c r="AB150" i="63" l="1"/>
  <c r="AF150" i="63" s="1"/>
  <c r="AL150" i="63" l="1"/>
  <c r="AG150" i="63"/>
  <c r="AJ150" i="63"/>
  <c r="AK150" i="63" s="1"/>
  <c r="AA151" i="63"/>
  <c r="AP151" i="63" s="1"/>
  <c r="Y151" i="63"/>
  <c r="AC151" i="63" l="1"/>
  <c r="AH151" i="63" s="1"/>
  <c r="AI151" i="63"/>
  <c r="AB151" i="63" l="1"/>
  <c r="AF151" i="63" s="1"/>
  <c r="AG151" i="63" l="1"/>
  <c r="AL151" i="63"/>
  <c r="AJ151" i="63" s="1"/>
  <c r="AK151" i="63" s="1"/>
  <c r="AA152" i="63"/>
  <c r="AP152" i="63" s="1"/>
  <c r="Y152" i="63"/>
  <c r="AC152" i="63" l="1"/>
  <c r="AH152" i="63" s="1"/>
  <c r="AI152" i="63"/>
  <c r="AB152" i="63" l="1"/>
  <c r="AF152" i="63" s="1"/>
  <c r="AG152" i="63"/>
  <c r="AL152" i="63"/>
  <c r="AJ152" i="63" l="1"/>
  <c r="AK152" i="63" s="1"/>
  <c r="AA153" i="63"/>
  <c r="AP153" i="63" s="1"/>
  <c r="Y153" i="63"/>
  <c r="AC153" i="63" l="1"/>
  <c r="AH153" i="63" s="1"/>
  <c r="AI153" i="63"/>
  <c r="AB153" i="63" l="1"/>
  <c r="AG153" i="63"/>
  <c r="AF153" i="63"/>
  <c r="AL153" i="63"/>
  <c r="AJ153" i="63" l="1"/>
  <c r="AK153" i="63" s="1"/>
  <c r="AA154" i="63"/>
  <c r="AP154" i="63" s="1"/>
  <c r="Y154" i="63"/>
  <c r="AC154" i="63" l="1"/>
  <c r="AH154" i="63" s="1"/>
  <c r="AI154" i="63"/>
  <c r="AB154" i="63" l="1"/>
  <c r="AG154" i="63" s="1"/>
  <c r="AF154" i="63"/>
  <c r="AL154" i="63"/>
  <c r="AJ154" i="63" l="1"/>
  <c r="AK154" i="63" s="1"/>
  <c r="AA155" i="63"/>
  <c r="AP155" i="63" s="1"/>
  <c r="Y155" i="63"/>
  <c r="AC155" i="63" l="1"/>
  <c r="AH155" i="63" s="1"/>
  <c r="AI155" i="63"/>
  <c r="AB155" i="63" l="1"/>
  <c r="AF155" i="63" s="1"/>
  <c r="AL155" i="63" l="1"/>
  <c r="AJ155" i="63" s="1"/>
  <c r="AK155" i="63" s="1"/>
  <c r="AG155" i="63"/>
  <c r="AA156" i="63"/>
  <c r="AP156" i="63" s="1"/>
  <c r="Y156" i="63"/>
  <c r="AC156" i="63" l="1"/>
  <c r="AH156" i="63" s="1"/>
  <c r="AI156" i="63"/>
  <c r="AB156" i="63" l="1"/>
  <c r="AL156" i="63" s="1"/>
  <c r="AJ156" i="63" s="1"/>
  <c r="AK156" i="63" s="1"/>
  <c r="AF156" i="63" l="1"/>
  <c r="AG156" i="63"/>
  <c r="Y157" i="63"/>
  <c r="AA157" i="63"/>
  <c r="AP157" i="63" s="1"/>
  <c r="AC157" i="63"/>
  <c r="AH157" i="63" s="1"/>
  <c r="AI157" i="63" l="1"/>
  <c r="AB157" i="63"/>
  <c r="AG157" i="63" s="1"/>
  <c r="AF157" i="63"/>
  <c r="AL157" i="63"/>
  <c r="AA158" i="63" l="1"/>
  <c r="AP158" i="63" s="1"/>
  <c r="AJ157" i="63"/>
  <c r="AK157" i="63" s="1"/>
  <c r="Y158" i="63"/>
  <c r="AC158" i="63" l="1"/>
  <c r="AH158" i="63" s="1"/>
  <c r="AI158" i="63"/>
  <c r="AB158" i="63" l="1"/>
  <c r="AL158" i="63" s="1"/>
  <c r="AJ158" i="63" s="1"/>
  <c r="AK158" i="63" s="1"/>
  <c r="AA159" i="63"/>
  <c r="AP159" i="63" s="1"/>
  <c r="AF158" i="63"/>
  <c r="AG158" i="63"/>
  <c r="Y159" i="63" l="1"/>
  <c r="AC159" i="63"/>
  <c r="AH159" i="63" s="1"/>
  <c r="AI159" i="63"/>
  <c r="AB159" i="63" l="1"/>
  <c r="AL159" i="63" s="1"/>
  <c r="AJ159" i="63" s="1"/>
  <c r="AK159" i="63" s="1"/>
  <c r="AA160" i="63"/>
  <c r="AP160" i="63" s="1"/>
  <c r="Y160" i="63"/>
  <c r="AG159" i="63"/>
  <c r="AF159" i="63"/>
  <c r="AC160" i="63" l="1"/>
  <c r="AH160" i="63" s="1"/>
  <c r="AI160" i="63"/>
  <c r="AB160" i="63" l="1"/>
  <c r="AG160" i="63" s="1"/>
  <c r="AF160" i="63"/>
  <c r="AL160" i="63"/>
  <c r="AA161" i="63" l="1"/>
  <c r="AP161" i="63" s="1"/>
  <c r="AJ160" i="63"/>
  <c r="AK160" i="63" s="1"/>
  <c r="Y161" i="63"/>
  <c r="AC161" i="63" l="1"/>
  <c r="AH161" i="63" s="1"/>
  <c r="AI161" i="63"/>
  <c r="AB161" i="63" l="1"/>
  <c r="AL161" i="63" s="1"/>
  <c r="AA162" i="63"/>
  <c r="AP162" i="63" s="1"/>
  <c r="AJ161" i="63"/>
  <c r="AK161" i="63" s="1"/>
  <c r="Y162" i="63"/>
  <c r="AF161" i="63"/>
  <c r="AG161" i="63"/>
  <c r="AC162" i="63" l="1"/>
  <c r="AH162" i="63" s="1"/>
  <c r="AI162" i="63"/>
  <c r="AB162" i="63" l="1"/>
  <c r="AG162" i="63" s="1"/>
  <c r="AL162" i="63" l="1"/>
  <c r="AF162" i="63"/>
  <c r="AA163" i="63"/>
  <c r="AP163" i="63" s="1"/>
  <c r="AJ162" i="63"/>
  <c r="AK162" i="63" s="1"/>
  <c r="Y163" i="63"/>
  <c r="AC163" i="63" l="1"/>
  <c r="AH163" i="63" s="1"/>
  <c r="AI163" i="63"/>
  <c r="AB163" i="63" l="1"/>
  <c r="AG163" i="63" s="1"/>
  <c r="AL163" i="63" l="1"/>
  <c r="AJ163" i="63" s="1"/>
  <c r="AK163" i="63" s="1"/>
  <c r="AF163" i="63"/>
  <c r="Y164" i="63" l="1"/>
  <c r="AA164" i="63"/>
  <c r="AP164" i="63" s="1"/>
  <c r="AC164" i="63"/>
  <c r="AH164" i="63" s="1"/>
  <c r="AI164" i="63" l="1"/>
  <c r="AB164" i="63"/>
  <c r="AL164" i="63" s="1"/>
  <c r="AA165" i="63" s="1"/>
  <c r="AP165" i="63" s="1"/>
  <c r="AJ164" i="63"/>
  <c r="AK164" i="63" s="1"/>
  <c r="Y165" i="63"/>
  <c r="AF164" i="63"/>
  <c r="AG164" i="63"/>
  <c r="AC165" i="63" l="1"/>
  <c r="AH165" i="63" s="1"/>
  <c r="AI165" i="63"/>
  <c r="AB165" i="63" l="1"/>
  <c r="AL165" i="63" s="1"/>
  <c r="AJ165" i="63" s="1"/>
  <c r="AK165" i="63" s="1"/>
  <c r="AA166" i="63"/>
  <c r="AP166" i="63" s="1"/>
  <c r="Y166" i="63"/>
  <c r="AG165" i="63"/>
  <c r="AF165" i="63"/>
  <c r="AC166" i="63" l="1"/>
  <c r="AH166" i="63" s="1"/>
  <c r="AI166" i="63"/>
  <c r="AB166" i="63" l="1"/>
  <c r="AL166" i="63" s="1"/>
  <c r="AA167" i="63"/>
  <c r="AP167" i="63" s="1"/>
  <c r="AJ166" i="63"/>
  <c r="AK166" i="63" s="1"/>
  <c r="Y167" i="63"/>
  <c r="AF166" i="63"/>
  <c r="AG166" i="63"/>
  <c r="AC167" i="63" l="1"/>
  <c r="AH167" i="63" s="1"/>
  <c r="AI167" i="63"/>
  <c r="AB167" i="63" l="1"/>
  <c r="AL167" i="63" s="1"/>
  <c r="AJ167" i="63"/>
  <c r="AK167" i="63" s="1"/>
  <c r="AA168" i="63"/>
  <c r="AP168" i="63" s="1"/>
  <c r="Y168" i="63"/>
  <c r="AF167" i="63"/>
  <c r="AG167" i="63"/>
  <c r="AC168" i="63" l="1"/>
  <c r="AH168" i="63" s="1"/>
  <c r="AI168" i="63"/>
  <c r="AB168" i="63" l="1"/>
  <c r="AL168" i="63" s="1"/>
  <c r="AJ168" i="63" s="1"/>
  <c r="AK168" i="63" s="1"/>
  <c r="AF168" i="63"/>
  <c r="AG168" i="63"/>
  <c r="Y169" i="63" l="1"/>
  <c r="AA169" i="63"/>
  <c r="AP169" i="63" s="1"/>
  <c r="AC169" i="63"/>
  <c r="AH169" i="63" s="1"/>
  <c r="AI169" i="63" l="1"/>
  <c r="AB169" i="63"/>
  <c r="AG169" i="63" s="1"/>
  <c r="AF169" i="63"/>
  <c r="AL169" i="63"/>
  <c r="AA170" i="63" l="1"/>
  <c r="AP170" i="63" s="1"/>
  <c r="AJ169" i="63"/>
  <c r="AK169" i="63" s="1"/>
  <c r="Y170" i="63"/>
  <c r="AC170" i="63" l="1"/>
  <c r="AH170" i="63" s="1"/>
  <c r="AI170" i="63"/>
  <c r="AB170" i="63" l="1"/>
  <c r="AG170" i="63" s="1"/>
  <c r="AF170" i="63"/>
  <c r="AL170" i="63"/>
  <c r="AA171" i="63" l="1"/>
  <c r="AP171" i="63" s="1"/>
  <c r="AJ170" i="63"/>
  <c r="AK170" i="63" s="1"/>
  <c r="Y171" i="63"/>
  <c r="AC171" i="63" l="1"/>
  <c r="AH171" i="63" s="1"/>
  <c r="AI171" i="63"/>
  <c r="AB171" i="63" l="1"/>
  <c r="AL171" i="63" s="1"/>
  <c r="AJ171" i="63" s="1"/>
  <c r="AK171" i="63" s="1"/>
  <c r="Y172" i="63" l="1"/>
  <c r="AG171" i="63"/>
  <c r="AF171" i="63"/>
  <c r="AA172" i="63"/>
  <c r="AC172" i="63"/>
  <c r="AH172" i="63" s="1"/>
  <c r="AI172" i="63" l="1"/>
  <c r="AP172" i="63"/>
  <c r="AB172" i="63"/>
  <c r="AF172" i="63" s="1"/>
  <c r="AL172" i="63" l="1"/>
  <c r="AG172" i="63"/>
  <c r="AA173" i="63"/>
  <c r="AP173" i="63" s="1"/>
  <c r="AJ172" i="63"/>
  <c r="AK172" i="63" s="1"/>
  <c r="Y173" i="63"/>
  <c r="AC173" i="63" l="1"/>
  <c r="AH173" i="63" s="1"/>
  <c r="AI173" i="63"/>
  <c r="AB173" i="63" l="1"/>
  <c r="AL173" i="63" s="1"/>
  <c r="AA174" i="63" s="1"/>
  <c r="AP174" i="63" s="1"/>
  <c r="AJ173" i="63"/>
  <c r="AK173" i="63" s="1"/>
  <c r="Y174" i="63"/>
  <c r="AG173" i="63"/>
  <c r="AF173" i="63"/>
  <c r="AC174" i="63" l="1"/>
  <c r="AH174" i="63" s="1"/>
  <c r="AI174" i="63"/>
  <c r="AB174" i="63" l="1"/>
  <c r="AL174" i="63" s="1"/>
  <c r="AG174" i="63"/>
  <c r="AF174" i="63"/>
  <c r="AA175" i="63" l="1"/>
  <c r="AP175" i="63" s="1"/>
  <c r="AJ174" i="63"/>
  <c r="AK174" i="63" s="1"/>
  <c r="Y175" i="63"/>
  <c r="AC175" i="63" l="1"/>
  <c r="AH175" i="63" s="1"/>
  <c r="AI175" i="63"/>
  <c r="AB175" i="63" l="1"/>
  <c r="AL175" i="63" s="1"/>
  <c r="AJ175" i="63" s="1"/>
  <c r="AK175" i="63" s="1"/>
  <c r="AG175" i="63" l="1"/>
  <c r="AF175" i="63"/>
  <c r="AA176" i="63"/>
  <c r="AP176" i="63" s="1"/>
  <c r="Y176" i="63"/>
  <c r="AC176" i="63" s="1"/>
  <c r="AH176" i="63" s="1"/>
  <c r="AI176" i="63" l="1"/>
  <c r="AB176" i="63"/>
  <c r="AL176" i="63" s="1"/>
  <c r="AJ176" i="63" s="1"/>
  <c r="AK176" i="63" s="1"/>
  <c r="AF176" i="63" l="1"/>
  <c r="AG176" i="63"/>
  <c r="Y177" i="63"/>
  <c r="AA177" i="63"/>
  <c r="AP177" i="63" s="1"/>
  <c r="AC177" i="63"/>
  <c r="AH177" i="63" s="1"/>
  <c r="AI177" i="63" l="1"/>
  <c r="AB177" i="63"/>
  <c r="AL177" i="63" s="1"/>
  <c r="AJ177" i="63" s="1"/>
  <c r="AG177" i="63" l="1"/>
  <c r="AK177" i="63"/>
  <c r="AF177" i="63"/>
  <c r="Y178" i="63"/>
  <c r="AA178" i="63"/>
  <c r="AP178" i="63" s="1"/>
  <c r="AC178" i="63"/>
  <c r="AH178" i="63" s="1"/>
  <c r="AI178" i="63" l="1"/>
  <c r="AB178" i="63"/>
  <c r="AG178" i="63" s="1"/>
  <c r="AF178" i="63"/>
  <c r="AL178" i="63" l="1"/>
  <c r="AJ178" i="63" s="1"/>
  <c r="AK178" i="63" s="1"/>
  <c r="Y179" i="63"/>
  <c r="AA179" i="63" l="1"/>
  <c r="AP179" i="63" s="1"/>
  <c r="AC179" i="63"/>
  <c r="AH179" i="63" s="1"/>
  <c r="AI179" i="63" l="1"/>
  <c r="AB179" i="63"/>
  <c r="AF179" i="63" s="1"/>
  <c r="AG179" i="63" l="1"/>
  <c r="AL179" i="63"/>
  <c r="AJ179" i="63" s="1"/>
  <c r="AK179" i="63" s="1"/>
  <c r="AA180" i="63"/>
  <c r="AP180" i="63" s="1"/>
  <c r="Y180" i="63"/>
  <c r="AC180" i="63" l="1"/>
  <c r="AH180" i="63" s="1"/>
  <c r="AI180" i="63"/>
  <c r="AB180" i="63" l="1"/>
  <c r="AL180" i="63" s="1"/>
  <c r="AJ180" i="63" s="1"/>
  <c r="AK180" i="63" s="1"/>
  <c r="AG180" i="63" l="1"/>
  <c r="AF180" i="63"/>
  <c r="Y181" i="63"/>
  <c r="AA181" i="63"/>
  <c r="AP181" i="63" s="1"/>
  <c r="AC181" i="63"/>
  <c r="AH181" i="63" s="1"/>
  <c r="AI181" i="63" l="1"/>
  <c r="AB181" i="63"/>
  <c r="AL181" i="63" s="1"/>
  <c r="AJ181" i="63" s="1"/>
  <c r="AA182" i="63"/>
  <c r="AP182" i="63" s="1"/>
  <c r="Y182" i="63"/>
  <c r="AF181" i="63"/>
  <c r="AG181" i="63"/>
  <c r="AK181" i="63" l="1"/>
  <c r="AC182" i="63"/>
  <c r="AH182" i="63" s="1"/>
  <c r="AI182" i="63"/>
  <c r="AB182" i="63" l="1"/>
  <c r="AF182" i="63" s="1"/>
  <c r="AG182" i="63"/>
  <c r="AL182" i="63"/>
  <c r="AJ182" i="63" l="1"/>
  <c r="AK182" i="63" s="1"/>
  <c r="AA183" i="63"/>
  <c r="AP183" i="63" s="1"/>
  <c r="Y183" i="63"/>
  <c r="AC183" i="63" l="1"/>
  <c r="AH183" i="63" s="1"/>
  <c r="AI183" i="63"/>
  <c r="AB183" i="63" l="1"/>
  <c r="AG183" i="63" s="1"/>
  <c r="AF183" i="63" l="1"/>
  <c r="AL183" i="63"/>
  <c r="AA184" i="63"/>
  <c r="AP184" i="63" s="1"/>
  <c r="AJ183" i="63"/>
  <c r="AK183" i="63" s="1"/>
  <c r="Y184" i="63"/>
  <c r="AC184" i="63" l="1"/>
  <c r="AH184" i="63" s="1"/>
  <c r="AI184" i="63"/>
  <c r="AB184" i="63" l="1"/>
  <c r="AL184" i="63" s="1"/>
  <c r="AJ184" i="63" s="1"/>
  <c r="AK184" i="63" s="1"/>
  <c r="AG184" i="63" l="1"/>
  <c r="AF184" i="63"/>
  <c r="Y185" i="63"/>
  <c r="AA185" i="63"/>
  <c r="AC185" i="63"/>
  <c r="AH185" i="63" s="1"/>
  <c r="AI185" i="63" l="1"/>
  <c r="AP185" i="63"/>
  <c r="AB185" i="63"/>
  <c r="AG185" i="63" s="1"/>
  <c r="AL185" i="63"/>
  <c r="AF185" i="63" l="1"/>
  <c r="AJ185" i="63"/>
  <c r="AK185" i="63" s="1"/>
  <c r="AA186" i="63"/>
  <c r="AP186" i="63" s="1"/>
  <c r="Y186" i="63"/>
  <c r="AC186" i="63" l="1"/>
  <c r="AH186" i="63" s="1"/>
  <c r="AI186" i="63"/>
  <c r="AB186" i="63" l="1"/>
  <c r="AF186" i="63" s="1"/>
  <c r="AL186" i="63" l="1"/>
  <c r="AJ186" i="63" s="1"/>
  <c r="AK186" i="63" s="1"/>
  <c r="AG186" i="63"/>
  <c r="Y187" i="63" l="1"/>
  <c r="AA187" i="63"/>
  <c r="AP187" i="63" s="1"/>
  <c r="AC187" i="63"/>
  <c r="AH187" i="63" s="1"/>
  <c r="AI187" i="63" l="1"/>
  <c r="AB187" i="63"/>
  <c r="AG187" i="63" s="1"/>
  <c r="AL187" i="63" l="1"/>
  <c r="AF187" i="63"/>
  <c r="AA188" i="63"/>
  <c r="AP188" i="63" s="1"/>
  <c r="AJ187" i="63"/>
  <c r="AK187" i="63" s="1"/>
  <c r="Y188" i="63"/>
  <c r="AC188" i="63" l="1"/>
  <c r="AH188" i="63" s="1"/>
  <c r="AI188" i="63"/>
  <c r="AB188" i="63" l="1"/>
  <c r="AF188" i="63"/>
  <c r="AG188" i="63"/>
  <c r="AL188" i="63"/>
  <c r="AJ188" i="63" l="1"/>
  <c r="AK188" i="63" s="1"/>
  <c r="AA189" i="63"/>
  <c r="AP189" i="63" s="1"/>
  <c r="Y189" i="63"/>
  <c r="AC189" i="63" l="1"/>
  <c r="AH189" i="63" s="1"/>
  <c r="AI189" i="63"/>
  <c r="AB189" i="63" l="1"/>
  <c r="AL189" i="63" s="1"/>
  <c r="AJ189" i="63" s="1"/>
  <c r="AK189" i="63" s="1"/>
  <c r="AG189" i="63" l="1"/>
  <c r="AF189" i="63"/>
  <c r="Y190" i="63"/>
  <c r="AC190" i="63" s="1"/>
  <c r="AH190" i="63" s="1"/>
  <c r="AA190" i="63"/>
  <c r="AP190" i="63" s="1"/>
  <c r="AI190" i="63" l="1"/>
  <c r="AB190" i="63"/>
  <c r="AF190" i="63" s="1"/>
  <c r="AL190" i="63" l="1"/>
  <c r="AG190" i="63"/>
  <c r="AJ190" i="63"/>
  <c r="AK190" i="63" s="1"/>
  <c r="AA191" i="63"/>
  <c r="AP191" i="63" s="1"/>
  <c r="Y191" i="63"/>
  <c r="AC191" i="63" l="1"/>
  <c r="AH191" i="63" s="1"/>
  <c r="AI191" i="63"/>
  <c r="AB191" i="63" l="1"/>
  <c r="AG191" i="63" s="1"/>
  <c r="AL191" i="63" l="1"/>
  <c r="AF191" i="63"/>
  <c r="AJ191" i="63"/>
  <c r="AK191" i="63" s="1"/>
  <c r="AA192" i="63"/>
  <c r="AP192" i="63" s="1"/>
  <c r="Y192" i="63"/>
  <c r="AC192" i="63" l="1"/>
  <c r="AH192" i="63" s="1"/>
  <c r="AI192" i="63"/>
  <c r="AB192" i="63" l="1"/>
  <c r="AF192" i="63" s="1"/>
  <c r="AL192" i="63" l="1"/>
  <c r="AA193" i="63" s="1"/>
  <c r="AP193" i="63" s="1"/>
  <c r="AG192" i="63"/>
  <c r="Y193" i="63"/>
  <c r="AJ192" i="63" l="1"/>
  <c r="AK192" i="63" s="1"/>
  <c r="AC193" i="63"/>
  <c r="AH193" i="63" s="1"/>
  <c r="AI193" i="63"/>
  <c r="AB193" i="63" l="1"/>
  <c r="AG193" i="63" s="1"/>
  <c r="AL193" i="63" l="1"/>
  <c r="AJ193" i="63" s="1"/>
  <c r="AK193" i="63" s="1"/>
  <c r="AF193" i="63"/>
  <c r="Y194" i="63" l="1"/>
  <c r="AC194" i="63" s="1"/>
  <c r="AH194" i="63" s="1"/>
  <c r="AA194" i="63"/>
  <c r="AP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AA196" i="63"/>
  <c r="AP196" i="63" s="1"/>
  <c r="Y196" i="63"/>
  <c r="AC196" i="63" l="1"/>
  <c r="AH196" i="63" s="1"/>
  <c r="AI196" i="63"/>
  <c r="AB196" i="63" l="1"/>
  <c r="AG196" i="63" s="1"/>
  <c r="AL196" i="63" l="1"/>
  <c r="AA197" i="63" s="1"/>
  <c r="AP197" i="63" s="1"/>
  <c r="AF196" i="63"/>
  <c r="Y197" i="63" l="1"/>
  <c r="AC197" i="63" s="1"/>
  <c r="AH197" i="63" s="1"/>
  <c r="AJ196" i="63"/>
  <c r="AK196" i="63" s="1"/>
  <c r="AI197" i="63"/>
  <c r="AB197" i="63" l="1"/>
  <c r="AG197" i="63" s="1"/>
  <c r="AF197" i="63"/>
  <c r="AL197" i="63"/>
  <c r="AJ197" i="63" l="1"/>
  <c r="AK197" i="63" s="1"/>
  <c r="AA198" i="63"/>
  <c r="AP198" i="63" s="1"/>
  <c r="Y198" i="63"/>
  <c r="AC198" i="63" l="1"/>
  <c r="AH198" i="63" s="1"/>
  <c r="AI198" i="63"/>
  <c r="AB198" i="63" l="1"/>
  <c r="AG198" i="63" s="1"/>
  <c r="AF198" i="63" l="1"/>
  <c r="AL198" i="63"/>
  <c r="AJ198" i="63" s="1"/>
  <c r="AK198" i="63" s="1"/>
  <c r="Y199" i="63" l="1"/>
  <c r="AA199" i="63"/>
  <c r="AP199" i="63" s="1"/>
  <c r="AC199" i="63"/>
  <c r="AH199" i="63" s="1"/>
  <c r="AI199" i="63"/>
  <c r="AB199" i="63" l="1"/>
  <c r="AG199" i="63" s="1"/>
  <c r="AL199" i="63" l="1"/>
  <c r="AJ199" i="63" s="1"/>
  <c r="AK199" i="63" s="1"/>
  <c r="AF199" i="63"/>
  <c r="Y200" i="63"/>
  <c r="AA200" i="63" l="1"/>
  <c r="AP200" i="63" s="1"/>
  <c r="AC200" i="63"/>
  <c r="AH200" i="63" s="1"/>
  <c r="AI200" i="63"/>
  <c r="AB200" i="63" l="1"/>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c r="AB202" i="63" l="1"/>
  <c r="AG202" i="63" s="1"/>
  <c r="AL202" i="63" l="1"/>
  <c r="AF202" i="63"/>
  <c r="AA203" i="63"/>
  <c r="AP203" i="63" s="1"/>
  <c r="AJ202" i="63"/>
  <c r="AK202" i="63" s="1"/>
  <c r="Y203" i="63"/>
  <c r="AC203" i="63" l="1"/>
  <c r="AH203" i="63" s="1"/>
  <c r="AI203" i="63"/>
  <c r="AB203" i="63" l="1"/>
  <c r="AF203" i="63" s="1"/>
  <c r="AL203" i="63" l="1"/>
  <c r="AJ203" i="63" s="1"/>
  <c r="AK203" i="63" s="1"/>
  <c r="AG203" i="63"/>
  <c r="AA204" i="63"/>
  <c r="AP204" i="63" s="1"/>
  <c r="Y204" i="63"/>
  <c r="AC204" i="63" l="1"/>
  <c r="AH204" i="63" s="1"/>
  <c r="AI204" i="63"/>
  <c r="AB204" i="63" l="1"/>
  <c r="AL204" i="63" s="1"/>
  <c r="AJ204" i="63" s="1"/>
  <c r="AK204" i="63" s="1"/>
  <c r="AA205" i="63"/>
  <c r="AP205" i="63" s="1"/>
  <c r="AF204" i="63"/>
  <c r="AG204" i="63"/>
  <c r="Y205" i="63" l="1"/>
  <c r="AC205" i="63"/>
  <c r="AH205" i="63" s="1"/>
  <c r="AI205" i="63"/>
  <c r="AB205" i="63" l="1"/>
  <c r="AL205" i="63" s="1"/>
  <c r="AJ205" i="63" s="1"/>
  <c r="AK205" i="63" s="1"/>
  <c r="AF205" i="63" l="1"/>
  <c r="AG205" i="63"/>
  <c r="Y206" i="63"/>
  <c r="AA206" i="63"/>
  <c r="AP206" i="63" s="1"/>
  <c r="AC206" i="63"/>
  <c r="AH206" i="63" s="1"/>
  <c r="AI206" i="63"/>
  <c r="AB206" i="63" l="1"/>
  <c r="AG206" i="63" s="1"/>
  <c r="AF206" i="63"/>
  <c r="AL206" i="63" l="1"/>
  <c r="AA207" i="63"/>
  <c r="AP207" i="63" s="1"/>
  <c r="AJ206" i="63"/>
  <c r="AK206" i="63" s="1"/>
  <c r="Y207" i="63"/>
  <c r="AC207" i="63" l="1"/>
  <c r="AH207" i="63" s="1"/>
  <c r="AI207" i="63"/>
  <c r="AB207" i="63" l="1"/>
  <c r="AG207" i="63" s="1"/>
  <c r="AF207" i="63"/>
  <c r="AL207" i="63"/>
  <c r="AJ207" i="63" l="1"/>
  <c r="AK207" i="63" s="1"/>
  <c r="AA208" i="63"/>
  <c r="AP208" i="63" s="1"/>
  <c r="Y208" i="63"/>
  <c r="AC208" i="63" l="1"/>
  <c r="AH208" i="63" s="1"/>
  <c r="AI208" i="63"/>
  <c r="AB208" i="63" l="1"/>
  <c r="AF208" i="63" s="1"/>
  <c r="AL208" i="63" l="1"/>
  <c r="AG208" i="63"/>
  <c r="AJ208" i="63"/>
  <c r="AK208" i="63" s="1"/>
  <c r="AA209" i="63"/>
  <c r="AP209" i="63" s="1"/>
  <c r="Y209" i="63"/>
  <c r="AC209" i="63" l="1"/>
  <c r="AH209" i="63" s="1"/>
  <c r="AI209" i="63"/>
  <c r="AB209" i="63" l="1"/>
  <c r="AL209" i="63" s="1"/>
  <c r="AJ209" i="63" s="1"/>
  <c r="AK209" i="63" s="1"/>
  <c r="AA210" i="63"/>
  <c r="AP210" i="63" s="1"/>
  <c r="Y210" i="63"/>
  <c r="AG209" i="63"/>
  <c r="AF209" i="63"/>
  <c r="AC210" i="63" l="1"/>
  <c r="AH210" i="63" s="1"/>
  <c r="AI210" i="63"/>
  <c r="AB210" i="63" l="1"/>
  <c r="AG210" i="63"/>
  <c r="AF210" i="63"/>
  <c r="AL210" i="63"/>
  <c r="AJ210" i="63" l="1"/>
  <c r="AK210" i="63" s="1"/>
  <c r="AA211" i="63"/>
  <c r="AP211" i="63" s="1"/>
  <c r="Y211" i="63"/>
  <c r="AC211" i="63" l="1"/>
  <c r="AH211" i="63" s="1"/>
  <c r="AI211" i="63"/>
  <c r="AB211" i="63" l="1"/>
  <c r="AG211" i="63" s="1"/>
  <c r="AL211" i="63" l="1"/>
  <c r="AJ211" i="63" s="1"/>
  <c r="AK211" i="63" s="1"/>
  <c r="AF211" i="63"/>
  <c r="AA212" i="63"/>
  <c r="AP212" i="63" s="1"/>
  <c r="Y212" i="63"/>
  <c r="AC212" i="63" l="1"/>
  <c r="AH212" i="63" s="1"/>
  <c r="AI212" i="63"/>
  <c r="AB212" i="63" l="1"/>
  <c r="AF212" i="63"/>
  <c r="AG212" i="63"/>
  <c r="AL212" i="63"/>
  <c r="AJ212" i="63" l="1"/>
  <c r="AK212" i="63" s="1"/>
  <c r="AA213" i="63"/>
  <c r="AP213" i="63" s="1"/>
  <c r="Y213" i="63"/>
  <c r="AC213" i="63" l="1"/>
  <c r="AH213" i="63" s="1"/>
  <c r="AI213" i="63"/>
  <c r="AB213" i="63" l="1"/>
  <c r="AL213" i="63" s="1"/>
  <c r="AJ213" i="63" s="1"/>
  <c r="AK213" i="63" s="1"/>
  <c r="AG213" i="63" l="1"/>
  <c r="AF213" i="63"/>
  <c r="Y214" i="63"/>
  <c r="AA214" i="63"/>
  <c r="AP214" i="63" s="1"/>
  <c r="AC214" i="63"/>
  <c r="AH214" i="63" s="1"/>
  <c r="AI214" i="63" l="1"/>
  <c r="AB214" i="63"/>
  <c r="AF214" i="63" s="1"/>
  <c r="AL214" i="63" l="1"/>
  <c r="AG214" i="63"/>
  <c r="AA215" i="63"/>
  <c r="AP215" i="63" s="1"/>
  <c r="AJ214" i="63"/>
  <c r="AK214" i="63" s="1"/>
  <c r="Y215" i="63"/>
  <c r="AC215" i="63" l="1"/>
  <c r="AH215" i="63" s="1"/>
  <c r="AI215" i="63"/>
  <c r="AB215" i="63" l="1"/>
  <c r="AG215" i="63" s="1"/>
  <c r="AL215" i="63" l="1"/>
  <c r="AA216" i="63" s="1"/>
  <c r="AP216" i="63" s="1"/>
  <c r="AF215" i="63"/>
  <c r="Y216" i="63" l="1"/>
  <c r="AJ215" i="63"/>
  <c r="AK215" i="63" s="1"/>
  <c r="AC216" i="63"/>
  <c r="AH216"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J217" i="63"/>
  <c r="AK217" i="63" s="1"/>
  <c r="AC218" i="63"/>
  <c r="AH218" i="63" s="1"/>
  <c r="AI218" i="63"/>
  <c r="AB218" i="63" l="1"/>
  <c r="AF218" i="63" s="1"/>
  <c r="AL218" i="63" l="1"/>
  <c r="AJ218" i="63" s="1"/>
  <c r="AK218" i="63" s="1"/>
  <c r="AG218" i="63"/>
  <c r="Y219" i="63" l="1"/>
  <c r="AA219" i="63"/>
  <c r="AP219" i="63" s="1"/>
  <c r="AC219" i="63"/>
  <c r="AH219" i="63" s="1"/>
  <c r="AI219" i="63"/>
  <c r="AB219" i="63" l="1"/>
  <c r="AF219" i="63" s="1"/>
  <c r="AL219" i="63" l="1"/>
  <c r="AJ219" i="63" s="1"/>
  <c r="AK219" i="63" s="1"/>
  <c r="AG219" i="63"/>
  <c r="AA220" i="63"/>
  <c r="AP220" i="63" s="1"/>
  <c r="Y220" i="63"/>
  <c r="AC220" i="63" l="1"/>
  <c r="AH220" i="63" s="1"/>
  <c r="AI220" i="63"/>
  <c r="AB220" i="63" l="1"/>
  <c r="AG220" i="63" s="1"/>
  <c r="AL220" i="63" l="1"/>
  <c r="AJ220" i="63" s="1"/>
  <c r="AK220" i="63" s="1"/>
  <c r="AF220" i="63"/>
  <c r="Y221" i="63" l="1"/>
  <c r="AA221" i="63"/>
  <c r="AP221" i="63" s="1"/>
  <c r="AC221" i="63"/>
  <c r="AH221" i="63" s="1"/>
  <c r="AI221" i="63"/>
  <c r="AB221" i="63" l="1"/>
  <c r="AL221" i="63" s="1"/>
  <c r="AJ221" i="63" s="1"/>
  <c r="AK221" i="63" s="1"/>
  <c r="AF221" i="63"/>
  <c r="AG221" i="63" l="1"/>
  <c r="Y222" i="63"/>
  <c r="AA222" i="63"/>
  <c r="AP222" i="63" s="1"/>
  <c r="AC222" i="63"/>
  <c r="AH222" i="63" s="1"/>
  <c r="AI222" i="63" l="1"/>
  <c r="AB222" i="63"/>
  <c r="AF222" i="63" s="1"/>
  <c r="AL222" i="63" l="1"/>
  <c r="AJ222" i="63" s="1"/>
  <c r="AK222" i="63" s="1"/>
  <c r="AG222" i="63"/>
  <c r="AA223" i="63"/>
  <c r="AP223" i="63" s="1"/>
  <c r="Y223" i="63"/>
  <c r="AC223" i="63" l="1"/>
  <c r="AH223" i="63" s="1"/>
  <c r="AI223" i="63"/>
  <c r="AB223" i="63" l="1"/>
  <c r="AF223" i="63" s="1"/>
  <c r="AL223" i="63"/>
  <c r="AG223" i="63" l="1"/>
  <c r="AJ223" i="63"/>
  <c r="AK223" i="63" s="1"/>
  <c r="AA224" i="63"/>
  <c r="AP224" i="63" s="1"/>
  <c r="Y224" i="63"/>
  <c r="AC224" i="63" l="1"/>
  <c r="AH224" i="63" s="1"/>
  <c r="AI224" i="63"/>
  <c r="AB224" i="63" l="1"/>
  <c r="AL224" i="63" s="1"/>
  <c r="AJ224" i="63" s="1"/>
  <c r="AK224" i="63" s="1"/>
  <c r="AG224" i="63" l="1"/>
  <c r="AF224" i="63"/>
  <c r="Y225" i="63"/>
  <c r="AA225" i="63"/>
  <c r="AP225" i="63" s="1"/>
  <c r="AC225" i="63"/>
  <c r="AH225" i="63" s="1"/>
  <c r="AI225" i="63"/>
  <c r="AB225" i="63" l="1"/>
  <c r="AL225" i="63" s="1"/>
  <c r="AA226" i="63" s="1"/>
  <c r="AP226" i="63" s="1"/>
  <c r="AG225" i="63" l="1"/>
  <c r="AF225" i="63"/>
  <c r="Y226" i="63"/>
  <c r="AJ225" i="63"/>
  <c r="AK225" i="63" s="1"/>
  <c r="AC226" i="63"/>
  <c r="AH226" i="63" s="1"/>
  <c r="AI226" i="63"/>
  <c r="AB226" i="63" l="1"/>
  <c r="AG226" i="63" s="1"/>
  <c r="AL226" i="63" l="1"/>
  <c r="AF226" i="63"/>
  <c r="AJ226" i="63"/>
  <c r="AK226" i="63" s="1"/>
  <c r="AA227" i="63"/>
  <c r="AP227" i="63" s="1"/>
  <c r="Y227" i="63"/>
  <c r="AC227" i="63" l="1"/>
  <c r="AH227" i="63" s="1"/>
  <c r="AI227" i="63"/>
  <c r="AB227" i="63" l="1"/>
  <c r="AL227" i="63" s="1"/>
  <c r="AA228" i="63"/>
  <c r="AP228" i="63" s="1"/>
  <c r="AJ227" i="63"/>
  <c r="AK227" i="63" s="1"/>
  <c r="Y228" i="63"/>
  <c r="AF227" i="63"/>
  <c r="AG227" i="63"/>
  <c r="AC228" i="63" l="1"/>
  <c r="AH228" i="63" s="1"/>
  <c r="AI228" i="63"/>
  <c r="AB228" i="63" l="1"/>
  <c r="AL228" i="63" s="1"/>
  <c r="AJ228" i="63" s="1"/>
  <c r="AK228" i="63" s="1"/>
  <c r="AF228" i="63"/>
  <c r="AG228" i="63"/>
  <c r="Y229" i="63" l="1"/>
  <c r="AC229" i="63" s="1"/>
  <c r="AH229" i="63" s="1"/>
  <c r="AA229" i="63"/>
  <c r="AP229" i="63" s="1"/>
  <c r="AI229" i="63" l="1"/>
  <c r="AB229" i="63"/>
  <c r="AG229" i="63" s="1"/>
  <c r="AF229" i="63"/>
  <c r="AL229" i="63"/>
  <c r="AA230" i="63" l="1"/>
  <c r="AP230" i="63" s="1"/>
  <c r="AJ229" i="63"/>
  <c r="AK229" i="63" s="1"/>
  <c r="Y230" i="63"/>
  <c r="AC230" i="63" l="1"/>
  <c r="AH230" i="63" s="1"/>
  <c r="AI230" i="63"/>
  <c r="AB230" i="63" l="1"/>
  <c r="AF230" i="63" s="1"/>
  <c r="AL230" i="63" l="1"/>
  <c r="AG230" i="63"/>
  <c r="AA231" i="63"/>
  <c r="AP231" i="63" s="1"/>
  <c r="AJ230" i="63"/>
  <c r="AK230" i="63" s="1"/>
  <c r="Y231" i="63"/>
  <c r="AC231" i="63" l="1"/>
  <c r="AH231" i="63" s="1"/>
  <c r="AI231" i="63"/>
  <c r="AB231" i="63" l="1"/>
  <c r="AF231" i="63"/>
  <c r="AG231" i="63"/>
  <c r="AL231" i="63"/>
  <c r="AA232" i="63" l="1"/>
  <c r="AP232" i="63" s="1"/>
  <c r="AJ231" i="63"/>
  <c r="AK231" i="63" s="1"/>
  <c r="Y232" i="63"/>
  <c r="AC232" i="63" l="1"/>
  <c r="AH232" i="63" s="1"/>
  <c r="AI232" i="63"/>
  <c r="AB232" i="63" l="1"/>
  <c r="AF232" i="63" s="1"/>
  <c r="AG232" i="63" l="1"/>
  <c r="AL232" i="63"/>
  <c r="AJ232" i="63" s="1"/>
  <c r="AK232" i="63" s="1"/>
  <c r="AA233" i="63"/>
  <c r="AP233" i="63" s="1"/>
  <c r="Y233" i="63"/>
  <c r="AC233" i="63" l="1"/>
  <c r="AH233" i="63" s="1"/>
  <c r="AI233" i="63"/>
  <c r="AB233" i="63" l="1"/>
  <c r="AL233" i="63" s="1"/>
  <c r="AJ233" i="63" s="1"/>
  <c r="AK233" i="63" s="1"/>
  <c r="AF233" i="63"/>
  <c r="AG233" i="63" l="1"/>
  <c r="Y234" i="63"/>
  <c r="AA234" i="63"/>
  <c r="AP234" i="63" s="1"/>
  <c r="AC234" i="63"/>
  <c r="AH234" i="63" s="1"/>
  <c r="AI234" i="63"/>
  <c r="AB234" i="63" l="1"/>
  <c r="AF234" i="63" s="1"/>
  <c r="AL234" i="63" l="1"/>
  <c r="AG234" i="63"/>
  <c r="AA235" i="63"/>
  <c r="AP235" i="63" s="1"/>
  <c r="AJ234" i="63"/>
  <c r="AK234" i="63" s="1"/>
  <c r="Y235" i="63"/>
  <c r="AC235" i="63" l="1"/>
  <c r="AH235" i="63" s="1"/>
  <c r="AI235" i="63"/>
  <c r="AB235" i="63" l="1"/>
  <c r="AG235" i="63" s="1"/>
  <c r="AF235" i="63"/>
  <c r="AL235" i="63"/>
  <c r="AJ235" i="63" l="1"/>
  <c r="AK235" i="63" s="1"/>
  <c r="AA236" i="63"/>
  <c r="AP236" i="63" s="1"/>
  <c r="Y236" i="63"/>
  <c r="AC236" i="63" l="1"/>
  <c r="AH236" i="63" s="1"/>
  <c r="AI236" i="63"/>
  <c r="AB236" i="63" l="1"/>
  <c r="AL236" i="63" s="1"/>
  <c r="AJ236" i="63" s="1"/>
  <c r="AK236" i="63" s="1"/>
  <c r="AG236" i="63"/>
  <c r="AF236" i="63"/>
  <c r="Y237" i="63" l="1"/>
  <c r="AA237" i="63"/>
  <c r="AP237" i="63" s="1"/>
  <c r="AC237" i="63"/>
  <c r="AH237" i="63" s="1"/>
  <c r="AI237" i="63" l="1"/>
  <c r="AB237" i="63"/>
  <c r="AL237" i="63" s="1"/>
  <c r="AJ237" i="63" s="1"/>
  <c r="AA238" i="63"/>
  <c r="AP238" i="63" s="1"/>
  <c r="Y238" i="63"/>
  <c r="AF237" i="63"/>
  <c r="AG237" i="63"/>
  <c r="AK237" i="63" l="1"/>
  <c r="AC238" i="63"/>
  <c r="AH238" i="63" s="1"/>
  <c r="AI238" i="63"/>
  <c r="AB238" i="63" l="1"/>
  <c r="AF238" i="63"/>
  <c r="AG238" i="63"/>
  <c r="AL238" i="63"/>
  <c r="AJ238" i="63" l="1"/>
  <c r="AK238" i="63" s="1"/>
  <c r="AA239" i="63"/>
  <c r="AP239" i="63" s="1"/>
  <c r="Y239" i="63"/>
  <c r="AC239" i="63" l="1"/>
  <c r="AH239" i="63" s="1"/>
  <c r="AI239" i="63"/>
  <c r="AB239" i="63" l="1"/>
  <c r="AG239" i="63" s="1"/>
  <c r="AF239" i="63"/>
  <c r="AL239" i="63"/>
  <c r="AJ239" i="63" l="1"/>
  <c r="AK239" i="63" s="1"/>
  <c r="AA240" i="63"/>
  <c r="AP240" i="63" s="1"/>
  <c r="Y240" i="63"/>
  <c r="AC240" i="63" l="1"/>
  <c r="AH240" i="63" s="1"/>
  <c r="AI240" i="63"/>
  <c r="AB240" i="63" l="1"/>
  <c r="AF240" i="63"/>
  <c r="AG240" i="63"/>
  <c r="AL240" i="63"/>
  <c r="AJ240" i="63" l="1"/>
  <c r="AK240" i="63" s="1"/>
  <c r="AA241" i="63"/>
  <c r="AP241" i="63" s="1"/>
  <c r="Y241" i="63"/>
  <c r="AC241" i="63" l="1"/>
  <c r="AH241" i="63" s="1"/>
  <c r="AI241" i="63"/>
  <c r="AB241" i="63" l="1"/>
  <c r="AL241" i="63" s="1"/>
  <c r="AJ241" i="63" s="1"/>
  <c r="AK241" i="63" s="1"/>
  <c r="AF241" i="63" l="1"/>
  <c r="Y242" i="63"/>
  <c r="AA242" i="63"/>
  <c r="AP242" i="63" s="1"/>
  <c r="AG241" i="63"/>
  <c r="AC242" i="63"/>
  <c r="AH242" i="63" s="1"/>
  <c r="AI242" i="63"/>
  <c r="AB242" i="63" l="1"/>
  <c r="AF242" i="63" s="1"/>
  <c r="AG242" i="63"/>
  <c r="AL242" i="63"/>
  <c r="AJ242" i="63" l="1"/>
  <c r="AK242" i="63" s="1"/>
  <c r="AA243" i="63"/>
  <c r="AP243" i="63" s="1"/>
  <c r="Y243" i="63"/>
  <c r="AC243" i="63" l="1"/>
  <c r="AH243" i="63" s="1"/>
  <c r="AI243" i="63"/>
  <c r="AB243" i="63" l="1"/>
  <c r="AG243" i="63" s="1"/>
  <c r="AL243" i="63" l="1"/>
  <c r="AF243" i="63"/>
  <c r="AJ243" i="63"/>
  <c r="AK243" i="63" s="1"/>
  <c r="AA244" i="63"/>
  <c r="AP244" i="63" s="1"/>
  <c r="Y244" i="63"/>
  <c r="AC244" i="63" l="1"/>
  <c r="AH244" i="63" s="1"/>
  <c r="AI244" i="63"/>
  <c r="AB244" i="63" l="1"/>
  <c r="AF244" i="63" s="1"/>
  <c r="AL244" i="63"/>
  <c r="AG244" i="63" l="1"/>
  <c r="AA245" i="63"/>
  <c r="AP245" i="63" s="1"/>
  <c r="AJ244" i="63"/>
  <c r="AK244" i="63" s="1"/>
  <c r="Y245" i="63"/>
  <c r="AC245" i="63" l="1"/>
  <c r="AH245" i="63" s="1"/>
  <c r="AI245" i="63"/>
  <c r="AB245" i="63" l="1"/>
  <c r="AL245" i="63" s="1"/>
  <c r="AA246" i="63" s="1"/>
  <c r="AP246" i="63" s="1"/>
  <c r="AF245" i="63" l="1"/>
  <c r="AG245" i="63"/>
  <c r="Y246" i="63"/>
  <c r="AJ245" i="63"/>
  <c r="AK245" i="63" s="1"/>
  <c r="AC246" i="63"/>
  <c r="AH246" i="63" s="1"/>
  <c r="AI246" i="63"/>
  <c r="AB246" i="63" l="1"/>
  <c r="AL246" i="63" s="1"/>
  <c r="AA247" i="63" s="1"/>
  <c r="AP247" i="63" s="1"/>
  <c r="AG246" i="63"/>
  <c r="AF246" i="63"/>
  <c r="Y247" i="63" l="1"/>
  <c r="AC247" i="63" s="1"/>
  <c r="AH247" i="63" s="1"/>
  <c r="AJ246" i="63"/>
  <c r="AK246" i="63" s="1"/>
  <c r="AI247" i="63"/>
  <c r="AB247" i="63" l="1"/>
  <c r="AG247" i="63" s="1"/>
  <c r="AL247" i="63" l="1"/>
  <c r="AA248" i="63" s="1"/>
  <c r="AP248" i="63" s="1"/>
  <c r="AF247" i="63"/>
  <c r="AJ247" i="63"/>
  <c r="AK247" i="63" s="1"/>
  <c r="Y248" i="63"/>
  <c r="AC248" i="63" l="1"/>
  <c r="AH248" i="63" s="1"/>
  <c r="AI248" i="63"/>
  <c r="AB248" i="63" l="1"/>
  <c r="AL248" i="63" s="1"/>
  <c r="AF248" i="63"/>
  <c r="AG248" i="63"/>
  <c r="AJ248" i="63" l="1"/>
  <c r="AK248" i="63" s="1"/>
  <c r="AA249" i="63"/>
  <c r="AP249" i="63" s="1"/>
  <c r="Y249" i="63"/>
  <c r="AC249" i="63" l="1"/>
  <c r="AH249" i="63" s="1"/>
  <c r="AI249" i="63"/>
  <c r="AB249" i="63" l="1"/>
  <c r="AL249" i="63" s="1"/>
  <c r="AJ249" i="63"/>
  <c r="AK249" i="63" s="1"/>
  <c r="AA250" i="63"/>
  <c r="AP250" i="63" s="1"/>
  <c r="Y250" i="63"/>
  <c r="AF249" i="63"/>
  <c r="AG249" i="63"/>
  <c r="AC250" i="63" l="1"/>
  <c r="AH250" i="63" s="1"/>
  <c r="AI250" i="63"/>
  <c r="AB250" i="63" l="1"/>
  <c r="AG250" i="63"/>
  <c r="AF250" i="63"/>
  <c r="AL250" i="63"/>
  <c r="AA251" i="63" l="1"/>
  <c r="AP251" i="63" s="1"/>
  <c r="AJ250" i="63"/>
  <c r="AK250" i="63" s="1"/>
  <c r="Y251" i="63"/>
  <c r="AC251" i="63" l="1"/>
  <c r="AH251" i="63" s="1"/>
  <c r="AI251" i="63"/>
  <c r="AB251" i="63" l="1"/>
  <c r="AG251" i="63" s="1"/>
  <c r="AL251" i="63" l="1"/>
  <c r="AF251" i="63"/>
  <c r="AA252" i="63"/>
  <c r="AP252" i="63" s="1"/>
  <c r="AJ251" i="63"/>
  <c r="AK251" i="63" s="1"/>
  <c r="Y252" i="63"/>
  <c r="AC252" i="63" l="1"/>
  <c r="AH252" i="63" s="1"/>
  <c r="AI252" i="63"/>
  <c r="AB252" i="63" l="1"/>
  <c r="AF252" i="63" s="1"/>
  <c r="AG252" i="63"/>
  <c r="AL252" i="63"/>
  <c r="AJ252" i="63" l="1"/>
  <c r="AK252" i="63" s="1"/>
  <c r="AA253" i="63"/>
  <c r="AP253" i="63" s="1"/>
  <c r="Y253" i="63"/>
  <c r="AC253" i="63" l="1"/>
  <c r="AH253" i="63" s="1"/>
  <c r="AI253" i="63"/>
  <c r="AB253" i="63" l="1"/>
  <c r="AL253" i="63" s="1"/>
  <c r="AJ253" i="63" s="1"/>
  <c r="AK253" i="63" s="1"/>
  <c r="AA254" i="63"/>
  <c r="AP254" i="63" s="1"/>
  <c r="Y254" i="63"/>
  <c r="AF253" i="63"/>
  <c r="AG253" i="63"/>
  <c r="AC254" i="63" l="1"/>
  <c r="AH254" i="63" s="1"/>
  <c r="AI254" i="63"/>
  <c r="AB254" i="63" l="1"/>
  <c r="AG254" i="63"/>
  <c r="AF254" i="63"/>
  <c r="AL254" i="63"/>
  <c r="AJ254" i="63" l="1"/>
  <c r="AK254" i="63" s="1"/>
  <c r="AA255" i="63"/>
  <c r="AP255" i="63" s="1"/>
  <c r="Y255" i="63"/>
  <c r="AC255" i="63" l="1"/>
  <c r="AH255" i="63" s="1"/>
  <c r="AI255" i="63"/>
  <c r="AB255" i="63" l="1"/>
  <c r="AF255" i="63"/>
  <c r="AG255" i="63"/>
  <c r="AL255" i="63"/>
  <c r="AA256" i="63" l="1"/>
  <c r="AP256" i="63" s="1"/>
  <c r="AJ255" i="63"/>
  <c r="AK255" i="63" s="1"/>
  <c r="Y256" i="63"/>
  <c r="AC256" i="63" l="1"/>
  <c r="AH256" i="63" s="1"/>
  <c r="AI256" i="63"/>
  <c r="AB256" i="63" l="1"/>
  <c r="AG256" i="63" s="1"/>
  <c r="AL256" i="63" l="1"/>
  <c r="AF256" i="63"/>
  <c r="AA257" i="63"/>
  <c r="AP257" i="63" s="1"/>
  <c r="AJ256" i="63"/>
  <c r="AK256" i="63" s="1"/>
  <c r="Y257" i="63"/>
  <c r="AC257" i="63" l="1"/>
  <c r="AH257" i="63" s="1"/>
  <c r="AI257" i="63"/>
  <c r="AB257" i="63" l="1"/>
  <c r="AL257" i="63" s="1"/>
  <c r="Y258" i="63" s="1"/>
  <c r="AJ257" i="63"/>
  <c r="AK257" i="63" s="1"/>
  <c r="AA258" i="63" l="1"/>
  <c r="AP258" i="63" s="1"/>
  <c r="AF257" i="63"/>
  <c r="AG257" i="63"/>
  <c r="AC258" i="63"/>
  <c r="AH258" i="63" s="1"/>
  <c r="AI258" i="63"/>
  <c r="AB258" i="63" l="1"/>
  <c r="AL258" i="63" s="1"/>
  <c r="AJ258" i="63" s="1"/>
  <c r="AK258" i="63" s="1"/>
  <c r="AA259" i="63"/>
  <c r="AP259" i="63" s="1"/>
  <c r="Y259" i="63"/>
  <c r="AG258" i="63"/>
  <c r="AF258" i="63"/>
  <c r="AC259" i="63" l="1"/>
  <c r="AH259" i="63" s="1"/>
  <c r="AI259" i="63"/>
  <c r="AB259" i="63" l="1"/>
  <c r="AG259" i="63"/>
  <c r="AF259" i="63"/>
  <c r="AL259" i="63"/>
  <c r="AA260" i="63" l="1"/>
  <c r="AP260" i="63" s="1"/>
  <c r="AJ259" i="63"/>
  <c r="AK259" i="63" s="1"/>
  <c r="Y260" i="63"/>
  <c r="AC260" i="63" l="1"/>
  <c r="AH260" i="63" s="1"/>
  <c r="AI260" i="63"/>
  <c r="AB260" i="63" l="1"/>
  <c r="AL260" i="63" s="1"/>
  <c r="AJ260" i="63"/>
  <c r="AK260" i="63" s="1"/>
  <c r="AA261" i="63"/>
  <c r="AP261" i="63" s="1"/>
  <c r="Y261" i="63"/>
  <c r="AF260" i="63"/>
  <c r="AG260" i="63"/>
  <c r="AC261" i="63" l="1"/>
  <c r="AH261" i="63" s="1"/>
  <c r="AI261" i="63"/>
  <c r="AB261" i="63" l="1"/>
  <c r="AL261" i="63" s="1"/>
  <c r="AA262" i="63" s="1"/>
  <c r="AP262" i="63" s="1"/>
  <c r="AG261" i="63" l="1"/>
  <c r="AF261" i="63"/>
  <c r="Y262" i="63"/>
  <c r="AJ261" i="63"/>
  <c r="AK261" i="63" s="1"/>
  <c r="AC262" i="63"/>
  <c r="AH262" i="63" s="1"/>
  <c r="AI262" i="63"/>
  <c r="AB262" i="63" l="1"/>
  <c r="AG262" i="63" s="1"/>
  <c r="AF262" i="63"/>
  <c r="AL262" i="63"/>
  <c r="AJ262" i="63" l="1"/>
  <c r="AK262" i="63" s="1"/>
  <c r="AA263" i="63"/>
  <c r="AP263" i="63" s="1"/>
  <c r="Y263" i="63"/>
  <c r="AC263" i="63" l="1"/>
  <c r="AH263" i="63" s="1"/>
  <c r="AI263" i="63"/>
  <c r="AB263" i="63" l="1"/>
  <c r="AF263" i="63" s="1"/>
  <c r="AL263" i="63" l="1"/>
  <c r="AA264" i="63" s="1"/>
  <c r="AP264" i="63" s="1"/>
  <c r="AG263" i="63"/>
  <c r="AJ263" i="63"/>
  <c r="AK263" i="63" s="1"/>
  <c r="Y264" i="63"/>
  <c r="AC264" i="63" l="1"/>
  <c r="AH264" i="63" s="1"/>
  <c r="AI264" i="63"/>
  <c r="AB264" i="63" l="1"/>
  <c r="AL264" i="63" s="1"/>
  <c r="AJ264" i="63" s="1"/>
  <c r="AK264" i="63" s="1"/>
  <c r="AF264" i="63" l="1"/>
  <c r="AG264" i="63"/>
  <c r="Y265" i="63"/>
  <c r="AA265" i="63"/>
  <c r="AP265" i="63" s="1"/>
  <c r="AC265" i="63"/>
  <c r="AH265" i="63" s="1"/>
  <c r="AI265" i="63" l="1"/>
  <c r="AB265" i="63"/>
  <c r="AF265" i="63" s="1"/>
  <c r="AL265" i="63" l="1"/>
  <c r="AJ265" i="63" s="1"/>
  <c r="AK265" i="63" s="1"/>
  <c r="AG265" i="63"/>
  <c r="Y266" i="63" l="1"/>
  <c r="AA266" i="63"/>
  <c r="AP266" i="63" s="1"/>
  <c r="AC266" i="63"/>
  <c r="AH266" i="63" s="1"/>
  <c r="AI266" i="63" l="1"/>
  <c r="AB266" i="63"/>
  <c r="AG266" i="63" s="1"/>
  <c r="AF266" i="63"/>
  <c r="AL266" i="63"/>
  <c r="AJ266" i="63" l="1"/>
  <c r="AK266" i="63" s="1"/>
  <c r="AA267" i="63"/>
  <c r="AP267" i="63" s="1"/>
  <c r="Y267" i="63"/>
  <c r="AC267" i="63" l="1"/>
  <c r="AH267" i="63" s="1"/>
  <c r="AI267" i="63"/>
  <c r="AB267" i="63" l="1"/>
  <c r="AL267" i="63" s="1"/>
  <c r="AJ267" i="63" s="1"/>
  <c r="AK267" i="63" s="1"/>
  <c r="AG267" i="63" l="1"/>
  <c r="AF267" i="63"/>
  <c r="Y268" i="63"/>
  <c r="AA268" i="63"/>
  <c r="AP268" i="63" s="1"/>
  <c r="AC268" i="63"/>
  <c r="AH268" i="63" s="1"/>
  <c r="AI268" i="63"/>
  <c r="AB268" i="63" l="1"/>
  <c r="AG268" i="63" s="1"/>
  <c r="AF268" i="63"/>
  <c r="AL268" i="63"/>
  <c r="AJ268" i="63" l="1"/>
  <c r="AK268" i="63" s="1"/>
  <c r="AA269" i="63"/>
  <c r="AP269" i="63" s="1"/>
  <c r="Y269" i="63"/>
  <c r="AC269" i="63" l="1"/>
  <c r="AH269" i="63" s="1"/>
  <c r="AI269" i="63"/>
  <c r="AB269" i="63" l="1"/>
  <c r="AL269" i="63" s="1"/>
  <c r="AJ269" i="63" s="1"/>
  <c r="AK269" i="63" s="1"/>
  <c r="AG269" i="63" l="1"/>
  <c r="AF269" i="63"/>
  <c r="Y270" i="63"/>
  <c r="AA270" i="63"/>
  <c r="AP270" i="63" s="1"/>
  <c r="AC270" i="63"/>
  <c r="AH270" i="63" s="1"/>
  <c r="AI270" i="63"/>
  <c r="AB270" i="63" l="1"/>
  <c r="AL270" i="63" s="1"/>
  <c r="AA271" i="63" s="1"/>
  <c r="AP271" i="63" s="1"/>
  <c r="AF270" i="63" l="1"/>
  <c r="AG270" i="63"/>
  <c r="Y271" i="63"/>
  <c r="AJ270" i="63"/>
  <c r="AK270" i="63" s="1"/>
  <c r="AC271" i="63"/>
  <c r="AH271" i="63" s="1"/>
  <c r="AI271" i="63"/>
  <c r="AB271" i="63" l="1"/>
  <c r="AL271" i="63" s="1"/>
  <c r="AJ271" i="63" s="1"/>
  <c r="AK271" i="63" s="1"/>
  <c r="AG271" i="63" l="1"/>
  <c r="AF271" i="63"/>
  <c r="Y272" i="63"/>
  <c r="AA272" i="63"/>
  <c r="AP272" i="63" s="1"/>
  <c r="AC272" i="63"/>
  <c r="AH272" i="63" s="1"/>
  <c r="AI272" i="63" l="1"/>
  <c r="AB272" i="63"/>
  <c r="AL272" i="63" s="1"/>
  <c r="AJ272" i="63" s="1"/>
  <c r="AK272" i="63" l="1"/>
  <c r="AF272" i="63"/>
  <c r="AG272" i="63"/>
  <c r="Y273" i="63"/>
  <c r="AA273" i="63"/>
  <c r="AP273" i="63" s="1"/>
  <c r="AC273" i="63"/>
  <c r="AH273" i="63" s="1"/>
  <c r="AI273" i="63" l="1"/>
  <c r="AB273" i="63"/>
  <c r="AL273" i="63" s="1"/>
  <c r="AJ273" i="63" s="1"/>
  <c r="AK273" i="63" s="1"/>
  <c r="AA274" i="63"/>
  <c r="AP274" i="63" s="1"/>
  <c r="Y274" i="63"/>
  <c r="AG273" i="63"/>
  <c r="AF273" i="63"/>
  <c r="AC274" i="63" l="1"/>
  <c r="AH274" i="63" s="1"/>
  <c r="AI274" i="63"/>
  <c r="AB274" i="63" l="1"/>
  <c r="AF274" i="63" s="1"/>
  <c r="AL274" i="63" l="1"/>
  <c r="AG274" i="63"/>
  <c r="AJ274" i="63"/>
  <c r="AK274" i="63" s="1"/>
  <c r="AA275" i="63"/>
  <c r="AP275" i="63" s="1"/>
  <c r="Y275" i="63"/>
  <c r="AC275" i="63" l="1"/>
  <c r="AH275" i="63" s="1"/>
  <c r="AI275" i="63"/>
  <c r="AB275" i="63" l="1"/>
  <c r="AL275" i="63" s="1"/>
  <c r="AJ275" i="63" s="1"/>
  <c r="AK275" i="63" s="1"/>
  <c r="AG275" i="63" l="1"/>
  <c r="AF275" i="63"/>
  <c r="Y276" i="63"/>
  <c r="AA276" i="63"/>
  <c r="AP276" i="63" s="1"/>
  <c r="AC276" i="63"/>
  <c r="AH276" i="63" s="1"/>
  <c r="AI276" i="63"/>
  <c r="AB276" i="63" l="1"/>
  <c r="AL276" i="63" s="1"/>
  <c r="AJ276" i="63" s="1"/>
  <c r="AK276" i="63" s="1"/>
  <c r="AF276" i="63" l="1"/>
  <c r="AG276" i="63"/>
  <c r="Y277" i="63"/>
  <c r="AA277" i="63"/>
  <c r="AP277" i="63" s="1"/>
  <c r="AC277" i="63"/>
  <c r="AH277" i="63" s="1"/>
  <c r="AI277" i="63" l="1"/>
  <c r="AB277" i="63"/>
  <c r="AL277" i="63" s="1"/>
  <c r="AA278" i="63" s="1"/>
  <c r="AP278" i="63" s="1"/>
  <c r="AG277" i="63" l="1"/>
  <c r="AF277" i="63"/>
  <c r="Y278" i="63"/>
  <c r="AJ277" i="63"/>
  <c r="AK277" i="63" s="1"/>
  <c r="AC278" i="63"/>
  <c r="AH278" i="63" s="1"/>
  <c r="AI278" i="63"/>
  <c r="AB278" i="63" l="1"/>
  <c r="AF278" i="63" s="1"/>
  <c r="AL278" i="63" l="1"/>
  <c r="AG278" i="63"/>
  <c r="AA279" i="63"/>
  <c r="AP279" i="63" s="1"/>
  <c r="AJ278" i="63"/>
  <c r="AK278" i="63" s="1"/>
  <c r="Y279" i="63"/>
  <c r="AC279" i="63" l="1"/>
  <c r="AH279" i="63" s="1"/>
  <c r="AI279" i="63"/>
  <c r="AB279" i="63" l="1"/>
  <c r="AG279" i="63" s="1"/>
  <c r="AL279" i="63" l="1"/>
  <c r="AJ279" i="63" s="1"/>
  <c r="AK279" i="63" s="1"/>
  <c r="AF279" i="63"/>
  <c r="Y280" i="63" l="1"/>
  <c r="AC280" i="63" s="1"/>
  <c r="AH280" i="63" s="1"/>
  <c r="AA280" i="63"/>
  <c r="AP280" i="63" s="1"/>
  <c r="AI280" i="63" l="1"/>
  <c r="AB280" i="63"/>
  <c r="AL280" i="63" s="1"/>
  <c r="AJ280" i="63" s="1"/>
  <c r="AK280" i="63" s="1"/>
  <c r="AF280" i="63" l="1"/>
  <c r="AG280" i="63"/>
  <c r="Y281" i="63"/>
  <c r="AA281" i="63"/>
  <c r="AP281" i="63" s="1"/>
  <c r="AC281" i="63"/>
  <c r="AH281" i="63" s="1"/>
  <c r="AB281" i="63" l="1"/>
  <c r="AL281" i="63" s="1"/>
  <c r="AJ281" i="63" s="1"/>
  <c r="AI281" i="63"/>
  <c r="AF281" i="63" l="1"/>
  <c r="AK281" i="63"/>
  <c r="AG281" i="63"/>
  <c r="Y282" i="63"/>
  <c r="AA282" i="63"/>
  <c r="AP282" i="63" s="1"/>
  <c r="AC282" i="63"/>
  <c r="AH282" i="63" s="1"/>
  <c r="AI282" i="63" l="1"/>
  <c r="AB282" i="63"/>
  <c r="AG282" i="63" s="1"/>
  <c r="AL282" i="63" l="1"/>
  <c r="AA283" i="63" s="1"/>
  <c r="AP283" i="63" s="1"/>
  <c r="AF282" i="63"/>
  <c r="AJ282" i="63" l="1"/>
  <c r="AK282" i="63" s="1"/>
  <c r="Y283" i="63"/>
  <c r="AC283" i="63" s="1"/>
  <c r="AH283" i="63" s="1"/>
  <c r="AI283" i="63"/>
  <c r="AB283" i="63" l="1"/>
  <c r="AL283" i="63" s="1"/>
  <c r="AA284" i="63" s="1"/>
  <c r="AP284" i="63" s="1"/>
  <c r="AF283" i="63"/>
  <c r="AG283" i="63" l="1"/>
  <c r="Y284" i="63"/>
  <c r="AC284" i="63" s="1"/>
  <c r="AH284" i="63" s="1"/>
  <c r="AJ283" i="63"/>
  <c r="AK283" i="63" s="1"/>
  <c r="AI284" i="63"/>
  <c r="AB284" i="63" l="1"/>
  <c r="AG284" i="63" s="1"/>
  <c r="AL284" i="63" l="1"/>
  <c r="AJ284" i="63" s="1"/>
  <c r="AK284" i="63" s="1"/>
  <c r="AF284" i="63"/>
  <c r="Y285" i="63" l="1"/>
  <c r="AC285" i="63" s="1"/>
  <c r="AH285" i="63" s="1"/>
  <c r="AA285" i="63"/>
  <c r="AP285" i="63" s="1"/>
  <c r="AI285" i="63" l="1"/>
  <c r="AB285" i="63"/>
  <c r="AL285" i="63" s="1"/>
  <c r="AJ285" i="63" s="1"/>
  <c r="AK285" i="63" s="1"/>
  <c r="AF285" i="63" l="1"/>
  <c r="AG285" i="63"/>
  <c r="Y286" i="63"/>
  <c r="AA286" i="63"/>
  <c r="AP286" i="63" s="1"/>
  <c r="AC286" i="63"/>
  <c r="AH286" i="63" s="1"/>
  <c r="AI286" i="63"/>
  <c r="AB286" i="63" l="1"/>
  <c r="AF286" i="63" s="1"/>
  <c r="AL286" i="63" l="1"/>
  <c r="AJ286" i="63" s="1"/>
  <c r="AK286" i="63" s="1"/>
  <c r="AG286" i="63"/>
  <c r="Y287" i="63" l="1"/>
  <c r="AA287" i="63"/>
  <c r="AP287" i="63" s="1"/>
  <c r="AC287" i="63"/>
  <c r="AH287" i="63" s="1"/>
  <c r="AI287" i="63"/>
  <c r="AB287" i="63" l="1"/>
  <c r="AG287" i="63" s="1"/>
  <c r="AL287" i="63" l="1"/>
  <c r="AA288" i="63" s="1"/>
  <c r="AP288" i="63" s="1"/>
  <c r="AF287" i="63"/>
  <c r="Y288" i="63" l="1"/>
  <c r="AC288" i="63" s="1"/>
  <c r="AH288" i="63" s="1"/>
  <c r="AJ287" i="63"/>
  <c r="AK287" i="63" s="1"/>
  <c r="AI288" i="63"/>
  <c r="AB288" i="63" l="1"/>
  <c r="AG288" i="63" s="1"/>
  <c r="AL288" i="63" l="1"/>
  <c r="AJ288" i="63" s="1"/>
  <c r="AK288" i="63" s="1"/>
  <c r="AF288" i="63"/>
  <c r="Y289" i="63"/>
  <c r="AA289" i="63" l="1"/>
  <c r="AP289" i="63" s="1"/>
  <c r="AC289" i="63"/>
  <c r="AH289" i="63" s="1"/>
  <c r="AI289" i="63"/>
  <c r="AB289" i="63" l="1"/>
  <c r="AG289" i="63" s="1"/>
  <c r="AL289" i="63" l="1"/>
  <c r="AF289" i="63"/>
  <c r="AA290" i="63"/>
  <c r="AP290" i="63" s="1"/>
  <c r="AJ289" i="63"/>
  <c r="AK289" i="63" s="1"/>
  <c r="Y290" i="63"/>
  <c r="AC290" i="63" l="1"/>
  <c r="AH290" i="63" s="1"/>
  <c r="AI290" i="63"/>
  <c r="AB290" i="63" l="1"/>
  <c r="AG290" i="63"/>
  <c r="AF290" i="63"/>
  <c r="AL290" i="63"/>
  <c r="AJ290" i="63" l="1"/>
  <c r="AK290" i="63" s="1"/>
  <c r="AA291" i="63"/>
  <c r="AP291" i="63" s="1"/>
  <c r="Y291" i="63"/>
  <c r="AC291" i="63" l="1"/>
  <c r="AH291" i="63" s="1"/>
  <c r="AI291" i="63"/>
  <c r="AB291" i="63" l="1"/>
  <c r="AF291" i="63"/>
  <c r="AG291" i="63"/>
  <c r="AL291" i="63"/>
  <c r="AA292" i="63" l="1"/>
  <c r="AP292" i="63" s="1"/>
  <c r="AJ291" i="63"/>
  <c r="AK291" i="63" s="1"/>
  <c r="Y292" i="63"/>
  <c r="AC292" i="63" l="1"/>
  <c r="AH292" i="63" s="1"/>
  <c r="AI292" i="63"/>
  <c r="AB292" i="63" l="1"/>
  <c r="AL292" i="63" s="1"/>
  <c r="AJ292" i="63" s="1"/>
  <c r="AK292" i="63" s="1"/>
  <c r="AG292" i="63" l="1"/>
  <c r="AF292" i="63"/>
  <c r="Y293" i="63"/>
  <c r="AA293" i="63"/>
  <c r="AP293" i="63" s="1"/>
  <c r="AC293" i="63"/>
  <c r="AH293" i="63" s="1"/>
  <c r="AI293" i="63" l="1"/>
  <c r="AB293" i="63"/>
  <c r="AL293" i="63" s="1"/>
  <c r="AA294" i="63"/>
  <c r="AP294" i="63" s="1"/>
  <c r="AJ293" i="63"/>
  <c r="AK293" i="63" s="1"/>
  <c r="Y294" i="63"/>
  <c r="AF293" i="63"/>
  <c r="AG293" i="63"/>
  <c r="AC294" i="63" l="1"/>
  <c r="AH294" i="63" s="1"/>
  <c r="AI294" i="63"/>
  <c r="AB294" i="63" l="1"/>
  <c r="AG294" i="63" s="1"/>
  <c r="AL294" i="63" l="1"/>
  <c r="AJ294" i="63" s="1"/>
  <c r="AK294" i="63" s="1"/>
  <c r="AF294" i="63"/>
  <c r="Y295" i="63" l="1"/>
  <c r="AC295" i="63" s="1"/>
  <c r="AH295" i="63" s="1"/>
  <c r="AA295" i="63"/>
  <c r="AP295" i="63" s="1"/>
  <c r="AI295" i="63" l="1"/>
  <c r="AB295" i="63"/>
  <c r="AF295" i="63" s="1"/>
  <c r="AL295" i="63" l="1"/>
  <c r="AJ295" i="63" s="1"/>
  <c r="AK295" i="63" s="1"/>
  <c r="AG295" i="63"/>
  <c r="AA296" i="63"/>
  <c r="AP296" i="63" s="1"/>
  <c r="Y296" i="63"/>
  <c r="AC296" i="63" l="1"/>
  <c r="AH296" i="63" s="1"/>
  <c r="AI296" i="63"/>
  <c r="AB296" i="63" l="1"/>
  <c r="AG296" i="63" s="1"/>
  <c r="AL296" i="63"/>
  <c r="AF296" i="63" l="1"/>
  <c r="AJ296" i="63"/>
  <c r="AK296" i="63" s="1"/>
  <c r="AA297" i="63"/>
  <c r="AP297" i="63" s="1"/>
  <c r="Y297" i="63"/>
  <c r="AC297" i="63" l="1"/>
  <c r="AH297" i="63" s="1"/>
  <c r="AI297" i="63"/>
  <c r="AB297" i="63" l="1"/>
  <c r="AG297" i="63" s="1"/>
  <c r="AF297" i="63" l="1"/>
  <c r="AL297" i="63"/>
  <c r="AA298" i="63"/>
  <c r="AP298" i="63" s="1"/>
  <c r="AJ297" i="63"/>
  <c r="AK297" i="63" s="1"/>
  <c r="Y298" i="63"/>
  <c r="AC298" i="63" l="1"/>
  <c r="AH298" i="63" s="1"/>
  <c r="AI298" i="63"/>
  <c r="AB298" i="63" l="1"/>
  <c r="AF298" i="63" s="1"/>
  <c r="AG298" i="63"/>
  <c r="AL298" i="63"/>
  <c r="AJ298" i="63" l="1"/>
  <c r="AK298" i="63" s="1"/>
  <c r="AA299" i="63"/>
  <c r="AP299" i="63" s="1"/>
  <c r="Y299" i="63"/>
  <c r="AC299" i="63" l="1"/>
  <c r="AH299" i="63" s="1"/>
  <c r="AI299" i="63"/>
  <c r="AB299" i="63" l="1"/>
  <c r="AG299" i="63" s="1"/>
  <c r="AL299" i="63" l="1"/>
  <c r="AF299" i="63"/>
  <c r="AJ299" i="63"/>
  <c r="AK299" i="63" s="1"/>
  <c r="AA300" i="63"/>
  <c r="AP300" i="63" s="1"/>
  <c r="Y300" i="63"/>
  <c r="AC300" i="63" l="1"/>
  <c r="AH300" i="63" s="1"/>
  <c r="AI300" i="63"/>
  <c r="AB300" i="63" l="1"/>
  <c r="AF300" i="63" s="1"/>
  <c r="AL300" i="63" l="1"/>
  <c r="AG300" i="63"/>
  <c r="AJ300" i="63"/>
  <c r="AK300" i="63" s="1"/>
  <c r="AA301" i="63"/>
  <c r="AP301" i="63" s="1"/>
  <c r="Y301" i="63"/>
  <c r="AC301" i="63" l="1"/>
  <c r="AH301" i="63" s="1"/>
  <c r="AI301" i="63"/>
  <c r="AB301" i="63" l="1"/>
  <c r="AL301" i="63" s="1"/>
  <c r="AJ301" i="63"/>
  <c r="AK301" i="63" s="1"/>
  <c r="AA302" i="63"/>
  <c r="AP302" i="63" s="1"/>
  <c r="Y302" i="63"/>
  <c r="AG301" i="63"/>
  <c r="AF301" i="63"/>
  <c r="AC302" i="63" l="1"/>
  <c r="AH302" i="63" s="1"/>
  <c r="AI302" i="63"/>
  <c r="AB302" i="63" l="1"/>
  <c r="AF302" i="63"/>
  <c r="AG302" i="63"/>
  <c r="AL302" i="63"/>
  <c r="AJ302" i="63" l="1"/>
  <c r="AK302" i="63" s="1"/>
  <c r="AA303" i="63"/>
  <c r="AP303" i="63" s="1"/>
  <c r="Y303" i="63"/>
  <c r="AI303" i="63" l="1"/>
  <c r="AC303" i="63"/>
  <c r="AH303" i="63" s="1"/>
  <c r="AB303" i="63" l="1"/>
  <c r="AF303" i="63" l="1"/>
  <c r="AG303" i="63"/>
  <c r="AL303" i="63"/>
  <c r="AJ303" i="63" l="1"/>
  <c r="AK303" i="63" s="1"/>
  <c r="AA304" i="63"/>
  <c r="AP304" i="63" s="1"/>
  <c r="Y304" i="63"/>
  <c r="AC304" i="63" l="1"/>
  <c r="AH304" i="63" s="1"/>
  <c r="AI304" i="63"/>
  <c r="AB304" i="63" l="1"/>
  <c r="AG304" i="63" s="1"/>
  <c r="AL304" i="63"/>
  <c r="AF304" i="63" l="1"/>
  <c r="AJ304" i="63"/>
  <c r="AK304" i="63" s="1"/>
  <c r="AA305" i="63"/>
  <c r="AP305" i="63" s="1"/>
  <c r="Y305" i="63"/>
  <c r="AC305" i="63" l="1"/>
  <c r="AH305" i="63" s="1"/>
  <c r="AI305" i="63"/>
  <c r="AB305" i="63" l="1"/>
  <c r="AL305" i="63" s="1"/>
  <c r="AJ305" i="63" s="1"/>
  <c r="AK305" i="63" s="1"/>
  <c r="AA306" i="63"/>
  <c r="AP306" i="63" s="1"/>
  <c r="Y306" i="63"/>
  <c r="AG305" i="63"/>
  <c r="AF305" i="63"/>
  <c r="AC306" i="63" l="1"/>
  <c r="AH306" i="63" s="1"/>
  <c r="AI306" i="63"/>
  <c r="AB306" i="63" l="1"/>
  <c r="AF306" i="63" s="1"/>
  <c r="AL306" i="63" l="1"/>
  <c r="AG306" i="63"/>
  <c r="AJ306" i="63"/>
  <c r="AK306" i="63" s="1"/>
  <c r="AA307" i="63"/>
  <c r="AP307" i="63" s="1"/>
  <c r="Y307" i="63"/>
  <c r="AC307" i="63" l="1"/>
  <c r="AH307" i="63" s="1"/>
  <c r="AI307" i="63"/>
  <c r="AB307" i="63" l="1"/>
  <c r="AG307" i="63" s="1"/>
  <c r="AL307" i="63"/>
  <c r="AF307" i="63" l="1"/>
  <c r="AJ307" i="63"/>
  <c r="AK307" i="63" s="1"/>
  <c r="AA308" i="63"/>
  <c r="AP308" i="63" s="1"/>
  <c r="Y308" i="63"/>
  <c r="AC308" i="63" l="1"/>
  <c r="AH308" i="63" s="1"/>
  <c r="AI308" i="63"/>
  <c r="AB308" i="63" l="1"/>
  <c r="AG308" i="63" s="1"/>
  <c r="AF308" i="63"/>
  <c r="AL308" i="63"/>
  <c r="AA309" i="63" l="1"/>
  <c r="AP309" i="63" s="1"/>
  <c r="AJ308" i="63"/>
  <c r="AK308" i="63" s="1"/>
  <c r="Y309" i="63"/>
  <c r="AC309" i="63" l="1"/>
  <c r="AH309" i="63" s="1"/>
  <c r="AI309" i="63"/>
  <c r="AB309" i="63" l="1"/>
  <c r="AL309" i="63" s="1"/>
  <c r="AJ309" i="63" s="1"/>
  <c r="AK309" i="63" s="1"/>
  <c r="AA310" i="63"/>
  <c r="AP310" i="63" s="1"/>
  <c r="Y310" i="63"/>
  <c r="AF309" i="63"/>
  <c r="AG309" i="63"/>
  <c r="AC310" i="63" l="1"/>
  <c r="AH310" i="63" s="1"/>
  <c r="AI310" i="63"/>
  <c r="AB310" i="63" l="1"/>
  <c r="AL310" i="63" s="1"/>
  <c r="AJ310" i="63" s="1"/>
  <c r="AK310" i="63" s="1"/>
  <c r="AA311" i="63"/>
  <c r="AP311" i="63" s="1"/>
  <c r="Y311" i="63"/>
  <c r="AG310" i="63"/>
  <c r="AF310" i="63"/>
  <c r="AC311" i="63" l="1"/>
  <c r="AH311" i="63" s="1"/>
  <c r="AI311" i="63"/>
  <c r="AB311" i="63" l="1"/>
  <c r="AG311" i="63"/>
  <c r="AF311" i="63"/>
  <c r="AL311" i="63"/>
  <c r="AJ311" i="63" l="1"/>
  <c r="AK311" i="63" s="1"/>
  <c r="AA312" i="63"/>
  <c r="AP312" i="63" s="1"/>
  <c r="Y312" i="63"/>
  <c r="AC312" i="63" l="1"/>
  <c r="AH312" i="63" s="1"/>
  <c r="AI312" i="63"/>
  <c r="AB312" i="63" l="1"/>
  <c r="AL312" i="63" s="1"/>
  <c r="AJ312" i="63" s="1"/>
  <c r="AK312" i="63" s="1"/>
  <c r="AF312" i="63" l="1"/>
  <c r="AG312" i="63"/>
  <c r="Y313" i="63"/>
  <c r="AA313" i="63"/>
  <c r="AP313" i="63" s="1"/>
  <c r="AC313" i="63"/>
  <c r="AH313" i="63" s="1"/>
  <c r="AI313" i="63"/>
  <c r="AB313" i="63" l="1"/>
  <c r="AL313" i="63" s="1"/>
  <c r="AA314" i="63" s="1"/>
  <c r="AP314" i="63" s="1"/>
  <c r="Y314" i="63"/>
  <c r="AF313" i="63"/>
  <c r="AG313" i="63"/>
  <c r="AJ313" i="63" l="1"/>
  <c r="AK313" i="63" s="1"/>
  <c r="AC314" i="63"/>
  <c r="AH314" i="63" s="1"/>
  <c r="AI314" i="63"/>
  <c r="AB314" i="63" l="1"/>
  <c r="AF314" i="63"/>
  <c r="AG314" i="63"/>
  <c r="AL314" i="63"/>
  <c r="AJ314" i="63" l="1"/>
  <c r="AK314" i="63" s="1"/>
  <c r="AA315" i="63"/>
  <c r="AP315" i="63" s="1"/>
  <c r="Y315" i="63"/>
  <c r="AC315" i="63" l="1"/>
  <c r="AH315" i="63" s="1"/>
  <c r="AI315" i="63"/>
  <c r="AB315" i="63" l="1"/>
  <c r="AF315" i="63" s="1"/>
  <c r="AG315" i="63"/>
  <c r="AL315" i="63" l="1"/>
  <c r="AJ315" i="63"/>
  <c r="AK315" i="63" s="1"/>
  <c r="AA316" i="63"/>
  <c r="AP316" i="63" s="1"/>
  <c r="Y316" i="63"/>
  <c r="AC316" i="63" l="1"/>
  <c r="AH316" i="63" s="1"/>
  <c r="AI316" i="63"/>
  <c r="AB316" i="63" l="1"/>
  <c r="AL316" i="63" s="1"/>
  <c r="AJ316" i="63" s="1"/>
  <c r="AK316" i="63" s="1"/>
  <c r="AF316" i="63" l="1"/>
  <c r="AG316" i="63"/>
  <c r="Y317" i="63"/>
  <c r="AA317" i="63"/>
  <c r="AP317" i="63" s="1"/>
  <c r="AC317" i="63"/>
  <c r="AH317" i="63" s="1"/>
  <c r="AI317" i="63" l="1"/>
  <c r="AB317" i="63"/>
  <c r="AL317" i="63" s="1"/>
  <c r="AJ317" i="63" s="1"/>
  <c r="Y318" i="63"/>
  <c r="AG317" i="63"/>
  <c r="AF317" i="63"/>
  <c r="AK317" i="63" l="1"/>
  <c r="AA318" i="63"/>
  <c r="AP318" i="63" s="1"/>
  <c r="AC318" i="63"/>
  <c r="AH318" i="63" s="1"/>
  <c r="AI318" i="63"/>
  <c r="AB318" i="63" l="1"/>
  <c r="AF318" i="63" s="1"/>
  <c r="AL318" i="63" l="1"/>
  <c r="AJ318" i="63" s="1"/>
  <c r="AK318" i="63" s="1"/>
  <c r="AG318" i="63"/>
  <c r="AA319" i="63"/>
  <c r="AP319" i="63" s="1"/>
  <c r="Y319" i="63"/>
  <c r="AC319" i="63" l="1"/>
  <c r="AH319" i="63" s="1"/>
  <c r="AI319" i="63"/>
  <c r="AB319" i="63" l="1"/>
  <c r="AG319" i="63"/>
  <c r="AF319" i="63"/>
  <c r="AL319" i="63"/>
  <c r="AJ319" i="63" l="1"/>
  <c r="AK319" i="63" s="1"/>
  <c r="AA320" i="63"/>
  <c r="AP320" i="63" s="1"/>
  <c r="Y320" i="63"/>
  <c r="AC320" i="63" l="1"/>
  <c r="AH320" i="63" s="1"/>
  <c r="AI320" i="63"/>
  <c r="AB320" i="63" l="1"/>
  <c r="AL320" i="63" s="1"/>
  <c r="AJ320" i="63"/>
  <c r="AK320" i="63" s="1"/>
  <c r="AA321" i="63"/>
  <c r="AP321" i="63" s="1"/>
  <c r="Y321" i="63"/>
  <c r="AG320" i="63"/>
  <c r="AF320" i="63"/>
  <c r="AC321" i="63" l="1"/>
  <c r="AH321" i="63" s="1"/>
  <c r="AI321" i="63"/>
  <c r="AB321" i="63" l="1"/>
  <c r="AL321" i="63" s="1"/>
  <c r="AA322" i="63" s="1"/>
  <c r="AP322" i="63" s="1"/>
  <c r="AF321" i="63"/>
  <c r="AG321" i="63" l="1"/>
  <c r="Y322" i="63"/>
  <c r="AJ321" i="63"/>
  <c r="AK321" i="63" s="1"/>
  <c r="AC322" i="63"/>
  <c r="AH322" i="63" s="1"/>
  <c r="AI322" i="63"/>
  <c r="AB322" i="63" l="1"/>
  <c r="AL322" i="63" s="1"/>
  <c r="AJ322" i="63" s="1"/>
  <c r="AK322" i="63" s="1"/>
  <c r="Y323" i="63"/>
  <c r="AG322" i="63"/>
  <c r="AF322" i="63"/>
  <c r="AA323" i="63" l="1"/>
  <c r="AP323" i="63" s="1"/>
  <c r="AC323" i="63"/>
  <c r="AH323" i="63" s="1"/>
  <c r="AI323" i="63"/>
  <c r="AB323" i="63" l="1"/>
  <c r="AF323" i="63" s="1"/>
  <c r="AL323" i="63"/>
  <c r="AG323" i="63" l="1"/>
  <c r="AA324" i="63"/>
  <c r="AP324" i="63" s="1"/>
  <c r="AJ323" i="63"/>
  <c r="AK323" i="63" s="1"/>
  <c r="Y324" i="63"/>
  <c r="AC324" i="63" l="1"/>
  <c r="AH324" i="63" s="1"/>
  <c r="AI324" i="63"/>
  <c r="AB324" i="63" l="1"/>
  <c r="AG324" i="63" s="1"/>
  <c r="AF324" i="63"/>
  <c r="AL324" i="63"/>
  <c r="AJ324" i="63" l="1"/>
  <c r="AK324" i="63" s="1"/>
  <c r="AA325" i="63"/>
  <c r="AP325" i="63" s="1"/>
  <c r="Y325" i="63"/>
  <c r="AC325" i="63" l="1"/>
  <c r="AH325" i="63" s="1"/>
  <c r="AI325" i="63"/>
  <c r="AB325" i="63" l="1"/>
  <c r="AL325" i="63" s="1"/>
  <c r="AA326" i="63" s="1"/>
  <c r="AP326" i="63" s="1"/>
  <c r="Y326" i="63"/>
  <c r="AG325" i="63"/>
  <c r="AF325" i="63"/>
  <c r="AJ325" i="63" l="1"/>
  <c r="AK325" i="63" s="1"/>
  <c r="AC326" i="63"/>
  <c r="AH326" i="63" s="1"/>
  <c r="AI326" i="63"/>
  <c r="AB326" i="63" l="1"/>
  <c r="AF326" i="63" s="1"/>
  <c r="AG326" i="63"/>
  <c r="AL326" i="63"/>
  <c r="AJ326" i="63" l="1"/>
  <c r="AK326" i="63" s="1"/>
  <c r="AA327" i="63"/>
  <c r="AP327" i="63" s="1"/>
  <c r="Y327" i="63"/>
  <c r="AC327" i="63" l="1"/>
  <c r="AH327" i="63" s="1"/>
  <c r="AI327" i="63"/>
  <c r="AB327" i="63" l="1"/>
  <c r="AG327" i="63" s="1"/>
  <c r="AL327" i="63" l="1"/>
  <c r="AA328" i="63" s="1"/>
  <c r="AP328" i="63" s="1"/>
  <c r="AF327" i="63"/>
  <c r="AJ327" i="63"/>
  <c r="AK327" i="63" s="1"/>
  <c r="Y328" i="63"/>
  <c r="AC328" i="63" l="1"/>
  <c r="AH328" i="63" s="1"/>
  <c r="AI328" i="63"/>
  <c r="AB328" i="63" l="1"/>
  <c r="AF328" i="63" s="1"/>
  <c r="AL328" i="63" l="1"/>
  <c r="AG328" i="63"/>
  <c r="AA329" i="63"/>
  <c r="AP329" i="63" s="1"/>
  <c r="AJ328" i="63"/>
  <c r="AK328" i="63" s="1"/>
  <c r="Y329" i="63"/>
  <c r="AC329" i="63" l="1"/>
  <c r="AH329" i="63" s="1"/>
  <c r="AI329" i="63"/>
  <c r="AB329" i="63" l="1"/>
  <c r="AL329" i="63" s="1"/>
  <c r="AJ329" i="63" s="1"/>
  <c r="AK329" i="63" s="1"/>
  <c r="AA330" i="63"/>
  <c r="AP330" i="63" s="1"/>
  <c r="Y330" i="63"/>
  <c r="AF329" i="63"/>
  <c r="AG329" i="63"/>
  <c r="AC330" i="63" l="1"/>
  <c r="AH330" i="63" s="1"/>
  <c r="AI330" i="63"/>
  <c r="AB330" i="63" l="1"/>
  <c r="AF330" i="63" s="1"/>
  <c r="AL330" i="63" l="1"/>
  <c r="AG330" i="63"/>
  <c r="AJ330" i="63"/>
  <c r="AK330" i="63" s="1"/>
  <c r="AA331" i="63"/>
  <c r="AP331" i="63" s="1"/>
  <c r="Y331" i="63"/>
  <c r="AC331" i="63" l="1"/>
  <c r="AH331" i="63" s="1"/>
  <c r="AI331" i="63"/>
  <c r="AB331" i="63" l="1"/>
  <c r="AF331" i="63" s="1"/>
  <c r="AL331" i="63" l="1"/>
  <c r="AJ331" i="63" s="1"/>
  <c r="AK331" i="63" s="1"/>
  <c r="AG331" i="63"/>
  <c r="AA332" i="63" l="1"/>
  <c r="AP332" i="63" s="1"/>
  <c r="Y332" i="63"/>
  <c r="AC332" i="63" s="1"/>
  <c r="AH332" i="63" s="1"/>
  <c r="AI332" i="63" l="1"/>
  <c r="AB332" i="63"/>
  <c r="AG332" i="63" s="1"/>
  <c r="AL332" i="63"/>
  <c r="AF332" i="63" l="1"/>
  <c r="AJ332" i="63"/>
  <c r="AK332" i="63" s="1"/>
  <c r="AA333" i="63"/>
  <c r="AP333" i="63" s="1"/>
  <c r="Y333" i="63"/>
  <c r="AC333" i="63" l="1"/>
  <c r="AH333" i="63" s="1"/>
  <c r="AI333" i="63"/>
  <c r="AB333" i="63" l="1"/>
  <c r="AL333" i="63" s="1"/>
  <c r="AJ333" i="63" s="1"/>
  <c r="AK333" i="63" s="1"/>
  <c r="AA334" i="63"/>
  <c r="AP334" i="63" s="1"/>
  <c r="Y334" i="63"/>
  <c r="AF333" i="63"/>
  <c r="AG333" i="63"/>
  <c r="AC334" i="63" l="1"/>
  <c r="AH334" i="63" s="1"/>
  <c r="AI334" i="63"/>
  <c r="AB334" i="63" l="1"/>
  <c r="AF334" i="63" s="1"/>
  <c r="AL334" i="63" l="1"/>
  <c r="AG334" i="63"/>
  <c r="AJ334" i="63"/>
  <c r="AK334" i="63" s="1"/>
  <c r="AA335" i="63"/>
  <c r="AP335" i="63" s="1"/>
  <c r="Y335" i="63"/>
  <c r="AC335" i="63" l="1"/>
  <c r="AH335" i="63" s="1"/>
  <c r="AI335" i="63"/>
  <c r="AB335" i="63" l="1"/>
  <c r="AG335" i="63" s="1"/>
  <c r="AL335" i="63" l="1"/>
  <c r="AF335" i="63"/>
  <c r="AA336" i="63"/>
  <c r="AP336" i="63" s="1"/>
  <c r="AJ335" i="63"/>
  <c r="AK335" i="63" s="1"/>
  <c r="Y336" i="63"/>
  <c r="AC336" i="63" l="1"/>
  <c r="AH336" i="63" s="1"/>
  <c r="AI336" i="63"/>
  <c r="AB336" i="63" l="1"/>
  <c r="AL336" i="63" s="1"/>
  <c r="AJ336" i="63" s="1"/>
  <c r="AK336" i="63" s="1"/>
  <c r="AG336" i="63" l="1"/>
  <c r="AF336" i="63"/>
  <c r="Y337" i="63"/>
  <c r="AA337" i="63"/>
  <c r="AP337" i="63" s="1"/>
  <c r="AC337" i="63"/>
  <c r="AH337" i="63" s="1"/>
  <c r="AI337" i="63"/>
  <c r="AB337" i="63" l="1"/>
  <c r="AF337" i="63" s="1"/>
  <c r="AL337" i="63" l="1"/>
  <c r="AG337" i="63"/>
  <c r="AA338" i="63"/>
  <c r="AP338" i="63" s="1"/>
  <c r="AJ337" i="63"/>
  <c r="AK337" i="63" s="1"/>
  <c r="Y338" i="63"/>
  <c r="AC338" i="63" l="1"/>
  <c r="AH338" i="63" s="1"/>
  <c r="AI338" i="63"/>
  <c r="AB338" i="63" l="1"/>
  <c r="AL338" i="63" s="1"/>
  <c r="AJ338" i="63" s="1"/>
  <c r="AK338" i="63" s="1"/>
  <c r="AG338" i="63" l="1"/>
  <c r="AF338" i="63"/>
  <c r="Y339" i="63"/>
  <c r="AA339" i="63"/>
  <c r="AP339" i="63" s="1"/>
  <c r="AC339" i="63"/>
  <c r="AH339" i="63" s="1"/>
  <c r="AI339" i="63" l="1"/>
  <c r="AB339" i="63"/>
  <c r="AF339" i="63" s="1"/>
  <c r="AL339" i="63" l="1"/>
  <c r="AA340" i="63" s="1"/>
  <c r="AP340" i="63" s="1"/>
  <c r="AG339" i="63"/>
  <c r="Y340" i="63" l="1"/>
  <c r="AJ339" i="63"/>
  <c r="AK339" i="63" s="1"/>
  <c r="AC340" i="63"/>
  <c r="AH340" i="63" s="1"/>
  <c r="AI340" i="63"/>
  <c r="AB340" i="63" l="1"/>
  <c r="AL340" i="63" s="1"/>
  <c r="AJ340" i="63" s="1"/>
  <c r="AK340" i="63" s="1"/>
  <c r="AA341" i="63"/>
  <c r="AP341" i="63" s="1"/>
  <c r="Y341" i="63"/>
  <c r="AG340" i="63"/>
  <c r="AF340" i="63"/>
  <c r="AC341" i="63" l="1"/>
  <c r="AH341" i="63" s="1"/>
  <c r="AI341" i="63"/>
  <c r="AB341" i="63" l="1"/>
  <c r="AF341" i="63" s="1"/>
  <c r="AL341" i="63" l="1"/>
  <c r="AJ341" i="63" s="1"/>
  <c r="AK341" i="63" s="1"/>
  <c r="AG341" i="63"/>
  <c r="Y342" i="63" l="1"/>
  <c r="AC342" i="63" s="1"/>
  <c r="AH342" i="63" s="1"/>
  <c r="AA342" i="63"/>
  <c r="AP342" i="63" s="1"/>
  <c r="AI342" i="63" l="1"/>
  <c r="AB342" i="63"/>
  <c r="AF342" i="63" s="1"/>
  <c r="AL342" i="63" l="1"/>
  <c r="AJ342" i="63" s="1"/>
  <c r="AK342" i="63" s="1"/>
  <c r="AG342" i="63"/>
  <c r="Y343" i="63" l="1"/>
  <c r="AA343" i="63"/>
  <c r="AP343" i="63" s="1"/>
  <c r="AC343" i="63"/>
  <c r="AH343" i="63" s="1"/>
  <c r="AI343" i="63" l="1"/>
  <c r="AB343" i="63"/>
  <c r="AG343" i="63" s="1"/>
  <c r="AL343" i="63" l="1"/>
  <c r="AF343" i="63"/>
  <c r="AA344" i="63"/>
  <c r="AP344" i="63" s="1"/>
  <c r="AJ343" i="63"/>
  <c r="AK343" i="63" s="1"/>
  <c r="Y344" i="63"/>
  <c r="AC344" i="63" l="1"/>
  <c r="AH344" i="63" s="1"/>
  <c r="AI344" i="63"/>
  <c r="AB344" i="63" l="1"/>
  <c r="AL344" i="63" s="1"/>
  <c r="AJ344" i="63" s="1"/>
  <c r="AK344" i="63" s="1"/>
  <c r="AF344" i="63" l="1"/>
  <c r="AG344" i="63"/>
  <c r="Y345" i="63"/>
  <c r="AC345" i="63" s="1"/>
  <c r="AH345" i="63" s="1"/>
  <c r="AA345" i="63"/>
  <c r="AP345" i="63" s="1"/>
  <c r="AI345" i="63" l="1"/>
  <c r="AB345" i="63"/>
  <c r="AG345" i="63" s="1"/>
  <c r="AF345" i="63"/>
  <c r="AL345" i="63"/>
  <c r="AA346" i="63" l="1"/>
  <c r="AP346" i="63" s="1"/>
  <c r="AJ345" i="63"/>
  <c r="AK345" i="63" s="1"/>
  <c r="Y346" i="63"/>
  <c r="AC346" i="63" l="1"/>
  <c r="AH346" i="63" s="1"/>
  <c r="AI346" i="63"/>
  <c r="AB346" i="63" l="1"/>
  <c r="AL346" i="63" s="1"/>
  <c r="AJ346" i="63" s="1"/>
  <c r="AK346" i="63" s="1"/>
  <c r="AG346" i="63" l="1"/>
  <c r="AF346" i="63"/>
  <c r="AA347" i="63"/>
  <c r="AP347" i="63" s="1"/>
  <c r="Y347" i="63"/>
  <c r="AC347" i="63" s="1"/>
  <c r="AH347" i="63" s="1"/>
  <c r="AI347" i="63"/>
  <c r="AB347" i="63" l="1"/>
  <c r="AG347" i="63" s="1"/>
  <c r="AL347" i="63"/>
  <c r="AF347" i="63" l="1"/>
  <c r="AA348" i="63"/>
  <c r="AP348" i="63" s="1"/>
  <c r="AJ347" i="63"/>
  <c r="AK347" i="63" s="1"/>
  <c r="Y348" i="63"/>
  <c r="AC348" i="63" l="1"/>
  <c r="AH348" i="63" s="1"/>
  <c r="AI348" i="63"/>
  <c r="AB348" i="63" l="1"/>
  <c r="AG348" i="63" s="1"/>
  <c r="AL348" i="63" l="1"/>
  <c r="AF348" i="63"/>
  <c r="AJ348" i="63"/>
  <c r="AK348" i="63" s="1"/>
  <c r="AA349" i="63"/>
  <c r="AP349" i="63" s="1"/>
  <c r="Y349" i="63"/>
  <c r="AC349" i="63" l="1"/>
  <c r="AH349" i="63" s="1"/>
  <c r="AI349" i="63"/>
  <c r="AB349" i="63" l="1"/>
  <c r="AG349" i="63" s="1"/>
  <c r="AL349" i="63" l="1"/>
  <c r="AJ349" i="63" s="1"/>
  <c r="AK349" i="63" s="1"/>
  <c r="AF349" i="63"/>
  <c r="Y350" i="63" l="1"/>
  <c r="AA350" i="63"/>
  <c r="AP350" i="63" s="1"/>
  <c r="AC350" i="63"/>
  <c r="AH350" i="63" s="1"/>
  <c r="AI350" i="63"/>
  <c r="AB350" i="63" l="1"/>
  <c r="AG350" i="63"/>
  <c r="AF350" i="63"/>
  <c r="AL350" i="63"/>
  <c r="AJ350" i="63" l="1"/>
  <c r="AK350" i="63" s="1"/>
  <c r="AA351" i="63"/>
  <c r="AP351" i="63" s="1"/>
  <c r="Y351" i="63"/>
  <c r="AI351" i="63" l="1"/>
  <c r="AC351" i="63"/>
  <c r="AH351" i="63" s="1"/>
  <c r="AB351" i="63" l="1"/>
  <c r="AG351" i="63" l="1"/>
  <c r="AF351" i="63"/>
  <c r="AL351" i="63"/>
  <c r="AA352" i="63" l="1"/>
  <c r="AP352" i="63" s="1"/>
  <c r="AJ351" i="63"/>
  <c r="AK351" i="63" s="1"/>
  <c r="Y352" i="63"/>
  <c r="AC352" i="63" l="1"/>
  <c r="AH352" i="63" s="1"/>
  <c r="AI352" i="63"/>
  <c r="AB352" i="63" l="1"/>
  <c r="AL352" i="63" s="1"/>
  <c r="AA353" i="63" s="1"/>
  <c r="AP353" i="63" s="1"/>
  <c r="AG352" i="63" l="1"/>
  <c r="AF352" i="63"/>
  <c r="Y353" i="63"/>
  <c r="AJ352" i="63"/>
  <c r="AK352" i="63" s="1"/>
  <c r="AC353" i="63"/>
  <c r="AH353" i="63" s="1"/>
  <c r="AI353" i="63"/>
  <c r="AB353" i="63" l="1"/>
  <c r="AF353" i="63" s="1"/>
  <c r="AL353" i="63" l="1"/>
  <c r="AG353" i="63"/>
  <c r="AA354" i="63"/>
  <c r="AP354" i="63" s="1"/>
  <c r="AJ353" i="63"/>
  <c r="AK353" i="63" s="1"/>
  <c r="Y354" i="63"/>
  <c r="AC354" i="63" l="1"/>
  <c r="AH354" i="63" s="1"/>
  <c r="AI354" i="63"/>
  <c r="AB354" i="63" l="1"/>
  <c r="AF354" i="63"/>
  <c r="AG354" i="63"/>
  <c r="AL354" i="63"/>
  <c r="AJ354" i="63" l="1"/>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c r="AP357" i="63" s="1"/>
  <c r="AJ356" i="63"/>
  <c r="AK356" i="63" s="1"/>
  <c r="Y357" i="63"/>
  <c r="AC357" i="63" l="1"/>
  <c r="AH357" i="63" s="1"/>
  <c r="AI357" i="63"/>
  <c r="AB357" i="63" l="1"/>
  <c r="AF357" i="63" s="1"/>
  <c r="AL357" i="63" l="1"/>
  <c r="AJ357" i="63" s="1"/>
  <c r="AK357" i="63" s="1"/>
  <c r="AG357" i="63"/>
  <c r="Y358" i="63" l="1"/>
  <c r="AC358" i="63" s="1"/>
  <c r="AH358" i="63" s="1"/>
  <c r="AA358" i="63"/>
  <c r="AP358" i="63" s="1"/>
  <c r="AI358" i="63" l="1"/>
  <c r="AB358" i="63"/>
  <c r="AG358" i="63" s="1"/>
  <c r="AL358" i="63" l="1"/>
  <c r="AJ358" i="63" s="1"/>
  <c r="AK358" i="63" s="1"/>
  <c r="AF358" i="63"/>
  <c r="Y359" i="63" l="1"/>
  <c r="AA359" i="63"/>
  <c r="AP359" i="63" s="1"/>
  <c r="AC359" i="63"/>
  <c r="AH359" i="63" s="1"/>
  <c r="AI359" i="63"/>
  <c r="AB359" i="63" l="1"/>
  <c r="AL359" i="63" s="1"/>
  <c r="AA360" i="63" s="1"/>
  <c r="AP360" i="63" s="1"/>
  <c r="AJ359" i="63" l="1"/>
  <c r="AK359" i="63" s="1"/>
  <c r="AF359" i="63"/>
  <c r="AG359" i="63"/>
  <c r="Y360" i="63"/>
  <c r="AC360" i="63" s="1"/>
  <c r="AH360" i="63" s="1"/>
  <c r="AI360" i="63"/>
  <c r="AB360" i="63" l="1"/>
  <c r="AF360" i="63" s="1"/>
  <c r="AL360" i="63" l="1"/>
  <c r="AG360" i="63"/>
  <c r="AJ360" i="63"/>
  <c r="AK360" i="63" s="1"/>
  <c r="AA361" i="63"/>
  <c r="AP361" i="63" s="1"/>
  <c r="Y361" i="63"/>
  <c r="AC361" i="63" l="1"/>
  <c r="AH361" i="63" s="1"/>
  <c r="AI361" i="63"/>
  <c r="AB361" i="63" l="1"/>
  <c r="AF361" i="63" s="1"/>
  <c r="AL361" i="63" l="1"/>
  <c r="AG361" i="63"/>
  <c r="AA362" i="63"/>
  <c r="AP362" i="63" s="1"/>
  <c r="AJ361" i="63"/>
  <c r="AK361" i="63" s="1"/>
  <c r="Y362" i="63"/>
  <c r="AC362" i="63" l="1"/>
  <c r="AH362" i="63" s="1"/>
  <c r="AI362" i="63"/>
  <c r="AB362" i="63" l="1"/>
  <c r="AL362" i="63" s="1"/>
  <c r="AF362" i="63" l="1"/>
  <c r="AG362" i="63"/>
  <c r="AA363" i="63"/>
  <c r="AP363" i="63" s="1"/>
  <c r="AJ362" i="63"/>
  <c r="AK362" i="63" s="1"/>
  <c r="Y363" i="63"/>
  <c r="AC363" i="63" l="1"/>
  <c r="AH363" i="63" s="1"/>
  <c r="AI363" i="63"/>
  <c r="AB363" i="63" l="1"/>
  <c r="AL363" i="63" s="1"/>
  <c r="AA364" i="63"/>
  <c r="AP364" i="63" s="1"/>
  <c r="AJ363" i="63"/>
  <c r="AK363" i="63" s="1"/>
  <c r="Y364" i="63"/>
  <c r="AG363" i="63"/>
  <c r="AF363" i="63" l="1"/>
  <c r="AC364" i="63"/>
  <c r="AH364" i="63" s="1"/>
  <c r="AI364" i="63"/>
  <c r="AB364" i="63" l="1"/>
  <c r="AF364" i="63"/>
  <c r="AG364" i="63"/>
  <c r="AL364" i="63"/>
  <c r="AJ364" i="63" l="1"/>
  <c r="AK364" i="63" s="1"/>
  <c r="AA365" i="63"/>
  <c r="AP365" i="63" s="1"/>
  <c r="Y365" i="63"/>
  <c r="AC365" i="63" l="1"/>
  <c r="AH365" i="63" s="1"/>
  <c r="AI365" i="63"/>
  <c r="AB365" i="63" l="1"/>
  <c r="AF365" i="63" s="1"/>
  <c r="AL365" i="63"/>
  <c r="AG365" i="63" l="1"/>
  <c r="AJ365" i="63"/>
  <c r="AK365" i="63" s="1"/>
  <c r="AA366" i="63"/>
  <c r="AP366" i="63" s="1"/>
  <c r="Y366" i="63"/>
  <c r="AC366" i="63" l="1"/>
  <c r="AH366" i="63" s="1"/>
  <c r="AI366" i="63"/>
  <c r="AB366" i="63" l="1"/>
  <c r="AG366" i="63" s="1"/>
  <c r="AL366" i="63"/>
  <c r="AF366" i="63" l="1"/>
  <c r="AJ366" i="63"/>
  <c r="AK366" i="63" s="1"/>
  <c r="AA367" i="63"/>
  <c r="AP367" i="63" s="1"/>
  <c r="Y367" i="63"/>
  <c r="AC367" i="63" l="1"/>
  <c r="AH367" i="63" s="1"/>
  <c r="AI367" i="63"/>
  <c r="AB367" i="63" l="1"/>
  <c r="AF367" i="63"/>
  <c r="AG367" i="63"/>
  <c r="AL367" i="63"/>
  <c r="AA368" i="63" l="1"/>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F369" i="63"/>
  <c r="AL369" i="63"/>
  <c r="AJ369" i="63" l="1"/>
  <c r="AK369" i="63" s="1"/>
  <c r="AA370" i="63"/>
  <c r="AP370" i="63" s="1"/>
  <c r="Y370" i="63"/>
  <c r="AC370" i="63" l="1"/>
  <c r="AH370" i="63" s="1"/>
  <c r="AI370" i="63"/>
  <c r="AB370" i="63" l="1"/>
  <c r="AL370" i="63" s="1"/>
  <c r="AJ370" i="63" s="1"/>
  <c r="AK370" i="63" s="1"/>
  <c r="AA371" i="63"/>
  <c r="AP371" i="63" s="1"/>
  <c r="Y371" i="63"/>
  <c r="AG370" i="63"/>
  <c r="AF370" i="63"/>
  <c r="AC371" i="63" l="1"/>
  <c r="AH371" i="63" s="1"/>
  <c r="AI371" i="63"/>
  <c r="AB371" i="63" l="1"/>
  <c r="AF371" i="63" s="1"/>
  <c r="AL371" i="63" l="1"/>
  <c r="AG371" i="63"/>
  <c r="AA372" i="63"/>
  <c r="AP372" i="63" s="1"/>
  <c r="AJ371" i="63"/>
  <c r="AK371" i="63" s="1"/>
  <c r="Y372" i="63"/>
  <c r="AC372" i="63" l="1"/>
  <c r="AH372" i="63" s="1"/>
  <c r="AI372" i="63"/>
  <c r="AB372" i="63" l="1"/>
  <c r="AG372" i="63" s="1"/>
  <c r="AF372" i="63"/>
  <c r="AL372" i="63"/>
  <c r="AA373" i="63" l="1"/>
  <c r="AP373" i="63" s="1"/>
  <c r="AJ372" i="63"/>
  <c r="AK372" i="63" s="1"/>
  <c r="Y373" i="63"/>
  <c r="AC373" i="63" l="1"/>
  <c r="AH373" i="63" s="1"/>
  <c r="AI373" i="63"/>
  <c r="AB373" i="63" l="1"/>
  <c r="AL373" i="63" s="1"/>
  <c r="AJ373" i="63" s="1"/>
  <c r="AK373" i="63" s="1"/>
  <c r="AA374" i="63"/>
  <c r="AP374" i="63" s="1"/>
  <c r="Y374" i="63"/>
  <c r="AF373" i="63"/>
  <c r="AG373" i="63"/>
  <c r="AC374" i="63" l="1"/>
  <c r="AH374" i="63" s="1"/>
  <c r="AI374" i="63"/>
  <c r="AB374" i="63" l="1"/>
  <c r="AL374" i="63" s="1"/>
  <c r="AJ374" i="63" s="1"/>
  <c r="AK374" i="63" s="1"/>
  <c r="AA375" i="63"/>
  <c r="AP375" i="63" s="1"/>
  <c r="AF374" i="63"/>
  <c r="AG374" i="63"/>
  <c r="Y375" i="63" l="1"/>
  <c r="AC375" i="63"/>
  <c r="AH375" i="63" s="1"/>
  <c r="AI375" i="63"/>
  <c r="AB375" i="63" l="1"/>
  <c r="AF375" i="63" s="1"/>
  <c r="AG375" i="63"/>
  <c r="AL375" i="63"/>
  <c r="AA376" i="63" l="1"/>
  <c r="AP376" i="63" s="1"/>
  <c r="AJ375" i="63"/>
  <c r="AK375" i="63" s="1"/>
  <c r="Y376" i="63"/>
  <c r="AC376" i="63" l="1"/>
  <c r="AH376" i="63" s="1"/>
  <c r="AI376" i="63"/>
  <c r="AB376" i="63" l="1"/>
  <c r="AL376" i="63" s="1"/>
  <c r="AA377" i="63" s="1"/>
  <c r="AP377" i="63" s="1"/>
  <c r="AG376" i="63" l="1"/>
  <c r="AF376" i="63"/>
  <c r="Y377" i="63"/>
  <c r="AJ376" i="63"/>
  <c r="AK376" i="63" s="1"/>
  <c r="AC377" i="63"/>
  <c r="AH377" i="63" s="1"/>
  <c r="AI377" i="63"/>
  <c r="AB377" i="63" l="1"/>
  <c r="AL377" i="63" s="1"/>
  <c r="AJ377" i="63" s="1"/>
  <c r="AK377" i="63" s="1"/>
  <c r="AG377" i="63" l="1"/>
  <c r="AF377" i="63"/>
  <c r="Y378" i="63"/>
  <c r="AA378" i="63"/>
  <c r="AP378" i="63" s="1"/>
  <c r="AC378" i="63"/>
  <c r="AH378" i="63" s="1"/>
  <c r="AI378" i="63" l="1"/>
  <c r="AB378" i="63"/>
  <c r="AG378" i="63" s="1"/>
  <c r="AL378" i="63" l="1"/>
  <c r="AJ378" i="63" s="1"/>
  <c r="AK378" i="63" s="1"/>
  <c r="AF378" i="63"/>
  <c r="AA379" i="63"/>
  <c r="AP379" i="63" s="1"/>
  <c r="Y379" i="63"/>
  <c r="AC379" i="63" l="1"/>
  <c r="AH379" i="63" s="1"/>
  <c r="AI379" i="63"/>
  <c r="AB379" i="63" l="1"/>
  <c r="AG379" i="63" s="1"/>
  <c r="AF379" i="63"/>
  <c r="AL379" i="63"/>
  <c r="AA380" i="63" l="1"/>
  <c r="AP380" i="63" s="1"/>
  <c r="AJ379" i="63"/>
  <c r="AK379" i="63" s="1"/>
  <c r="Y380" i="63"/>
  <c r="AC380" i="63" l="1"/>
  <c r="AH380" i="63" s="1"/>
  <c r="AI380" i="63"/>
  <c r="AB380" i="63" l="1"/>
  <c r="AL380" i="63" s="1"/>
  <c r="AA381" i="63" s="1"/>
  <c r="AP381" i="63" s="1"/>
  <c r="AG380" i="63"/>
  <c r="AF380" i="63" l="1"/>
  <c r="Y381" i="63"/>
  <c r="AJ380" i="63"/>
  <c r="AK380" i="63" s="1"/>
  <c r="AC381" i="63"/>
  <c r="AH381" i="63" s="1"/>
  <c r="AI381" i="63"/>
  <c r="AB381" i="63" l="1"/>
  <c r="AL381" i="63" s="1"/>
  <c r="AA382" i="63" s="1"/>
  <c r="AP382" i="63" s="1"/>
  <c r="AJ381" i="63"/>
  <c r="AK381" i="63" s="1"/>
  <c r="Y382" i="63"/>
  <c r="AF381" i="63"/>
  <c r="AG381" i="63"/>
  <c r="AC382" i="63" l="1"/>
  <c r="AH382" i="63" s="1"/>
  <c r="AI382" i="63"/>
  <c r="AB382" i="63" l="1"/>
  <c r="AL382" i="63" s="1"/>
  <c r="AJ382" i="63" s="1"/>
  <c r="AK382" i="63" s="1"/>
  <c r="AG382" i="63"/>
  <c r="AF382" i="63" l="1"/>
  <c r="Y383" i="63"/>
  <c r="AA383" i="63"/>
  <c r="AP383" i="63" s="1"/>
  <c r="AC383" i="63"/>
  <c r="AH383" i="63" s="1"/>
  <c r="AI383" i="63"/>
  <c r="AB383" i="63" l="1"/>
  <c r="AL383" i="63" s="1"/>
  <c r="AA384" i="63" s="1"/>
  <c r="AP384" i="63" s="1"/>
  <c r="AG383" i="63" l="1"/>
  <c r="AF383" i="63"/>
  <c r="Y384" i="63"/>
  <c r="AJ383" i="63"/>
  <c r="AK383" i="63" s="1"/>
  <c r="AC384" i="63"/>
  <c r="AH384" i="63" s="1"/>
  <c r="AI384" i="63"/>
  <c r="AB384" i="63" l="1"/>
  <c r="AF384" i="63"/>
  <c r="AG384" i="63"/>
  <c r="AL384" i="63"/>
  <c r="AJ384" i="63" l="1"/>
  <c r="AK384" i="63" s="1"/>
  <c r="AA385" i="63"/>
  <c r="AP385" i="63" s="1"/>
  <c r="Y385" i="63"/>
  <c r="AC385" i="63" l="1"/>
  <c r="AH385" i="63" s="1"/>
  <c r="AI385" i="63"/>
  <c r="AB385" i="63" l="1"/>
  <c r="AF385" i="63" s="1"/>
  <c r="AL385" i="63" l="1"/>
  <c r="AG385" i="63"/>
  <c r="AJ385" i="63"/>
  <c r="AK385" i="63" s="1"/>
  <c r="AA386" i="63"/>
  <c r="AP386" i="63" s="1"/>
  <c r="Y386" i="63"/>
  <c r="AC386" i="63" l="1"/>
  <c r="AH386" i="63" s="1"/>
  <c r="AI386" i="63"/>
  <c r="AB386" i="63" l="1"/>
  <c r="AF386" i="63" s="1"/>
  <c r="AL386" i="63" l="1"/>
  <c r="AJ386" i="63" s="1"/>
  <c r="AK386" i="63" s="1"/>
  <c r="AG386" i="63"/>
  <c r="AA387" i="63"/>
  <c r="AP387" i="63" s="1"/>
  <c r="Y387" i="63"/>
  <c r="AC387" i="63" l="1"/>
  <c r="AH387" i="63" s="1"/>
  <c r="AI387" i="63"/>
  <c r="AB387" i="63" l="1"/>
  <c r="AG387" i="63"/>
  <c r="AF387" i="63"/>
  <c r="AL387" i="63"/>
  <c r="AA388" i="63" l="1"/>
  <c r="AP388" i="63" s="1"/>
  <c r="AJ387" i="63"/>
  <c r="AK387" i="63" s="1"/>
  <c r="Y388" i="63"/>
  <c r="AC388" i="63" l="1"/>
  <c r="AH388" i="63" s="1"/>
  <c r="AI388" i="63"/>
  <c r="AB388" i="63" l="1"/>
  <c r="AL388" i="63" s="1"/>
  <c r="AJ388" i="63"/>
  <c r="AK388" i="63" s="1"/>
  <c r="AA389" i="63"/>
  <c r="AP389" i="63" s="1"/>
  <c r="Y389" i="63"/>
  <c r="AF388" i="63"/>
  <c r="AG388" i="63"/>
  <c r="AC389" i="63" l="1"/>
  <c r="AH389" i="63" s="1"/>
  <c r="AI389" i="63"/>
  <c r="AB389" i="63" l="1"/>
  <c r="AF389" i="63" s="1"/>
  <c r="AL389" i="63"/>
  <c r="AG389" i="63" l="1"/>
  <c r="AJ389" i="63"/>
  <c r="AK389" i="63" s="1"/>
  <c r="AA390" i="63"/>
  <c r="AP390" i="63" s="1"/>
  <c r="Y390" i="63"/>
  <c r="AC390" i="63" l="1"/>
  <c r="AH390" i="63" s="1"/>
  <c r="AI390" i="63"/>
  <c r="AB390" i="63" l="1"/>
  <c r="AL390" i="63" s="1"/>
  <c r="AJ390" i="63" s="1"/>
  <c r="AK390" i="63" s="1"/>
  <c r="AF390" i="63"/>
  <c r="Y391" i="63" l="1"/>
  <c r="AA391" i="63"/>
  <c r="AP391" i="63" s="1"/>
  <c r="AG390" i="63"/>
  <c r="AC391" i="63"/>
  <c r="AH391" i="63" s="1"/>
  <c r="AI391" i="63"/>
  <c r="AB391" i="63" l="1"/>
  <c r="AG391" i="63" s="1"/>
  <c r="AF391" i="63" l="1"/>
  <c r="AL391" i="63"/>
  <c r="AA392" i="63"/>
  <c r="AP392" i="63" s="1"/>
  <c r="AJ391" i="63"/>
  <c r="AK391" i="63" s="1"/>
  <c r="Y392" i="63"/>
  <c r="AC392" i="63" l="1"/>
  <c r="AH392" i="63" s="1"/>
  <c r="AI392" i="63"/>
  <c r="AB392" i="63" l="1"/>
  <c r="AL392" i="63" s="1"/>
  <c r="AJ392" i="63" s="1"/>
  <c r="AK392" i="63" s="1"/>
  <c r="AA393" i="63"/>
  <c r="AP393" i="63" s="1"/>
  <c r="Y393" i="63"/>
  <c r="AG392" i="63"/>
  <c r="AF392" i="63"/>
  <c r="AC393" i="63" l="1"/>
  <c r="AH393" i="63" s="1"/>
  <c r="AI393" i="63"/>
  <c r="AB393" i="63" l="1"/>
  <c r="AG393" i="63" s="1"/>
  <c r="AL393" i="63" l="1"/>
  <c r="AF393" i="63"/>
  <c r="AA394" i="63"/>
  <c r="AP394" i="63" s="1"/>
  <c r="AJ393" i="63"/>
  <c r="AK393" i="63" s="1"/>
  <c r="Y394" i="63"/>
  <c r="AC394" i="63" l="1"/>
  <c r="AH394" i="63" s="1"/>
  <c r="AI394" i="63"/>
  <c r="AB394" i="63" l="1"/>
  <c r="AG394" i="63"/>
  <c r="AF394" i="63"/>
  <c r="AL394" i="63"/>
  <c r="AJ394" i="63" l="1"/>
  <c r="AK394" i="63" s="1"/>
  <c r="AA395" i="63"/>
  <c r="AP395" i="63" s="1"/>
  <c r="Y395" i="63"/>
  <c r="AC395" i="63" l="1"/>
  <c r="AH395" i="63" s="1"/>
  <c r="AI395" i="63"/>
  <c r="AB395" i="63" l="1"/>
  <c r="AF395" i="63"/>
  <c r="AG395" i="63"/>
  <c r="AL395" i="63"/>
  <c r="AA396" i="63" l="1"/>
  <c r="AP396" i="63" s="1"/>
  <c r="AJ395" i="63"/>
  <c r="AK395" i="63" s="1"/>
  <c r="Y396" i="63"/>
  <c r="AC396" i="63" l="1"/>
  <c r="AH396" i="63" s="1"/>
  <c r="AI396" i="63"/>
  <c r="AB396" i="63" l="1"/>
  <c r="AL396" i="63" s="1"/>
  <c r="AA397" i="63" s="1"/>
  <c r="AP397" i="63" s="1"/>
  <c r="AG396" i="63" l="1"/>
  <c r="AF396" i="63"/>
  <c r="Y397" i="63"/>
  <c r="AJ396" i="63"/>
  <c r="AK396" i="63" s="1"/>
  <c r="AC397" i="63"/>
  <c r="AH397" i="63" s="1"/>
  <c r="AI397" i="63"/>
  <c r="AB397" i="63" l="1"/>
  <c r="AL397" i="63" s="1"/>
  <c r="AJ397" i="63" s="1"/>
  <c r="AK397" i="63" s="1"/>
  <c r="AA398" i="63"/>
  <c r="AP398" i="63" s="1"/>
  <c r="Y398" i="63"/>
  <c r="AF397" i="63"/>
  <c r="AG397" i="63"/>
  <c r="AC398" i="63" l="1"/>
  <c r="AH398" i="63" s="1"/>
  <c r="AI398" i="63"/>
  <c r="AB398" i="63" l="1"/>
  <c r="AL398" i="63" s="1"/>
  <c r="AJ398" i="63"/>
  <c r="AK398" i="63" s="1"/>
  <c r="AA399" i="63"/>
  <c r="AP399" i="63" s="1"/>
  <c r="Y399" i="63"/>
  <c r="AF398" i="63"/>
  <c r="AG398" i="63"/>
  <c r="AC399" i="63" l="1"/>
  <c r="AH399" i="63" s="1"/>
  <c r="AI399" i="63"/>
  <c r="AB399" i="63" l="1"/>
  <c r="AG399" i="63" s="1"/>
  <c r="AF399" i="63"/>
  <c r="AL399" i="63"/>
  <c r="AA400" i="63" l="1"/>
  <c r="AP400" i="63" s="1"/>
  <c r="AJ399" i="63"/>
  <c r="AK399" i="63" s="1"/>
  <c r="Y400" i="63"/>
  <c r="AC400" i="63" l="1"/>
  <c r="AH400" i="63" s="1"/>
  <c r="AI400" i="63"/>
  <c r="AB400" i="63" l="1"/>
  <c r="AF400" i="63"/>
  <c r="AG400" i="63"/>
  <c r="AL400" i="63"/>
  <c r="AJ400" i="63" l="1"/>
  <c r="AK400" i="63" s="1"/>
  <c r="AA401" i="63"/>
  <c r="AP401" i="63" s="1"/>
  <c r="Y401" i="63"/>
  <c r="AC401" i="63" l="1"/>
  <c r="AH401" i="63" s="1"/>
  <c r="AI401" i="63"/>
  <c r="AB401" i="63" l="1"/>
  <c r="AG401" i="63" s="1"/>
  <c r="AF401" i="63"/>
  <c r="AL401" i="63"/>
  <c r="AA402" i="63" l="1"/>
  <c r="AP402" i="63" s="1"/>
  <c r="AJ401" i="63"/>
  <c r="AK401" i="63" s="1"/>
  <c r="Y402" i="63"/>
  <c r="AC402" i="63" l="1"/>
  <c r="AH402" i="63" s="1"/>
  <c r="AI402" i="63"/>
  <c r="AB402" i="63" l="1"/>
  <c r="AG402" i="63" s="1"/>
  <c r="AL402" i="63" l="1"/>
  <c r="AA403" i="63" s="1"/>
  <c r="AP403" i="63" s="1"/>
  <c r="AF402" i="63"/>
  <c r="Y403" i="63" l="1"/>
  <c r="AJ402" i="63"/>
  <c r="AK402" i="63" s="1"/>
  <c r="AC403" i="63"/>
  <c r="AH403" i="63" s="1"/>
  <c r="AI403" i="63"/>
  <c r="AB403" i="63" l="1"/>
  <c r="AL403" i="63" s="1"/>
  <c r="AJ403" i="63" s="1"/>
  <c r="AK403" i="63" s="1"/>
  <c r="AG403" i="63" l="1"/>
  <c r="AF403" i="63"/>
  <c r="Y404" i="63"/>
  <c r="AA404" i="63"/>
  <c r="AP404" i="63" s="1"/>
  <c r="AC404" i="63"/>
  <c r="AH404" i="63" s="1"/>
  <c r="AI404" i="63"/>
  <c r="AB404" i="63" l="1"/>
  <c r="AL404" i="63" s="1"/>
  <c r="AJ404" i="63" s="1"/>
  <c r="AK404" i="63" s="1"/>
  <c r="AF404" i="63"/>
  <c r="AG404" i="63" l="1"/>
  <c r="Y405" i="63"/>
  <c r="AA405" i="63"/>
  <c r="AP405" i="63" s="1"/>
  <c r="AC405" i="63"/>
  <c r="AH405" i="63" s="1"/>
  <c r="AI405" i="63" l="1"/>
  <c r="AB405" i="63"/>
  <c r="AL405" i="63" s="1"/>
  <c r="AF405" i="63"/>
  <c r="AG405" i="63"/>
  <c r="AJ405" i="63" l="1"/>
  <c r="AK405" i="63" s="1"/>
  <c r="AA406" i="63"/>
  <c r="AP406" i="63" s="1"/>
  <c r="Y406" i="63"/>
  <c r="AC406" i="63" l="1"/>
  <c r="AH406" i="63" s="1"/>
  <c r="AI406" i="63"/>
  <c r="AB406" i="63" l="1"/>
  <c r="AL406" i="63" s="1"/>
  <c r="AA407" i="63" s="1"/>
  <c r="AP407" i="63" s="1"/>
  <c r="Y407" i="63"/>
  <c r="AG406" i="63"/>
  <c r="AJ406" i="63" l="1"/>
  <c r="AK406" i="63" s="1"/>
  <c r="AF406" i="63"/>
  <c r="AC407" i="63"/>
  <c r="AH407" i="63" s="1"/>
  <c r="AI407" i="63"/>
  <c r="AB407" i="63" l="1"/>
  <c r="AG407" i="63" s="1"/>
  <c r="AF407" i="63" l="1"/>
  <c r="AL407" i="63"/>
  <c r="AA408" i="63" s="1"/>
  <c r="AP408" i="63" s="1"/>
  <c r="AJ407" i="63"/>
  <c r="AK407" i="63" s="1"/>
  <c r="Y408" i="63"/>
  <c r="AC408" i="63" l="1"/>
  <c r="AH408" i="63" s="1"/>
  <c r="AI408" i="63"/>
  <c r="AB408" i="63" l="1"/>
  <c r="AF408" i="63"/>
  <c r="AG408" i="63"/>
  <c r="AL408" i="63"/>
  <c r="AJ408" i="63" l="1"/>
  <c r="AK408" i="63" s="1"/>
  <c r="AA409" i="63"/>
  <c r="AP409" i="63" s="1"/>
  <c r="Y409" i="63"/>
  <c r="AC409" i="63" l="1"/>
  <c r="AH409" i="63" s="1"/>
  <c r="AI409" i="63"/>
  <c r="AB409" i="63" l="1"/>
  <c r="AG409" i="63" s="1"/>
  <c r="AF409" i="63" l="1"/>
  <c r="AL409" i="63"/>
  <c r="AJ409" i="63"/>
  <c r="AK409" i="63" s="1"/>
  <c r="AA410" i="63"/>
  <c r="AP410" i="63" s="1"/>
  <c r="Y410" i="63"/>
  <c r="AC410" i="63" l="1"/>
  <c r="AH410" i="63" s="1"/>
  <c r="AI410" i="63"/>
  <c r="AB410" i="63" l="1"/>
  <c r="AG410" i="63" s="1"/>
  <c r="AL410" i="63"/>
  <c r="AF410" i="63" l="1"/>
  <c r="AA411" i="63"/>
  <c r="AP411" i="63" s="1"/>
  <c r="AJ410" i="63"/>
  <c r="AK410" i="63" s="1"/>
  <c r="Y411" i="63"/>
  <c r="AC411" i="63" l="1"/>
  <c r="AH411" i="63" s="1"/>
  <c r="AI411" i="63"/>
  <c r="AB411" i="63" l="1"/>
  <c r="AL411" i="63" s="1"/>
  <c r="AJ411" i="63" s="1"/>
  <c r="AK411" i="63" s="1"/>
  <c r="AG411" i="63"/>
  <c r="AF411" i="63"/>
  <c r="Y412" i="63" l="1"/>
  <c r="AA412" i="63"/>
  <c r="AP412" i="63" s="1"/>
  <c r="AC412" i="63"/>
  <c r="AH412" i="63" s="1"/>
  <c r="AI412" i="63" l="1"/>
  <c r="AB412" i="63"/>
  <c r="AG412" i="63" l="1"/>
  <c r="AF412" i="63"/>
  <c r="AL412" i="63"/>
  <c r="AJ412" i="63" l="1"/>
  <c r="AK412" i="63" s="1"/>
  <c r="AA413" i="63"/>
  <c r="AP413" i="63" s="1"/>
  <c r="Y413" i="63"/>
  <c r="AC413" i="63" l="1"/>
  <c r="AH413" i="63" s="1"/>
  <c r="AI413" i="63"/>
  <c r="AB413" i="63" l="1"/>
  <c r="AF413" i="63" s="1"/>
  <c r="AL413" i="63"/>
  <c r="AG413" i="63" l="1"/>
  <c r="AA414" i="63"/>
  <c r="AP414" i="63" s="1"/>
  <c r="AJ413" i="63"/>
  <c r="AK413" i="63" s="1"/>
  <c r="Y414" i="63"/>
  <c r="AC414" i="63" l="1"/>
  <c r="AH414" i="63" s="1"/>
  <c r="AI414" i="63"/>
  <c r="AB414" i="63" l="1"/>
  <c r="AL414" i="63" s="1"/>
  <c r="AJ414" i="63" s="1"/>
  <c r="AK414" i="63" s="1"/>
  <c r="AA415" i="63"/>
  <c r="AP415" i="63" s="1"/>
  <c r="Y415" i="63"/>
  <c r="AF414" i="63"/>
  <c r="AG414" i="63"/>
  <c r="AC415" i="63" l="1"/>
  <c r="AH415" i="63" s="1"/>
  <c r="AI415" i="63"/>
  <c r="AB415" i="63" l="1"/>
  <c r="AL415" i="63" s="1"/>
  <c r="AJ415" i="63"/>
  <c r="AK415" i="63" s="1"/>
  <c r="AA416" i="63"/>
  <c r="AP416" i="63" s="1"/>
  <c r="Y416" i="63"/>
  <c r="AF415" i="63"/>
  <c r="AG415" i="63"/>
  <c r="AC416" i="63" l="1"/>
  <c r="AH416" i="63" s="1"/>
  <c r="AI416" i="63"/>
  <c r="AB416" i="63" l="1"/>
  <c r="AG416" i="63" s="1"/>
  <c r="AL416" i="63" l="1"/>
  <c r="AJ416" i="63" s="1"/>
  <c r="AK416" i="63" s="1"/>
  <c r="AF416" i="63"/>
  <c r="AA417" i="63"/>
  <c r="AP417" i="63" s="1"/>
  <c r="Y417" i="63"/>
  <c r="AC417" i="63" l="1"/>
  <c r="AH417" i="63" s="1"/>
  <c r="AI417" i="63"/>
  <c r="AB417" i="63" l="1"/>
  <c r="AL417" i="63" s="1"/>
  <c r="AJ417" i="63" s="1"/>
  <c r="AK417" i="63" s="1"/>
  <c r="AF417" i="63"/>
  <c r="AG417" i="63" l="1"/>
  <c r="Y418" i="63"/>
  <c r="AA418" i="63"/>
  <c r="AP418" i="63" s="1"/>
  <c r="AC418" i="63"/>
  <c r="AH418" i="63" s="1"/>
  <c r="AI418" i="63" l="1"/>
  <c r="AB418" i="63"/>
  <c r="AF418" i="63" s="1"/>
  <c r="AL418" i="63" l="1"/>
  <c r="AA419" i="63" s="1"/>
  <c r="AG418" i="63"/>
  <c r="AJ418" i="63" l="1"/>
  <c r="AK418" i="63" s="1"/>
  <c r="Y419" i="63"/>
  <c r="AC419" i="63" s="1"/>
  <c r="AI419" i="63"/>
  <c r="AH419" i="63" l="1"/>
  <c r="AB419" i="63"/>
  <c r="AG419" i="63"/>
  <c r="AF419" i="63"/>
  <c r="AL419" i="63"/>
  <c r="AJ419" i="63" l="1"/>
  <c r="AK419" i="63" s="1"/>
  <c r="AA420" i="63"/>
  <c r="Y420" i="63"/>
  <c r="AC420" i="63" l="1"/>
  <c r="AH420"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c r="AA422" i="63" l="1"/>
  <c r="AI422" i="63" s="1"/>
  <c r="AC422" i="63"/>
  <c r="AH422" i="63" s="1"/>
  <c r="AB422" i="63" l="1"/>
  <c r="AL422" i="63" s="1"/>
  <c r="AJ422" i="63" s="1"/>
  <c r="AK422" i="63" s="1"/>
  <c r="AA423" i="63" l="1"/>
  <c r="AI423" i="63" s="1"/>
  <c r="AG422" i="63"/>
  <c r="AF422" i="63"/>
  <c r="Y423" i="63"/>
  <c r="AC423" i="63" s="1"/>
  <c r="AH423" i="63" s="1"/>
  <c r="AB423" i="63" l="1"/>
  <c r="AL423" i="63" s="1"/>
  <c r="AJ423" i="63" s="1"/>
  <c r="AK423" i="63" s="1"/>
  <c r="AF423" i="63" l="1"/>
  <c r="AG423" i="63"/>
  <c r="Y424" i="63"/>
  <c r="AA424" i="63"/>
  <c r="AC424" i="63"/>
  <c r="AH424" i="63" s="1"/>
  <c r="AI424" i="63"/>
  <c r="AB424" i="63" l="1"/>
  <c r="AF424" i="63" s="1"/>
  <c r="AL424" i="63" l="1"/>
  <c r="AG424" i="63"/>
  <c r="AJ424" i="63"/>
  <c r="AK424" i="63" s="1"/>
  <c r="AA425" i="63"/>
  <c r="Y425" i="63"/>
  <c r="AC425" i="63" l="1"/>
  <c r="AH425" i="63" s="1"/>
  <c r="AI425" i="63"/>
  <c r="AB425" i="63" l="1"/>
  <c r="AF425" i="63" s="1"/>
  <c r="AL425" i="63" l="1"/>
  <c r="AJ425" i="63" s="1"/>
  <c r="AK425" i="63" s="1"/>
  <c r="AG425" i="63"/>
  <c r="AA426" i="63"/>
  <c r="Y426" i="63"/>
  <c r="AC426" i="63" l="1"/>
  <c r="AH426" i="63" s="1"/>
  <c r="AI426" i="63"/>
  <c r="AB426" i="63" l="1"/>
  <c r="AF426" i="63" s="1"/>
  <c r="AL426" i="63" l="1"/>
  <c r="AG426" i="63"/>
  <c r="AJ426" i="63"/>
  <c r="AK426" i="63" s="1"/>
  <c r="AA427" i="63"/>
  <c r="Y427" i="63"/>
  <c r="AC427" i="63" l="1"/>
  <c r="AH427" i="63" s="1"/>
  <c r="AI427" i="63"/>
  <c r="AB427" i="63" l="1"/>
  <c r="AG427" i="63" s="1"/>
  <c r="AL427" i="63" l="1"/>
  <c r="AF427" i="63"/>
  <c r="AA428" i="63"/>
  <c r="AJ427" i="63"/>
  <c r="AK427" i="63" s="1"/>
  <c r="Y428" i="63"/>
  <c r="AC428" i="63" l="1"/>
  <c r="AH428" i="63" s="1"/>
  <c r="AI428" i="63"/>
  <c r="AB428" i="63" l="1"/>
  <c r="AF428" i="63" s="1"/>
  <c r="AL428" i="63" l="1"/>
  <c r="AA429" i="63" s="1"/>
  <c r="AG428" i="63"/>
  <c r="Y429" i="63" l="1"/>
  <c r="AJ428" i="63"/>
  <c r="AK428" i="63" s="1"/>
  <c r="AC429" i="63"/>
  <c r="AH429" i="63" s="1"/>
  <c r="AI429" i="63"/>
  <c r="AB429" i="63" l="1"/>
  <c r="AG429" i="63" s="1"/>
  <c r="AL429" i="63" l="1"/>
  <c r="AJ429" i="63" s="1"/>
  <c r="AK429" i="63" s="1"/>
  <c r="AF429" i="63"/>
  <c r="Y430" i="63" l="1"/>
  <c r="AC430" i="63" s="1"/>
  <c r="AH430" i="63" s="1"/>
  <c r="AA430" i="63"/>
  <c r="AI430" i="63" s="1"/>
  <c r="AB430" i="63" l="1"/>
  <c r="AG430" i="63" s="1"/>
  <c r="AF430" i="63" l="1"/>
  <c r="AL430" i="63"/>
  <c r="AJ430" i="63" s="1"/>
  <c r="AK430" i="63" s="1"/>
  <c r="Y431" i="63" l="1"/>
  <c r="AC431" i="63" s="1"/>
  <c r="AH431" i="63" s="1"/>
  <c r="AA431" i="63"/>
  <c r="AI431" i="63" s="1"/>
  <c r="AB431" i="63" l="1"/>
  <c r="AL431" i="63" s="1"/>
  <c r="AJ431" i="63" s="1"/>
  <c r="AK431" i="63" s="1"/>
  <c r="AG431" i="63" l="1"/>
  <c r="AF431" i="63"/>
  <c r="Y432" i="63"/>
  <c r="AA432" i="63"/>
  <c r="AC432" i="63"/>
  <c r="AH432" i="63" s="1"/>
  <c r="AI432" i="63"/>
  <c r="AB432" i="63" l="1"/>
  <c r="AL432" i="63" s="1"/>
  <c r="AJ432" i="63" s="1"/>
  <c r="AK432" i="63" s="1"/>
  <c r="AA433" i="63" l="1"/>
  <c r="AF432" i="63"/>
  <c r="AG432" i="63"/>
  <c r="Y433" i="63"/>
  <c r="AC433" i="63" s="1"/>
  <c r="AH433" i="63" s="1"/>
  <c r="AI433" i="63"/>
  <c r="AB433" i="63" l="1"/>
  <c r="AG433" i="63" s="1"/>
  <c r="AL433" i="63" l="1"/>
  <c r="AJ433" i="63" s="1"/>
  <c r="AK433" i="63" s="1"/>
  <c r="AF433" i="63"/>
  <c r="Y434" i="63" l="1"/>
  <c r="AC434" i="63" s="1"/>
  <c r="AH434" i="63" s="1"/>
  <c r="AA434" i="63"/>
  <c r="AI434" i="63" s="1"/>
  <c r="AB434" i="63" l="1"/>
  <c r="AL434" i="63" s="1"/>
  <c r="AG434" i="63"/>
  <c r="AF434" i="63"/>
  <c r="AA435" i="63" l="1"/>
  <c r="AJ434" i="63"/>
  <c r="AK434" i="63" s="1"/>
  <c r="Y435" i="63"/>
  <c r="AC435" i="63" l="1"/>
  <c r="AH435" i="63" s="1"/>
  <c r="AI435" i="63"/>
  <c r="AB435" i="63" l="1"/>
  <c r="AF435" i="63" s="1"/>
  <c r="AL435" i="63" l="1"/>
  <c r="AJ435" i="63" s="1"/>
  <c r="AK435" i="63" s="1"/>
  <c r="AG435" i="63"/>
  <c r="AA436" i="63" l="1"/>
  <c r="AI436" i="63" s="1"/>
  <c r="Y436" i="63"/>
  <c r="AC436" i="63" s="1"/>
  <c r="AH436" i="63" s="1"/>
  <c r="AB436" i="63" l="1"/>
  <c r="AG436" i="63" s="1"/>
  <c r="AL436" i="63" l="1"/>
  <c r="AJ436" i="63" s="1"/>
  <c r="AK436" i="63" s="1"/>
  <c r="AF436" i="63"/>
  <c r="Y437" i="63"/>
  <c r="AA437" i="63" l="1"/>
  <c r="AC437" i="63"/>
  <c r="AH437" i="63" s="1"/>
  <c r="AI437" i="63"/>
  <c r="AB437" i="63" l="1"/>
  <c r="AG437" i="63" s="1"/>
  <c r="AF437" i="63" l="1"/>
  <c r="AL437" i="63"/>
  <c r="AA438" i="63" s="1"/>
  <c r="Y438" i="63" l="1"/>
  <c r="AJ437" i="63"/>
  <c r="AK437" i="63" s="1"/>
  <c r="AC438" i="63"/>
  <c r="AH438" i="63" s="1"/>
  <c r="AI438" i="63"/>
  <c r="AB438" i="63" l="1"/>
  <c r="AL438" i="63" s="1"/>
  <c r="AA439" i="63" s="1"/>
  <c r="AF438" i="63"/>
  <c r="AG438" i="63" l="1"/>
  <c r="Y439" i="63"/>
  <c r="AJ438" i="63"/>
  <c r="AK438" i="63" s="1"/>
  <c r="AC439" i="63"/>
  <c r="AH439" i="63" s="1"/>
  <c r="AI439" i="63"/>
  <c r="AB439" i="63" l="1"/>
  <c r="AL439" i="63" s="1"/>
  <c r="AA440" i="63" s="1"/>
  <c r="AF439" i="63" l="1"/>
  <c r="AG439" i="63"/>
  <c r="Y440" i="63"/>
  <c r="AJ439" i="63"/>
  <c r="AK439" i="63" s="1"/>
  <c r="AC440" i="63"/>
  <c r="AH440" i="63" s="1"/>
  <c r="AI440" i="63"/>
  <c r="AB440" i="63" l="1"/>
  <c r="AG440" i="63" s="1"/>
  <c r="AL440" i="63" l="1"/>
  <c r="AJ440" i="63" s="1"/>
  <c r="AK440" i="63" s="1"/>
  <c r="AF440" i="63"/>
  <c r="Y441" i="63" l="1"/>
  <c r="AC441" i="63" s="1"/>
  <c r="AA441" i="63"/>
  <c r="AI441" i="63" s="1"/>
  <c r="AH441" i="63" l="1"/>
  <c r="AB441" i="63"/>
  <c r="AF441" i="63" s="1"/>
  <c r="AL441" i="63"/>
  <c r="AG441" i="63" l="1"/>
  <c r="AJ441" i="63"/>
  <c r="AK441" i="63" s="1"/>
  <c r="AA442" i="63"/>
  <c r="Y442" i="63"/>
  <c r="AC442" i="63" l="1"/>
  <c r="AH442" i="63" s="1"/>
  <c r="AI442" i="63"/>
  <c r="AB442" i="63" l="1"/>
  <c r="AG442" i="63" s="1"/>
  <c r="AF442" i="63" l="1"/>
  <c r="AL442" i="63"/>
  <c r="AJ442" i="63" s="1"/>
  <c r="AK442" i="63" s="1"/>
  <c r="AA443" i="63"/>
  <c r="Y443" i="63" l="1"/>
  <c r="AC443" i="63" s="1"/>
  <c r="AH443" i="63" s="1"/>
  <c r="AI443" i="63"/>
  <c r="AB443" i="63" l="1"/>
  <c r="AG443" i="63" s="1"/>
  <c r="AF443" i="63" l="1"/>
  <c r="AL443" i="63"/>
  <c r="AA444" i="63" s="1"/>
  <c r="Y444" i="63" l="1"/>
  <c r="AC444" i="63" s="1"/>
  <c r="AH444" i="63" s="1"/>
  <c r="AJ443" i="63"/>
  <c r="AK443" i="63" s="1"/>
  <c r="AI444" i="63"/>
  <c r="AB444" i="63" l="1"/>
  <c r="AF444" i="63" s="1"/>
  <c r="AL444" i="63" l="1"/>
  <c r="AG444" i="63"/>
  <c r="AA445" i="63"/>
  <c r="AJ444" i="63"/>
  <c r="AK444" i="63" s="1"/>
  <c r="Y445" i="63"/>
  <c r="AC445" i="63" l="1"/>
  <c r="AH445" i="63" s="1"/>
  <c r="AI445" i="63"/>
  <c r="AB445" i="63" l="1"/>
  <c r="AG445" i="63" s="1"/>
  <c r="AF445" i="63" l="1"/>
  <c r="AL445" i="63"/>
  <c r="AA446" i="63" s="1"/>
  <c r="AJ445" i="63" l="1"/>
  <c r="AK445" i="63" s="1"/>
  <c r="Y446" i="63"/>
  <c r="AC446" i="63"/>
  <c r="AH446" i="63" s="1"/>
  <c r="AI446" i="63"/>
  <c r="AB446" i="63" l="1"/>
  <c r="AL446" i="63" s="1"/>
  <c r="AJ446" i="63" s="1"/>
  <c r="AK446" i="63" s="1"/>
  <c r="AF446" i="63"/>
  <c r="AG446" i="63"/>
  <c r="Y447" i="63" l="1"/>
  <c r="AA447" i="63"/>
  <c r="AC447" i="63"/>
  <c r="AH447" i="63" s="1"/>
  <c r="AI447" i="63"/>
  <c r="AB447" i="63" l="1"/>
  <c r="AL447" i="63" s="1"/>
  <c r="AJ447" i="63" s="1"/>
  <c r="AK447" i="63" s="1"/>
  <c r="AG447" i="63" l="1"/>
  <c r="AF447" i="63"/>
  <c r="AA448" i="63"/>
  <c r="Y448" i="63"/>
  <c r="AC448" i="63" s="1"/>
  <c r="AH448" i="63" s="1"/>
  <c r="AI448" i="63"/>
  <c r="AB448" i="63" l="1"/>
  <c r="AF448" i="63" s="1"/>
  <c r="AL448" i="63" l="1"/>
  <c r="AG448" i="63"/>
  <c r="AA449" i="63"/>
  <c r="AJ448" i="63"/>
  <c r="AK448" i="63" s="1"/>
  <c r="Y449" i="63"/>
  <c r="AC449" i="63" l="1"/>
  <c r="AH449" i="63" s="1"/>
  <c r="AI449" i="63"/>
  <c r="AB449" i="63" l="1"/>
  <c r="AF449" i="63" s="1"/>
  <c r="AL449" i="63" l="1"/>
  <c r="AJ449" i="63" s="1"/>
  <c r="AK449" i="63" s="1"/>
  <c r="AG449" i="63"/>
  <c r="Y450" i="63" l="1"/>
  <c r="AC450" i="63" s="1"/>
  <c r="AH450" i="63" s="1"/>
  <c r="AA450" i="63"/>
  <c r="AI450" i="63" s="1"/>
  <c r="AB450" i="63" l="1"/>
  <c r="AL450" i="63" s="1"/>
  <c r="AA451" i="63" s="1"/>
  <c r="AG450" i="63" l="1"/>
  <c r="AF450" i="63"/>
  <c r="Y451" i="63"/>
  <c r="AJ450" i="63"/>
  <c r="AK450" i="63" s="1"/>
  <c r="AC451" i="63"/>
  <c r="AH451" i="63" s="1"/>
  <c r="AI451" i="63"/>
  <c r="AB451" i="63" l="1"/>
  <c r="AL451" i="63" s="1"/>
  <c r="AA452" i="63" s="1"/>
  <c r="AJ451" i="63"/>
  <c r="AK451" i="63" s="1"/>
  <c r="Y452" i="63"/>
  <c r="AF451" i="63"/>
  <c r="AG451" i="63"/>
  <c r="AC452" i="63" l="1"/>
  <c r="AH452" i="63" s="1"/>
  <c r="AI452" i="63"/>
  <c r="AB452" i="63" l="1"/>
  <c r="AL452" i="63" s="1"/>
  <c r="AA453" i="63"/>
  <c r="AJ452" i="63"/>
  <c r="AK452" i="63" s="1"/>
  <c r="Y453" i="63"/>
  <c r="AG452" i="63"/>
  <c r="AF452" i="63"/>
  <c r="AC453" i="63" l="1"/>
  <c r="AH453" i="63" s="1"/>
  <c r="AI453" i="63"/>
  <c r="AB453" i="63" l="1"/>
  <c r="AL453" i="63" s="1"/>
  <c r="AJ453" i="63" s="1"/>
  <c r="AK453" i="63" s="1"/>
  <c r="AF453" i="63" l="1"/>
  <c r="AG453" i="63"/>
  <c r="Y454" i="63"/>
  <c r="AA454" i="63"/>
  <c r="AI454" i="63" s="1"/>
  <c r="AC454" i="63"/>
  <c r="AH454" i="63" s="1"/>
  <c r="AB454" i="63" l="1"/>
  <c r="AL454" i="63" s="1"/>
  <c r="AA455" i="63" s="1"/>
  <c r="AF454" i="63" l="1"/>
  <c r="AG454" i="63"/>
  <c r="Y455" i="63"/>
  <c r="AJ454" i="63"/>
  <c r="AK454" i="63" s="1"/>
  <c r="AC455" i="63"/>
  <c r="AH455" i="63" s="1"/>
  <c r="AI455" i="63"/>
  <c r="AB455" i="63" l="1"/>
  <c r="AL455" i="63" s="1"/>
  <c r="AJ455" i="63" s="1"/>
  <c r="AK455" i="63" s="1"/>
  <c r="AG455" i="63" l="1"/>
  <c r="AF455" i="63"/>
  <c r="Y456" i="63"/>
  <c r="AA456" i="63"/>
  <c r="AI456" i="63" s="1"/>
  <c r="AC456" i="63"/>
  <c r="AH456" i="63" s="1"/>
  <c r="AB456" i="63" l="1"/>
  <c r="AG456" i="63" s="1"/>
  <c r="AL456" i="63" l="1"/>
  <c r="AA457" i="63" s="1"/>
  <c r="AF456" i="63"/>
  <c r="AJ456" i="63"/>
  <c r="AK456" i="63" s="1"/>
  <c r="Y457" i="63"/>
  <c r="AC457" i="63" l="1"/>
  <c r="AH457" i="63" s="1"/>
  <c r="AI457" i="63"/>
  <c r="AB457" i="63" l="1"/>
  <c r="AG457" i="63" s="1"/>
  <c r="AL457" i="63" l="1"/>
  <c r="AA458" i="63" s="1"/>
  <c r="AF457" i="63"/>
  <c r="Y458" i="63" l="1"/>
  <c r="AJ457" i="63"/>
  <c r="AK457" i="63" s="1"/>
  <c r="AC458" i="63"/>
  <c r="AH458" i="63" s="1"/>
  <c r="AI458" i="63"/>
  <c r="AB458" i="63" l="1"/>
  <c r="AG458" i="63" s="1"/>
  <c r="AL458" i="63" l="1"/>
  <c r="AA459" i="63" s="1"/>
  <c r="AF458" i="63"/>
  <c r="Y459" i="63" l="1"/>
  <c r="AC459" i="63" s="1"/>
  <c r="AH459" i="63" s="1"/>
  <c r="AJ458" i="63"/>
  <c r="AK458" i="63" s="1"/>
  <c r="AI459" i="63"/>
  <c r="AB459" i="63" l="1"/>
  <c r="AG459" i="63" s="1"/>
  <c r="AF459" i="63"/>
  <c r="AL459" i="63" l="1"/>
  <c r="AJ459" i="63" s="1"/>
  <c r="AK459" i="63" s="1"/>
  <c r="AA460" i="63"/>
  <c r="Y460" i="63"/>
  <c r="AC460" i="63" l="1"/>
  <c r="AH460" i="63" s="1"/>
  <c r="AI460" i="63"/>
  <c r="AB460" i="63" l="1"/>
  <c r="AG460" i="63" s="1"/>
  <c r="AF460" i="63"/>
  <c r="AL460" i="63"/>
  <c r="AA461" i="63" l="1"/>
  <c r="AJ460" i="63"/>
  <c r="AK460" i="63" s="1"/>
  <c r="Y461" i="63"/>
  <c r="AC461" i="63" l="1"/>
  <c r="AH461" i="63" s="1"/>
  <c r="AI461" i="63"/>
  <c r="AB461" i="63" l="1"/>
  <c r="AF461" i="63" s="1"/>
  <c r="AG461" i="63"/>
  <c r="AL461" i="63" l="1"/>
  <c r="AJ461" i="63"/>
  <c r="AK461" i="63" s="1"/>
  <c r="Y462" i="63"/>
  <c r="AA462" i="63"/>
  <c r="AI462" i="63" l="1"/>
  <c r="AC462" i="63"/>
  <c r="AH462" i="63" s="1"/>
  <c r="AB462" i="63" l="1"/>
  <c r="AG462" i="63" l="1"/>
  <c r="AF462" i="63"/>
  <c r="AL462" i="63"/>
  <c r="AA463" i="63" l="1"/>
  <c r="Y463" i="63"/>
  <c r="AJ462" i="63"/>
  <c r="AK462" i="63" s="1"/>
  <c r="AC463" i="63" l="1"/>
  <c r="AH463" i="63" s="1"/>
  <c r="AI463" i="63"/>
  <c r="AB463" i="63" l="1"/>
  <c r="AG463" i="63" s="1"/>
  <c r="AL463" i="63" l="1"/>
  <c r="AF463" i="63"/>
  <c r="AJ463" i="63"/>
  <c r="AK463" i="63" s="1"/>
  <c r="Y464" i="63"/>
  <c r="AA464" i="63"/>
  <c r="AI464" i="63" l="1"/>
  <c r="AC464" i="63"/>
  <c r="AH464" i="63" s="1"/>
  <c r="AB464" i="63" l="1"/>
  <c r="AG464" i="63" l="1"/>
  <c r="AF464" i="63"/>
  <c r="AL464" i="63"/>
  <c r="AA465" i="63" l="1"/>
  <c r="AJ464" i="63"/>
  <c r="AK464" i="63" s="1"/>
  <c r="Y465" i="63"/>
  <c r="AC465" i="63" l="1"/>
  <c r="AH465" i="63" s="1"/>
  <c r="AI465" i="63"/>
  <c r="AB465" i="63" l="1"/>
  <c r="AF465" i="63" s="1"/>
  <c r="AL465" i="63"/>
  <c r="AG465" i="63" l="1"/>
  <c r="AA466" i="63"/>
  <c r="AJ465" i="63"/>
  <c r="AK465" i="63" s="1"/>
  <c r="Y466" i="63"/>
  <c r="AC466" i="63" l="1"/>
  <c r="AH466" i="63" s="1"/>
  <c r="AI466" i="63"/>
  <c r="AB466" i="63" l="1"/>
  <c r="AG466" i="63" s="1"/>
  <c r="AL466" i="63" l="1"/>
  <c r="AF466" i="63"/>
  <c r="AA467" i="63"/>
  <c r="AJ466" i="63"/>
  <c r="AK466" i="63" s="1"/>
  <c r="Y467" i="63"/>
  <c r="AC467" i="63" l="1"/>
  <c r="AH467" i="63" s="1"/>
  <c r="AI467" i="63"/>
  <c r="AB467" i="63" l="1"/>
  <c r="AF467" i="63" s="1"/>
  <c r="AL467" i="63" l="1"/>
  <c r="AG467" i="63"/>
  <c r="AJ467" i="63"/>
  <c r="AK467" i="63" s="1"/>
  <c r="AA468" i="63"/>
  <c r="Y468" i="63"/>
  <c r="AC468" i="63" l="1"/>
  <c r="AH468" i="63" s="1"/>
  <c r="AI468" i="63"/>
  <c r="AB468" i="63" l="1"/>
  <c r="AF468" i="63"/>
  <c r="AG468" i="63"/>
  <c r="AL468" i="63"/>
  <c r="AJ468" i="63" l="1"/>
  <c r="AK468" i="63" s="1"/>
  <c r="AA469" i="63"/>
  <c r="Y469" i="63"/>
  <c r="AC469" i="63" l="1"/>
  <c r="AH469" i="63" s="1"/>
  <c r="AI469" i="63"/>
  <c r="AB469" i="63" l="1"/>
  <c r="AG469" i="63" s="1"/>
  <c r="AL469" i="63"/>
  <c r="AF469" i="63" l="1"/>
  <c r="AJ469" i="63"/>
  <c r="AK469" i="63" s="1"/>
  <c r="AA470" i="63"/>
  <c r="Y470" i="63"/>
  <c r="AC470" i="63" l="1"/>
  <c r="AH470" i="63" s="1"/>
  <c r="AI470" i="63"/>
  <c r="AB470" i="63" l="1"/>
  <c r="AG470" i="63"/>
  <c r="AF470" i="63"/>
  <c r="AL470" i="63"/>
  <c r="AA471" i="63" l="1"/>
  <c r="AJ470" i="63"/>
  <c r="AK470" i="63" s="1"/>
  <c r="Y471" i="63"/>
  <c r="AC471" i="63" l="1"/>
  <c r="AH471" i="63" s="1"/>
  <c r="AI471" i="63"/>
  <c r="AB471" i="63" l="1"/>
  <c r="AF471" i="63" s="1"/>
  <c r="AL471" i="63" l="1"/>
  <c r="AJ471" i="63" s="1"/>
  <c r="AK471" i="63" s="1"/>
  <c r="AG471" i="63"/>
  <c r="Y472" i="63" l="1"/>
  <c r="AC472" i="63" s="1"/>
  <c r="AH472" i="63" s="1"/>
  <c r="AA472" i="63"/>
  <c r="AI472" i="63" s="1"/>
  <c r="AB472" i="63" l="1"/>
  <c r="AG472" i="63" s="1"/>
  <c r="AL472" i="63" l="1"/>
  <c r="AJ472" i="63" s="1"/>
  <c r="AK472" i="63" s="1"/>
  <c r="AF472" i="63"/>
  <c r="Y473" i="63" l="1"/>
  <c r="AC473" i="63" s="1"/>
  <c r="AH473" i="63" s="1"/>
  <c r="AA473" i="63"/>
  <c r="AI473" i="63" s="1"/>
  <c r="AB473" i="63" l="1"/>
  <c r="AF473" i="63"/>
  <c r="AG473" i="63"/>
  <c r="AL473" i="63"/>
  <c r="AJ473" i="63" l="1"/>
  <c r="AK473" i="63" s="1"/>
  <c r="Y474" i="63"/>
  <c r="AA474" i="63"/>
  <c r="AI474" i="63" l="1"/>
  <c r="AC474" i="63"/>
  <c r="AH474" i="63" s="1"/>
  <c r="AB474" i="63" l="1"/>
  <c r="AG474" i="63" l="1"/>
  <c r="AF474" i="63"/>
  <c r="AL474" i="63"/>
  <c r="AA475" i="63" l="1"/>
  <c r="AJ474" i="63"/>
  <c r="AK474" i="63" s="1"/>
  <c r="Y475" i="63"/>
  <c r="AC475" i="63" l="1"/>
  <c r="AH475" i="63" s="1"/>
  <c r="AI475" i="63"/>
  <c r="AB475" i="63" l="1"/>
  <c r="AF475" i="63" s="1"/>
  <c r="AG475" i="63"/>
  <c r="AL475" i="63"/>
  <c r="AJ475" i="63" l="1"/>
  <c r="AK475" i="63" s="1"/>
  <c r="AA476" i="63"/>
  <c r="Y476" i="63"/>
  <c r="AC476" i="63" l="1"/>
  <c r="AH476" i="63" s="1"/>
  <c r="AI476" i="63"/>
  <c r="AB476" i="63" l="1"/>
  <c r="AL476" i="63" s="1"/>
  <c r="AF476" i="63" l="1"/>
  <c r="AG476" i="63"/>
  <c r="AJ476" i="63"/>
  <c r="AK476" i="63" s="1"/>
  <c r="AA477" i="63"/>
  <c r="Y477" i="63"/>
  <c r="AC477" i="63" l="1"/>
  <c r="AH477" i="63" s="1"/>
  <c r="AI477" i="63"/>
  <c r="AB477" i="63" l="1"/>
  <c r="AG477" i="63"/>
  <c r="AF477" i="63"/>
  <c r="AL477" i="63"/>
  <c r="AJ477" i="63" l="1"/>
  <c r="AK477" i="63" s="1"/>
  <c r="AA478" i="63"/>
  <c r="Y478" i="63"/>
  <c r="AC478" i="63" l="1"/>
  <c r="AH478" i="63" s="1"/>
  <c r="AI478" i="63"/>
  <c r="AB478" i="63" l="1"/>
  <c r="AG478" i="63" s="1"/>
  <c r="AF478" i="63"/>
  <c r="AL478" i="63" l="1"/>
  <c r="AA479" i="63"/>
  <c r="AJ478" i="63"/>
  <c r="AK478" i="63" s="1"/>
  <c r="Y479" i="63"/>
  <c r="AC479" i="63" l="1"/>
  <c r="AH479" i="63" s="1"/>
  <c r="AI479" i="63"/>
  <c r="AB479" i="63" l="1"/>
  <c r="AG479" i="63" s="1"/>
  <c r="AL479" i="63"/>
  <c r="AF479" i="63" l="1"/>
  <c r="AJ479" i="63"/>
  <c r="AK479" i="63" s="1"/>
  <c r="AA480" i="63"/>
  <c r="Y480" i="63"/>
  <c r="AC480" i="63" l="1"/>
  <c r="AH480" i="63" s="1"/>
  <c r="AI480" i="63"/>
  <c r="AB480" i="63" l="1"/>
  <c r="AG480" i="63"/>
  <c r="AF480" i="63"/>
  <c r="AL480" i="63"/>
  <c r="AA481" i="63" l="1"/>
  <c r="AJ480" i="63"/>
  <c r="AK480" i="63" s="1"/>
  <c r="Y481" i="63"/>
  <c r="AC481" i="63" l="1"/>
  <c r="AH481" i="63" s="1"/>
  <c r="AI481" i="63"/>
  <c r="AB481" i="63"/>
  <c r="AF481" i="63" l="1"/>
  <c r="AG481" i="63"/>
  <c r="AL481" i="63"/>
  <c r="AJ481" i="63" l="1"/>
  <c r="AK481" i="63" s="1"/>
  <c r="Y482" i="63"/>
  <c r="AA482" i="63"/>
  <c r="AI482" i="63" l="1"/>
  <c r="AC482" i="63"/>
  <c r="AH482" i="63" s="1"/>
  <c r="AB482" i="63" l="1"/>
  <c r="AF482" i="63" l="1"/>
  <c r="AG482" i="63"/>
  <c r="AL482" i="63"/>
  <c r="AA483" i="63" l="1"/>
  <c r="AJ482" i="63"/>
  <c r="AK482" i="63" s="1"/>
  <c r="Y483" i="63"/>
  <c r="AC483" i="63" l="1"/>
  <c r="AH483" i="63" s="1"/>
  <c r="AI483" i="63"/>
  <c r="AB483" i="63" l="1"/>
  <c r="AG483" i="63" s="1"/>
  <c r="AF483" i="63"/>
  <c r="AL483" i="63" l="1"/>
  <c r="AJ483" i="63"/>
  <c r="AK483" i="63" s="1"/>
  <c r="AA484" i="63"/>
  <c r="Y484" i="63"/>
  <c r="AC484" i="63" l="1"/>
  <c r="AH484" i="63" s="1"/>
  <c r="AI484" i="63"/>
  <c r="AB484" i="63" l="1"/>
  <c r="AF484" i="63"/>
  <c r="AG484" i="63"/>
  <c r="AL484" i="63"/>
  <c r="AA485" i="63" l="1"/>
  <c r="AJ484" i="63"/>
  <c r="AK484" i="63" s="1"/>
  <c r="Y485" i="63"/>
  <c r="AC485" i="63" l="1"/>
  <c r="AH485" i="63" s="1"/>
  <c r="AI485" i="63"/>
  <c r="AB485" i="63" l="1"/>
  <c r="AF485" i="63" s="1"/>
  <c r="AL485" i="63"/>
  <c r="AG485" i="63" l="1"/>
  <c r="AJ485" i="63"/>
  <c r="AK485" i="63" s="1"/>
  <c r="AA486" i="63"/>
  <c r="Y486" i="63"/>
  <c r="AC486" i="63" l="1"/>
  <c r="AH486" i="63" s="1"/>
  <c r="AI486" i="63"/>
  <c r="AB486" i="63" l="1"/>
  <c r="AF486" i="63"/>
  <c r="AG486" i="63"/>
  <c r="AL486" i="63"/>
  <c r="AA487" i="63" l="1"/>
  <c r="Y487" i="63"/>
  <c r="AJ486" i="63"/>
  <c r="AK486" i="63" s="1"/>
  <c r="AC487" i="63" l="1"/>
  <c r="AH487" i="63" s="1"/>
  <c r="AI487" i="63"/>
  <c r="AB487" i="63" l="1"/>
  <c r="AF487" i="63" s="1"/>
  <c r="AG487" i="63"/>
  <c r="AL487" i="63"/>
  <c r="AJ487" i="63" l="1"/>
  <c r="AK487" i="63" s="1"/>
  <c r="AA488" i="63"/>
  <c r="Y488" i="63"/>
  <c r="AC488" i="63" l="1"/>
  <c r="AH488" i="63" s="1"/>
  <c r="AI488" i="63"/>
  <c r="AB488" i="63" l="1"/>
  <c r="AG488" i="63" s="1"/>
  <c r="AF488" i="63" l="1"/>
  <c r="AL488" i="63"/>
  <c r="AJ488" i="63" s="1"/>
  <c r="AK488" i="63" s="1"/>
  <c r="AA489" i="63"/>
  <c r="Y489" i="63"/>
  <c r="AC489" i="63" l="1"/>
  <c r="AH489" i="63" s="1"/>
  <c r="AI489" i="63"/>
  <c r="AB489" i="63" l="1"/>
  <c r="AG489" i="63"/>
  <c r="AF489" i="63"/>
  <c r="AL489" i="63"/>
  <c r="Y490" i="63" l="1"/>
  <c r="AA490" i="63"/>
  <c r="AJ489" i="63"/>
  <c r="AK489" i="63" s="1"/>
  <c r="AI490" i="63" l="1"/>
  <c r="AC490" i="63"/>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<sst xmlns="http://schemas.openxmlformats.org/spreadsheetml/2006/main" count="2404" uniqueCount="997">
  <si>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</si>
  <si>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</si>
  <si>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</si>
  <si>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</si>
  <si>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</si>
  <si>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</si>
  <si>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</si>
  <si>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</si>
  <si>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</si>
  <si>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</si>
  <si>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</si>
  <si>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</si>
  <si>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</si>
  <si>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</si>
  <si>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</si>
  <si>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</si>
  <si>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</si>
  <si>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</si>
  <si>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</si>
  <si>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</si>
  <si>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</si>
  <si>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</si>
  <si>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</si>
  <si>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</si>
  <si>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</si>
  <si>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</si>
  <si>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</si>
  <si>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</si>
  <si>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Property Insurance</t>
  </si>
  <si>
    <t>Carrying Cost</t>
  </si>
  <si>
    <t>Purchase  Cost</t>
  </si>
  <si>
    <t>Private Lender  Rate:</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</si>
  <si>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</si>
  <si>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</si>
  <si>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</si>
  <si>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</si>
  <si>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</si>
  <si>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</si>
  <si>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</si>
  <si>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</si>
  <si>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</si>
  <si>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</si>
  <si>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</si>
  <si>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</si>
  <si>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</si>
  <si>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</si>
  <si>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</si>
  <si>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</si>
  <si>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</si>
  <si>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</si>
  <si>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</si>
  <si>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</si>
  <si>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</si>
  <si>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</si>
  <si>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</si>
  <si>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</si>
  <si>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</si>
  <si>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</si>
  <si>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</si>
  <si>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</si>
  <si>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</si>
  <si>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</si>
  <si>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</si>
  <si>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</si>
  <si>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</si>
  <si>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</si>
  <si>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</si>
  <si>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</si>
  <si>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</si>
  <si>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</si>
  <si>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</si>
  <si>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</si>
  <si>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</si>
  <si>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</si>
  <si>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</si>
  <si>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</si>
  <si>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</si>
  <si>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</si>
  <si>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</si>
  <si>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</si>
  <si>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</si>
  <si>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</si>
  <si>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</si>
  <si>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</si>
  <si>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</si>
  <si>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</si>
  <si>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</si>
  <si>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</si>
  <si>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</si>
  <si>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</si>
  <si>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</si>
  <si>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</si>
  <si>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</si>
  <si>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</si>
  <si>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</si>
  <si>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</si>
  <si>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</si>
  <si>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</si>
  <si>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</si>
  <si>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</si>
  <si>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</si>
  <si>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</si>
  <si>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</si>
  <si>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</si>
  <si>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</si>
  <si>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</si>
  <si>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</si>
  <si>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</si>
  <si>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</si>
  <si>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</si>
  <si>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</si>
  <si>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</si>
  <si>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</si>
  <si>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</si>
  <si>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</si>
  <si>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</si>
  <si>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</si>
  <si>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</si>
  <si>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</si>
  <si>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</si>
  <si>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</si>
  <si>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</si>
  <si>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</si>
  <si>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</si>
  <si>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</si>
  <si>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</si>
  <si>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</si>
  <si>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</si>
  <si>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</si>
  <si>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</si>
  <si>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</si>
  <si>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</si>
  <si>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</si>
  <si>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</si>
  <si>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</si>
  <si>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</si>
  <si>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</si>
  <si>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</si>
  <si>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</si>
  <si>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</si>
  <si>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</si>
  <si>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</si>
  <si>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</si>
  <si>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</si>
  <si>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</si>
  <si>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</si>
  <si>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</si>
  <si>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</si>
  <si>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</si>
  <si>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</si>
  <si>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</si>
  <si>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</si>
  <si>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</si>
  <si>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</si>
  <si>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</si>
  <si>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</si>
  <si>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</si>
  <si>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</si>
  <si>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</si>
  <si>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</si>
  <si>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</si>
  <si>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</si>
  <si>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</si>
  <si>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</si>
  <si>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</si>
  <si>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</si>
  <si>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</si>
  <si>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</si>
  <si>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</si>
  <si>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Sellers</t>
  </si>
  <si>
    <t>Mortgage</t>
  </si>
  <si>
    <t>NREIG</t>
  </si>
  <si>
    <t>770 734 1523</t>
  </si>
  <si>
    <t>Subject</t>
  </si>
  <si>
    <t>Sent</t>
  </si>
  <si>
    <t>Size</t>
  </si>
  <si>
    <t>Categories</t>
  </si>
  <si>
    <t>5008 Larchmont Dr - Loan 9015 2144 11-5998</t>
  </si>
  <si>
    <t>478 KB</t>
  </si>
  <si>
    <t>Insurance National Real Estate Insurance Group LLC</t>
  </si>
  <si>
    <t xml:space="preserve">Rani Walker </t>
  </si>
  <si>
    <t>678  329 0123</t>
  </si>
  <si>
    <t>RWalker@insurancehub.com</t>
  </si>
  <si>
    <t>Customer Care Specialist</t>
  </si>
  <si>
    <t xml:space="preserve">InsuranceHub Leavitt Agency   </t>
  </si>
  <si>
    <t>Phone/SMS/Fax: 678.329.0123 |  insurancehub.com</t>
  </si>
  <si>
    <r>
      <t>Becki Miron</t>
    </r>
    <r>
      <rPr>
        <b/>
        <sz val="9"/>
        <color rgb="FFEA6E0D"/>
        <rFont val="Arial"/>
        <family val="2"/>
      </rPr>
      <t xml:space="preserve"> </t>
    </r>
  </si>
  <si>
    <t>678.685.3277</t>
  </si>
  <si>
    <t>BMiron@insurancehub.com</t>
  </si>
  <si>
    <t>Account Manager</t>
  </si>
  <si>
    <t>Phone/SMS/Fax: 678.685.3277 | insurancehub.com</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</si>
  <si>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</si>
  <si>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</si>
  <si>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</si>
  <si>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</si>
  <si>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</si>
  <si>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</si>
  <si>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</si>
  <si>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</si>
  <si>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</si>
  <si>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</si>
  <si>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</si>
  <si>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</si>
  <si>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</si>
  <si>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</si>
  <si>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</si>
  <si>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</si>
  <si>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</si>
  <si>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</si>
  <si>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</si>
  <si>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</si>
  <si>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</si>
  <si>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</si>
  <si>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</si>
  <si>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</si>
  <si>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</si>
  <si>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</si>
  <si>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</si>
  <si>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</si>
  <si>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</si>
  <si>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</si>
  <si>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</si>
  <si>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</si>
  <si>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</si>
  <si>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</si>
  <si>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</si>
  <si>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</si>
  <si>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</si>
  <si>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</si>
  <si>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</si>
  <si>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</si>
  <si>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</si>
  <si>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</si>
  <si>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</si>
  <si>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</si>
  <si>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</si>
  <si>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</si>
  <si>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</si>
  <si>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</si>
  <si>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</si>
  <si>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</si>
  <si>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</si>
  <si>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</si>
  <si>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</si>
  <si>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</si>
  <si>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</si>
  <si>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</si>
  <si>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</si>
  <si>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</si>
  <si>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</si>
  <si>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</si>
  <si>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</si>
  <si>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</si>
  <si>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</si>
  <si>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</si>
  <si>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</si>
  <si>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</si>
  <si>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</si>
  <si>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</si>
  <si>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</si>
  <si>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</si>
  <si>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</si>
  <si>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</si>
  <si>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</si>
  <si>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</si>
  <si>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</si>
  <si>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</si>
  <si>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</si>
  <si>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</si>
  <si>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</si>
  <si>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</si>
  <si>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</si>
  <si>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</si>
  <si>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</si>
  <si>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</si>
  <si>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</si>
  <si>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</si>
  <si>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</si>
  <si>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</si>
  <si>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</si>
  <si>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</si>
  <si>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</si>
  <si>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</si>
  <si>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</si>
  <si>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</si>
  <si>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</si>
  <si>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</si>
  <si>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</si>
  <si>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</si>
  <si>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</si>
  <si>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</si>
  <si>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</si>
  <si>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</si>
  <si>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</si>
  <si>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</si>
  <si>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</si>
  <si>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</si>
  <si>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</si>
  <si>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</si>
  <si>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</si>
  <si>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</si>
  <si>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</si>
  <si>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</si>
  <si>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</si>
  <si>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</si>
  <si>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</si>
  <si>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</si>
  <si>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</si>
  <si>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</si>
  <si>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</si>
  <si>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</si>
  <si>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</si>
  <si>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</si>
  <si>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</si>
  <si>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</si>
  <si>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</si>
  <si>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</si>
  <si>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</si>
  <si>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</si>
  <si>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</si>
  <si>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</si>
  <si>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</si>
  <si>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</si>
  <si>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</si>
  <si>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</si>
  <si>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</si>
  <si>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</si>
  <si>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</si>
  <si>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</si>
  <si>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</si>
  <si>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</si>
  <si>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</si>
  <si>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</si>
  <si>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</si>
  <si>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</si>
  <si>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</si>
  <si>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</si>
  <si>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</si>
  <si>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</si>
  <si>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</si>
  <si>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</si>
  <si>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</si>
  <si>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</si>
  <si>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</si>
  <si>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</si>
  <si>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</si>
  <si>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</si>
  <si>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</si>
  <si>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</si>
  <si>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</si>
  <si>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</si>
  <si>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</si>
  <si>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Accessory Kit</t>
  </si>
  <si>
    <t>Lowes Shower Head</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</si>
  <si>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</si>
  <si>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</si>
  <si>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</si>
  <si>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</si>
  <si>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</si>
  <si>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</si>
  <si>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</si>
  <si>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</si>
  <si>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</si>
  <si>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</si>
  <si>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36" Exterior (L) Out Swing</t>
  </si>
  <si>
    <t>36" Exterior (L) In Swing</t>
  </si>
  <si>
    <t>32" Exterior (R) Out Swing</t>
  </si>
  <si>
    <t>32" Exterior (L)  Out Swing</t>
  </si>
  <si>
    <t>32" Exterior (L)  In Swing</t>
  </si>
  <si>
    <t>30" Interior (R)</t>
  </si>
  <si>
    <t>30" Interior (L)</t>
  </si>
  <si>
    <t>28" Interior (R)</t>
  </si>
  <si>
    <t>28" Interior (L)</t>
  </si>
  <si>
    <t>24" Interior (R)</t>
  </si>
  <si>
    <t>24" Interior (L)</t>
  </si>
  <si>
    <t>Windows 32"x62" Project 640493559</t>
  </si>
  <si>
    <t xml:space="preserve">Windows 59"x4446.562" Project </t>
  </si>
  <si>
    <t>Int Dummy knobs</t>
  </si>
  <si>
    <t>Lowes Front door kw powerbolt</t>
  </si>
  <si>
    <t>Lowes Front door kw door handle</t>
  </si>
  <si>
    <t>HD Ext Deadbolt combo</t>
  </si>
  <si>
    <t>Laundry room Fr Doors</t>
  </si>
  <si>
    <t>HD154372</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</si>
  <si>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</si>
  <si>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</si>
  <si>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</si>
  <si>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</si>
  <si>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</si>
  <si>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</si>
  <si>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</si>
  <si>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</si>
  <si>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</si>
  <si>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</si>
  <si>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</si>
  <si>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</si>
  <si>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</si>
  <si>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</si>
  <si>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</si>
  <si>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</si>
  <si>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</si>
  <si>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</si>
  <si>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</si>
  <si>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</si>
  <si>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</si>
  <si>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</si>
  <si>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</si>
  <si>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</si>
  <si>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</si>
  <si>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</si>
  <si>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</si>
  <si>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</si>
  <si>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</si>
  <si>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</si>
  <si>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</si>
  <si>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</si>
  <si>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</si>
  <si>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</si>
  <si>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</si>
  <si>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</si>
  <si>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</si>
  <si>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</si>
  <si>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</si>
  <si>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</si>
  <si>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</si>
  <si>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</si>
  <si>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</si>
  <si>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</si>
  <si>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</si>
  <si>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</si>
  <si>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6510-78628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</si>
  <si>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</si>
  <si>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</si>
  <si>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</si>
  <si>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</si>
  <si>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</si>
  <si>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</si>
  <si>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</si>
  <si>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</si>
  <si>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</si>
  <si>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</si>
  <si>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</si>
  <si>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</si>
  <si>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</si>
  <si>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</si>
  <si>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</si>
  <si>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</si>
  <si>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</si>
  <si>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</si>
  <si>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</si>
  <si>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</si>
  <si>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</si>
  <si>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</si>
  <si>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</si>
  <si>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</si>
  <si>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</si>
  <si>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</si>
  <si>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</si>
  <si>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</si>
  <si>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</si>
  <si>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</si>
  <si>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</si>
  <si>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</si>
  <si>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</si>
  <si>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</si>
  <si>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</si>
  <si>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</si>
  <si>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</si>
  <si>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</si>
  <si>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</si>
  <si>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</si>
  <si>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Floor registers</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</si>
  <si>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</si>
  <si>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</si>
  <si>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</si>
  <si>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</si>
  <si>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</si>
  <si>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</si>
  <si>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</si>
  <si>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</si>
  <si>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</si>
  <si>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</si>
  <si>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</si>
  <si>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</si>
  <si>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</si>
  <si>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</si>
  <si>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</si>
  <si>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</si>
  <si>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</si>
  <si>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</si>
  <si>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Zoysia-pallet</t>
  </si>
  <si>
    <t>Liesure Time Zoysia-roll</t>
  </si>
  <si>
    <t>Delivery Fee</t>
  </si>
  <si>
    <t>Fence</t>
  </si>
  <si>
    <t>organic humis</t>
  </si>
  <si>
    <t>mulch</t>
  </si>
  <si>
    <t>Mulch Labor:</t>
  </si>
  <si>
    <t>Straighten landscape stones</t>
  </si>
  <si>
    <t>Mow Grass</t>
  </si>
  <si>
    <t>remove debries</t>
  </si>
  <si>
    <t>Cost/item</t>
  </si>
  <si>
    <t>Hourly Rate:</t>
  </si>
  <si>
    <t>Lowes Mailbox</t>
  </si>
  <si>
    <t>Mailbox post HD106052</t>
  </si>
  <si>
    <t>Mailbox HD 046462011291</t>
  </si>
  <si>
    <t>Crawl Plumbing</t>
  </si>
  <si>
    <t>Siding Repair</t>
  </si>
  <si>
    <t>Drainage repair</t>
  </si>
  <si>
    <t>Deck rebuild</t>
  </si>
  <si>
    <t>Masking tape</t>
  </si>
  <si>
    <t>Drop cloths</t>
  </si>
  <si>
    <t>Power wash</t>
  </si>
  <si>
    <t>Weatherproof flat cover 852944007702</t>
  </si>
  <si>
    <t>Doorbell 058219105177</t>
  </si>
  <si>
    <t>Fence Picket 090489133771</t>
  </si>
  <si>
    <t>mortgagee clause</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</si>
  <si>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</si>
  <si>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</si>
  <si>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</si>
  <si>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</si>
  <si>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</si>
  <si>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</si>
  <si>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</si>
  <si>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</si>
  <si>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</si>
  <si>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</si>
  <si>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</si>
  <si>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</si>
  <si>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</si>
  <si>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</si>
  <si>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</si>
  <si>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</si>
  <si>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</si>
  <si>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919-244-7355</t>
  </si>
  <si>
    <t>Elder Ramirez velazquez &lt;eldervelazquez@icloud.com&gt;</t>
  </si>
  <si>
    <t>Tim Fleming</t>
  </si>
  <si>
    <t>919-819-6201</t>
  </si>
  <si>
    <t>Donald - clean out</t>
  </si>
  <si>
    <t>919-210-9205</t>
  </si>
  <si>
    <t>Top Notch Garage Door - Mike</t>
  </si>
  <si>
    <t>919-255-8588</t>
  </si>
  <si>
    <t>216 Chestnut St Cary NC 27511</t>
  </si>
  <si>
    <t>Elder Flooring LLC</t>
  </si>
  <si>
    <t>Maid To Shine</t>
  </si>
  <si>
    <t>919-275-2006</t>
  </si>
  <si>
    <t>Ashley Lane  ashley@maidtoshinenc.com</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</si>
  <si>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</si>
  <si>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</si>
  <si>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</si>
  <si>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</si>
  <si>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</si>
  <si>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</si>
  <si>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</si>
  <si>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</si>
  <si>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</si>
  <si>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</si>
  <si>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HD47871096619</t>
  </si>
  <si>
    <t>Smoke Detector</t>
  </si>
  <si>
    <t>HD047871096633</t>
  </si>
  <si>
    <t>HD047871062638</t>
  </si>
  <si>
    <t>Dryer Vent Cap HD060672310234</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</si>
  <si>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</si>
  <si>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</si>
  <si>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</si>
  <si>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</si>
  <si>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</si>
  <si>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</si>
  <si>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</si>
  <si>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</si>
  <si>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</si>
  <si>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</si>
  <si>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</si>
  <si>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</si>
  <si>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</si>
  <si>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</si>
  <si>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</si>
  <si>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</si>
  <si>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HD 885612723802</t>
  </si>
  <si>
    <t>Plank Hollow Door 28x80</t>
  </si>
  <si>
    <t>HD732291242868</t>
  </si>
  <si>
    <t>Araceli Salazar - cleaning</t>
  </si>
  <si>
    <t>500 Country Ln Clayton NC 27520</t>
  </si>
  <si>
    <t>919-423-7661</t>
  </si>
  <si>
    <t xml:space="preserve">Cleaning Pre Painting </t>
  </si>
  <si>
    <t xml:space="preserve"> reversed with CO#2</t>
  </si>
  <si>
    <t>GrV Works Tree Pruning</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</si>
  <si>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</si>
  <si>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</si>
  <si>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</si>
  <si>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</si>
  <si>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</si>
  <si>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</si>
  <si>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</si>
  <si>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</si>
  <si>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</si>
  <si>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</si>
  <si>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</si>
  <si>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</si>
  <si>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</si>
  <si>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</si>
  <si>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</si>
  <si>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</si>
  <si>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</si>
  <si>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</si>
  <si>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</si>
  <si>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6512-83228</t>
  </si>
  <si>
    <t>SW SuperPaint Interior Acrylic Latex(5 Gal)</t>
  </si>
  <si>
    <t>HGSW7036 Accesable Beige</t>
  </si>
  <si>
    <t>SW7507 Stone Lion</t>
  </si>
  <si>
    <t>6512-07482</t>
  </si>
  <si>
    <t>Emerald Urethane Trim Enamel( 1 gal)</t>
  </si>
  <si>
    <t>SW7566  Westhihland White</t>
  </si>
  <si>
    <t>Deck</t>
  </si>
  <si>
    <t>Exterior Paint</t>
  </si>
  <si>
    <t>HD883351891448</t>
  </si>
  <si>
    <t>HD47871099924</t>
  </si>
  <si>
    <t>Plank Hollow Door 32x80</t>
  </si>
  <si>
    <t>Drywall</t>
  </si>
  <si>
    <t>HD34137</t>
  </si>
  <si>
    <t>Refrigerator  Removal</t>
  </si>
  <si>
    <t xml:space="preserve">Araceli Salazar </t>
  </si>
  <si>
    <t>Back Yard cleanup</t>
  </si>
  <si>
    <t>dumpster tip</t>
  </si>
  <si>
    <t>HD DW Parts Kit</t>
  </si>
  <si>
    <t>HD Range</t>
  </si>
  <si>
    <t>HD Range Cord</t>
  </si>
  <si>
    <t>HD Delivery</t>
  </si>
  <si>
    <t>Register</t>
  </si>
  <si>
    <t>Estimate from Boris</t>
  </si>
  <si>
    <t>Screen Medics Solor Screen</t>
  </si>
  <si>
    <t>Kwikset Deadbolt</t>
  </si>
  <si>
    <t>Kwikset keyed</t>
  </si>
  <si>
    <t>400AO-15S</t>
  </si>
  <si>
    <t>488AO-15</t>
  </si>
  <si>
    <t>740L-15S</t>
  </si>
  <si>
    <t>660--15S.DS</t>
  </si>
  <si>
    <t>Annualized  Return on Investment</t>
  </si>
  <si>
    <t>recording Fee</t>
  </si>
  <si>
    <t>Exterior repair</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</si>
  <si>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</si>
  <si>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</si>
  <si>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</si>
  <si>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</si>
  <si>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</si>
  <si>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</si>
  <si>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</si>
  <si>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</si>
  <si>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</si>
  <si>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</si>
  <si>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</si>
  <si>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</si>
  <si>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</si>
  <si>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</si>
  <si>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</si>
  <si>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</si>
  <si>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</si>
  <si>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</si>
  <si>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</si>
  <si>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</si>
  <si>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</si>
  <si>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</si>
  <si>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</si>
  <si>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</si>
  <si>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</si>
  <si>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</si>
  <si>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(919) 591-7773</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</si>
  <si>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</si>
  <si>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</si>
  <si>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</si>
  <si>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</si>
  <si>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</si>
  <si>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</si>
  <si>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</si>
  <si>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</si>
  <si>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</si>
  <si>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</si>
  <si>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</si>
  <si>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</si>
  <si>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</si>
  <si>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</si>
  <si>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</si>
  <si>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</si>
  <si>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</si>
  <si>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</si>
  <si>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</si>
  <si>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</si>
  <si>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</si>
  <si>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</si>
  <si>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</si>
  <si>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</si>
  <si>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</si>
  <si>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</si>
  <si>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</si>
  <si>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</si>
  <si>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</si>
  <si>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</si>
  <si>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</si>
  <si>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</si>
  <si>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</si>
  <si>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</si>
  <si>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</si>
  <si>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</si>
  <si>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</si>
  <si>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</si>
  <si>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</si>
  <si>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</si>
  <si>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</si>
  <si>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</si>
  <si>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</si>
  <si>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</si>
  <si>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</si>
  <si>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</si>
  <si>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</si>
  <si>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</si>
  <si>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</si>
  <si>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</si>
  <si>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</si>
  <si>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</si>
  <si>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</si>
  <si>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</si>
  <si>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</si>
  <si>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</si>
  <si>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</si>
  <si>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</si>
  <si>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</si>
  <si>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2325 Cool Springs Rd</t>
  </si>
  <si>
    <t>Interest only:</t>
  </si>
  <si>
    <t>Refinance:</t>
  </si>
  <si>
    <t>Property Taxes</t>
  </si>
  <si>
    <t>Points added to Financing:</t>
  </si>
  <si>
    <t>Profit  for Required  5 year Note:</t>
  </si>
  <si>
    <t>garage door</t>
  </si>
  <si>
    <t>Above ARV:</t>
  </si>
  <si>
    <t>Trueheart</t>
  </si>
  <si>
    <t>1st Year Insurance</t>
  </si>
  <si>
    <t>1st Year Property Tax</t>
  </si>
  <si>
    <t>County</t>
  </si>
  <si>
    <t>Binder Deposit:</t>
  </si>
  <si>
    <t>Purchase Down Payment:</t>
  </si>
  <si>
    <t>Purchase Price:</t>
  </si>
  <si>
    <t>Property Tax Bill:</t>
  </si>
  <si>
    <t>Tax Escrow:</t>
  </si>
  <si>
    <t>Property Insurance:</t>
  </si>
  <si>
    <t>HOA:</t>
  </si>
  <si>
    <t>Seller</t>
  </si>
  <si>
    <t>Address</t>
  </si>
  <si>
    <t>Monthly Payment</t>
  </si>
  <si>
    <t>Buyer</t>
  </si>
  <si>
    <t>City-State</t>
  </si>
  <si>
    <t>Trust</t>
  </si>
  <si>
    <t>Trust Date</t>
  </si>
  <si>
    <t>Manger</t>
  </si>
  <si>
    <t>Base Int Rate</t>
  </si>
  <si>
    <t>Evelyn Gonzalez</t>
  </si>
  <si>
    <t>SS#: 611-88-7142</t>
  </si>
  <si>
    <t>Ameris Bank</t>
  </si>
  <si>
    <t>855 249 8131</t>
  </si>
  <si>
    <t>1487557223</t>
  </si>
  <si>
    <t>Custserve@YourMortgageonline.com</t>
  </si>
  <si>
    <t>Authorization sent on 10/17/24</t>
  </si>
  <si>
    <t>AmerisBank.yourmortgageonline.com</t>
  </si>
  <si>
    <t>Javitony21!</t>
  </si>
  <si>
    <t>Eveyyyy4</t>
  </si>
  <si>
    <t>5200096877</t>
  </si>
  <si>
    <t>Planet  Home Lending</t>
  </si>
  <si>
    <t>CoolSprings</t>
  </si>
  <si>
    <t>https://loansphereservicingdigital.bkiconnect.com/planetservicing/#/login</t>
  </si>
  <si>
    <t>Hutchenson</t>
  </si>
  <si>
    <t>Lisa Norris</t>
  </si>
  <si>
    <t>Sanford, NC 27330</t>
  </si>
  <si>
    <t>Buy</t>
  </si>
  <si>
    <t>Thomas</t>
  </si>
  <si>
    <t>Shorb</t>
  </si>
  <si>
    <t>Lee</t>
  </si>
  <si>
    <t>Wes Browning</t>
  </si>
  <si>
    <t>Sept 5,</t>
  </si>
  <si>
    <t>Doc Year</t>
  </si>
  <si>
    <t>Your Home, LLC</t>
  </si>
  <si>
    <t>Principal&amp;Interst:</t>
  </si>
  <si>
    <t>TermYears</t>
  </si>
  <si>
    <t>TermMonths</t>
  </si>
  <si>
    <t>There is an existing Deed of Trust representing a lien on title recorded at Book 1643, Page 609, Lee County Register of Deeds from Evelyn Gonzalez to John F. Wible, PA, Trustee for Ameris Bank. This Deed of Trust was subject to pending foreclosure and has been reinstated.</t>
  </si>
  <si>
    <t>Adverse Conditions</t>
  </si>
  <si>
    <t>Legal Description</t>
  </si>
  <si>
    <t>0.469 Acres Cool Springs Rd Wst</t>
  </si>
  <si>
    <t>Sellers Residence1</t>
  </si>
  <si>
    <t>Sellers Residence2</t>
  </si>
  <si>
    <t>2901 Kendale Dr.</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</si>
  <si>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</si>
  <si>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</si>
  <si>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</si>
  <si>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</si>
  <si>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</si>
  <si>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</si>
  <si>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</si>
  <si>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</si>
  <si>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</si>
  <si>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</si>
  <si>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</si>
  <si>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</si>
  <si>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</si>
  <si>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</si>
  <si>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</si>
  <si>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</si>
  <si>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</si>
  <si>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</si>
  <si>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</si>
  <si>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</si>
  <si>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</si>
  <si>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</si>
  <si>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</si>
  <si>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</si>
  <si>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</si>
  <si>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</si>
  <si>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</si>
  <si>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Term1</t>
  </si>
  <si>
    <t>Term2</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</si>
  <si>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</si>
  <si>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</si>
  <si>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</si>
  <si>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</si>
  <si>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</si>
  <si>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</si>
  <si>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</si>
  <si>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</si>
  <si>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</si>
  <si>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</si>
  <si>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</si>
  <si>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</si>
  <si>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</si>
  <si>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9634-60-6913-00</t>
  </si>
  <si>
    <t>Interest rate2</t>
  </si>
  <si>
    <t>Interest rate1</t>
  </si>
  <si>
    <t>Gross Profit:</t>
  </si>
  <si>
    <t>Principal&amp;Interst2</t>
  </si>
  <si>
    <t>Binder Deposit</t>
  </si>
  <si>
    <t>Purchase Down Payment</t>
  </si>
  <si>
    <t>Loan Amount</t>
  </si>
  <si>
    <t>Purchase Price</t>
  </si>
  <si>
    <t>Property Tax Bill</t>
  </si>
  <si>
    <t>Principal&amp;Interst</t>
  </si>
  <si>
    <t>Tax Escrow</t>
  </si>
  <si>
    <t>Autopay thru lender website paying from FC HM</t>
  </si>
  <si>
    <t>w3638B0$</t>
  </si>
  <si>
    <t>Duke Electric</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</si>
  <si>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</si>
  <si>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</si>
  <si>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</si>
  <si>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</si>
  <si>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</si>
  <si>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</si>
  <si>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</si>
  <si>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</si>
  <si>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</si>
  <si>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</si>
  <si>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</si>
  <si>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</si>
  <si>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</si>
  <si>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</si>
  <si>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</si>
  <si>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</si>
  <si>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Rewrite\sources\all-project-workbooks\23_Project Management - 2325 Cool Springs Rd 4 - Original.xlsm</t>
  </si>
  <si>
    <t>Original Carrying row 5; source label Electric</t>
  </si>
  <si>
    <t>Original Carrying row 6; source label Electric</t>
  </si>
  <si>
    <t>Original Carrying row 7; source label Electric</t>
  </si>
  <si>
    <t>Original Carrying row 8; source label Electric</t>
  </si>
  <si>
    <t>Original Carrying row 9; source label Electric</t>
  </si>
  <si>
    <t>Original Carrying row 10; source label Electric</t>
  </si>
  <si>
    <t>Original Carrying row 11; source label Electric</t>
  </si>
  <si>
    <t>Original Carrying row 12; source label Electric</t>
  </si>
  <si>
    <t>Original Carrying row 13; source label Electric</t>
  </si>
  <si>
    <t>Original Carrying row 14; source label Electric</t>
  </si>
  <si>
    <t>Original Carrying row 15; source label Electric</t>
  </si>
  <si>
    <t>Original Carrying row 16; source label Electric</t>
  </si>
  <si>
    <t>Original Carrying row 17; source label Electric</t>
  </si>
  <si>
    <t>Original Carrying row 18; source label Electric</t>
  </si>
  <si>
    <t>Original Carrying row 19; source label Electric</t>
  </si>
  <si>
    <t>Original Carrying row 20; source label Electric</t>
  </si>
  <si>
    <t>Original Carrying row 21; source label Electric</t>
  </si>
  <si>
    <t>Original Carrying row 22; source label Electric</t>
  </si>
  <si>
    <t>Original Carrying row 23; source label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</si>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</sst>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s>
  <fonts count="50"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sz val="11"/>
      <color theme="1"/>
      <name val="Arial"/>
      <family val="2"/>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9"/>
      <color rgb="FFEA6E0D"/>
      <name val="Arial"/>
      <family val="2"/>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b/>
      <sz val="12"/>
      <color theme="1"/>
      <name val="Calibri"/>
      <family val="2"/>
      <scheme val="minor"/>
    </font>
  </fonts>
  <fills count="3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s>
  <borders count="63">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s>
  <cellStyleXfs count="15">
    <xf numFmtId="0" fontId="0" fillId="0" borderId="0"/>
    <xf numFmtId="0" fontId="2" fillId="0" borderId="0" applyNumberFormat="0" applyFill="0" applyBorder="0" applyAlignment="0" applyProtection="0"/>
    <xf numFmtId="0" fontId="7" fillId="0" borderId="16" applyNumberFormat="0" applyFill="0" applyAlignment="0" applyProtection="0"/>
    <xf numFmtId="0" fontId="8" fillId="0" borderId="17" applyNumberFormat="0" applyFill="0" applyAlignment="0" applyProtection="0"/>
    <xf numFmtId="0" fontId="8" fillId="0" borderId="0" applyNumberFormat="0" applyFill="0" applyBorder="0" applyAlignment="0" applyProtection="0"/>
    <xf numFmtId="0" fontId="9" fillId="0" borderId="0"/>
    <xf numFmtId="14" fontId="10" fillId="0" borderId="0" applyFill="0" applyBorder="0">
      <alignment horizontal="center" vertical="center"/>
    </xf>
    <xf numFmtId="0" fontId="11" fillId="6" borderId="0" applyNumberFormat="0" applyBorder="0" applyAlignment="0" applyProtection="0"/>
    <xf numFmtId="0" fontId="12" fillId="7" borderId="0" applyNumberFormat="0" applyBorder="0" applyAlignment="0" applyProtection="0"/>
    <xf numFmtId="14" fontId="11" fillId="6" borderId="0" applyBorder="0" applyAlignment="0" applyProtection="0"/>
    <xf numFmtId="0" fontId="12" fillId="7" borderId="0" applyBorder="0" applyAlignment="0" applyProtection="0"/>
    <xf numFmtId="0" fontId="9" fillId="8" borderId="0" applyBorder="0" applyAlignment="0" applyProtection="0"/>
    <xf numFmtId="0" fontId="17" fillId="10" borderId="0" applyNumberFormat="0" applyBorder="0" applyAlignment="0" applyProtection="0"/>
    <xf numFmtId="43" fontId="3" fillId="0" borderId="0" applyFont="0" applyFill="0" applyBorder="0" applyAlignment="0" applyProtection="0"/>
    <xf numFmtId="0" fontId="42" fillId="0" borderId="0"/>
  </cellStyleXfs>
  <cellXfs count="838">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6" fillId="0" borderId="0" xfId="0" applyFont="1"/>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5" fillId="0" borderId="0" xfId="0" applyFont="1"/>
    <xf numFmtId="0" fontId="15" fillId="0" borderId="0" xfId="0" applyFont="1" applyAlignment="1">
      <alignment horizontal="right"/>
    </xf>
    <xf numFmtId="0" fontId="16" fillId="0" borderId="0" xfId="0" applyFont="1" applyAlignment="1">
      <alignment horizontal="right"/>
    </xf>
    <xf numFmtId="0" fontId="0" fillId="0" borderId="0" xfId="0" applyAlignment="1">
      <alignment vertical="center"/>
    </xf>
    <xf numFmtId="2" fontId="19" fillId="0" borderId="0" xfId="12" applyNumberFormat="1" applyFont="1" applyFill="1" applyAlignment="1">
      <alignment horizontal="center" vertical="center"/>
    </xf>
    <xf numFmtId="43" fontId="9" fillId="11" borderId="0" xfId="13" applyFont="1" applyFill="1" applyAlignment="1">
      <alignment horizontal="right" vertical="center"/>
    </xf>
    <xf numFmtId="0" fontId="21" fillId="0" borderId="0" xfId="0" applyFont="1" applyAlignment="1">
      <alignment horizontal="right"/>
    </xf>
    <xf numFmtId="0" fontId="22" fillId="0" borderId="0" xfId="0" applyFont="1" applyAlignment="1">
      <alignment horizontal="right"/>
    </xf>
    <xf numFmtId="0" fontId="5" fillId="0" borderId="0" xfId="0" applyFont="1" applyAlignment="1">
      <alignment horizontal="right"/>
    </xf>
    <xf numFmtId="49" fontId="23" fillId="0" borderId="0" xfId="0" applyNumberFormat="1" applyFont="1" applyAlignment="1">
      <alignment horizontal="right"/>
    </xf>
    <xf numFmtId="0" fontId="24"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4" fillId="3" borderId="0" xfId="0" applyNumberFormat="1" applyFont="1" applyFill="1" applyAlignment="1">
      <alignment vertical="top"/>
    </xf>
    <xf numFmtId="49" fontId="24" fillId="11" borderId="0" xfId="0" applyNumberFormat="1" applyFont="1" applyFill="1" applyAlignment="1">
      <alignment vertical="top"/>
    </xf>
    <xf numFmtId="1" fontId="24" fillId="11" borderId="0" xfId="0" applyNumberFormat="1" applyFont="1" applyFill="1" applyAlignment="1">
      <alignment vertical="top"/>
    </xf>
    <xf numFmtId="4" fontId="24"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5"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8" fillId="0" borderId="18" xfId="4" applyNumberFormat="1" applyBorder="1" applyAlignment="1">
      <alignment horizontal="center" vertical="top"/>
    </xf>
    <xf numFmtId="0" fontId="1" fillId="0" borderId="0" xfId="0" applyFont="1" applyAlignment="1">
      <alignment horizontal="center" wrapText="1"/>
    </xf>
    <xf numFmtId="1" fontId="24" fillId="14" borderId="0" xfId="0" applyNumberFormat="1" applyFont="1" applyFill="1" applyAlignment="1">
      <alignment vertical="top"/>
    </xf>
    <xf numFmtId="4" fontId="24" fillId="3" borderId="0" xfId="0" applyNumberFormat="1" applyFont="1" applyFill="1" applyAlignment="1">
      <alignment vertical="top"/>
    </xf>
    <xf numFmtId="1" fontId="24" fillId="0" borderId="0" xfId="0" applyNumberFormat="1" applyFont="1" applyAlignment="1">
      <alignment horizontal="center" vertical="top"/>
    </xf>
    <xf numFmtId="4" fontId="24" fillId="0" borderId="0" xfId="0" applyNumberFormat="1" applyFont="1" applyAlignment="1">
      <alignment horizontal="center" vertical="top"/>
    </xf>
    <xf numFmtId="0" fontId="32" fillId="0" borderId="0" xfId="3" applyFont="1" applyBorder="1" applyAlignment="1">
      <alignment horizontal="right" vertical="center" indent="1"/>
    </xf>
    <xf numFmtId="1" fontId="13"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9" fillId="0" borderId="0" xfId="5"/>
    <xf numFmtId="1" fontId="9" fillId="0" borderId="0" xfId="5" applyNumberFormat="1"/>
    <xf numFmtId="0" fontId="18" fillId="0" borderId="0" xfId="5" applyFont="1" applyAlignment="1">
      <alignment horizontal="center"/>
    </xf>
    <xf numFmtId="0" fontId="18" fillId="0" borderId="0" xfId="3" applyFont="1" applyBorder="1" applyAlignment="1" applyProtection="1">
      <alignment horizontal="right" vertical="center" wrapText="1" indent="1"/>
    </xf>
    <xf numFmtId="0" fontId="9" fillId="5" borderId="0" xfId="0" applyFont="1" applyFill="1" applyAlignment="1">
      <alignment horizontal="center" wrapText="1"/>
    </xf>
    <xf numFmtId="1" fontId="9" fillId="5" borderId="0" xfId="0" applyNumberFormat="1" applyFont="1" applyFill="1" applyAlignment="1">
      <alignment horizontal="center" wrapText="1"/>
    </xf>
    <xf numFmtId="0" fontId="18" fillId="5" borderId="0" xfId="0" applyFont="1" applyFill="1" applyAlignment="1">
      <alignment horizontal="center" wrapText="1"/>
    </xf>
    <xf numFmtId="0" fontId="27" fillId="5" borderId="0" xfId="0" applyFont="1" applyFill="1" applyAlignment="1">
      <alignment horizontal="center" wrapText="1"/>
    </xf>
    <xf numFmtId="2" fontId="9" fillId="5" borderId="0" xfId="0" applyNumberFormat="1" applyFont="1" applyFill="1" applyAlignment="1">
      <alignment horizontal="center" wrapText="1"/>
    </xf>
    <xf numFmtId="169" fontId="9"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3"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9" fillId="0" borderId="0" xfId="12" applyNumberFormat="1" applyFont="1" applyFill="1" applyAlignment="1" applyProtection="1">
      <alignment horizontal="left" vertical="center"/>
    </xf>
    <xf numFmtId="2" fontId="19" fillId="0" borderId="0" xfId="12" applyNumberFormat="1" applyFont="1" applyFill="1" applyAlignment="1" applyProtection="1">
      <alignment horizontal="right" vertical="center"/>
    </xf>
    <xf numFmtId="2" fontId="19" fillId="0" borderId="0" xfId="12" applyNumberFormat="1" applyFont="1" applyFill="1" applyAlignment="1" applyProtection="1">
      <alignment horizontal="center" vertical="center"/>
    </xf>
    <xf numFmtId="2" fontId="20" fillId="0" borderId="0" xfId="0" applyNumberFormat="1" applyFont="1" applyAlignment="1">
      <alignment horizontal="center" vertical="center"/>
    </xf>
    <xf numFmtId="1" fontId="19" fillId="0" borderId="0" xfId="12" applyNumberFormat="1" applyFont="1" applyFill="1" applyAlignment="1" applyProtection="1">
      <alignment horizontal="center" vertical="center"/>
    </xf>
    <xf numFmtId="169" fontId="19" fillId="0" borderId="0" xfId="12" applyNumberFormat="1" applyFont="1" applyFill="1" applyAlignment="1" applyProtection="1">
      <alignment horizontal="center" vertical="center"/>
    </xf>
    <xf numFmtId="2" fontId="9" fillId="11" borderId="0" xfId="12" applyNumberFormat="1" applyFont="1" applyFill="1" applyBorder="1" applyAlignment="1" applyProtection="1">
      <alignment horizontal="left" vertical="center"/>
    </xf>
    <xf numFmtId="1" fontId="9" fillId="11" borderId="0" xfId="12" applyNumberFormat="1" applyFont="1" applyFill="1" applyAlignment="1" applyProtection="1">
      <alignment horizontal="right" vertical="center"/>
    </xf>
    <xf numFmtId="2" fontId="18" fillId="11" borderId="0" xfId="12" applyNumberFormat="1" applyFont="1" applyFill="1" applyBorder="1" applyAlignment="1" applyProtection="1">
      <alignment horizontal="center" vertical="center"/>
    </xf>
    <xf numFmtId="2" fontId="9" fillId="11" borderId="0" xfId="12" applyNumberFormat="1" applyFont="1" applyFill="1" applyAlignment="1" applyProtection="1">
      <alignment horizontal="left" vertical="center"/>
    </xf>
    <xf numFmtId="2" fontId="18" fillId="11" borderId="0" xfId="12" applyNumberFormat="1" applyFont="1" applyFill="1" applyAlignment="1" applyProtection="1">
      <alignment horizontal="left" vertical="center"/>
    </xf>
    <xf numFmtId="1" fontId="18" fillId="11" borderId="0" xfId="12" applyNumberFormat="1" applyFont="1" applyFill="1" applyAlignment="1" applyProtection="1">
      <alignment horizontal="right" vertical="center"/>
    </xf>
    <xf numFmtId="2" fontId="9" fillId="11" borderId="0" xfId="13" applyNumberFormat="1" applyFont="1" applyFill="1" applyAlignment="1" applyProtection="1">
      <alignment horizontal="right" vertical="center"/>
    </xf>
    <xf numFmtId="43" fontId="9" fillId="11" borderId="0" xfId="13" applyFont="1" applyFill="1" applyAlignment="1" applyProtection="1">
      <alignment horizontal="right" vertical="center"/>
    </xf>
    <xf numFmtId="169" fontId="9" fillId="11" borderId="0" xfId="13" applyNumberFormat="1" applyFont="1" applyFill="1" applyAlignment="1" applyProtection="1">
      <alignment horizontal="right" vertical="center"/>
    </xf>
    <xf numFmtId="2" fontId="13" fillId="0" borderId="0" xfId="0" applyNumberFormat="1" applyFont="1" applyAlignment="1">
      <alignment horizontal="center" vertical="center"/>
    </xf>
    <xf numFmtId="1" fontId="13" fillId="0" borderId="0" xfId="0" applyNumberFormat="1" applyFont="1" applyAlignment="1">
      <alignment horizontal="center" vertical="center"/>
    </xf>
    <xf numFmtId="169" fontId="13" fillId="0" borderId="0" xfId="0" applyNumberFormat="1" applyFont="1" applyAlignment="1">
      <alignment horizontal="center" vertical="center"/>
    </xf>
    <xf numFmtId="167" fontId="0" fillId="0" borderId="0" xfId="0" applyNumberFormat="1" applyProtection="1">
      <protection locked="0"/>
    </xf>
    <xf numFmtId="0" fontId="13" fillId="0" borderId="0" xfId="0" applyFont="1" applyAlignment="1" applyProtection="1">
      <alignment horizontal="center" wrapText="1"/>
      <protection locked="0"/>
    </xf>
    <xf numFmtId="1" fontId="13" fillId="0" borderId="0" xfId="0" applyNumberFormat="1" applyFont="1" applyAlignment="1" applyProtection="1">
      <alignment horizontal="center" wrapText="1"/>
      <protection locked="0"/>
    </xf>
    <xf numFmtId="2" fontId="13" fillId="0" borderId="0" xfId="0" applyNumberFormat="1" applyFont="1" applyAlignment="1" applyProtection="1">
      <alignment horizontal="center" wrapText="1"/>
      <protection locked="0"/>
    </xf>
    <xf numFmtId="2" fontId="0" fillId="0" borderId="0" xfId="0" applyNumberFormat="1" applyProtection="1">
      <protection locked="0"/>
    </xf>
    <xf numFmtId="164" fontId="15" fillId="0" borderId="0" xfId="0" applyNumberFormat="1" applyFont="1"/>
    <xf numFmtId="164" fontId="16" fillId="0" borderId="2" xfId="0" applyNumberFormat="1" applyFont="1" applyBorder="1" applyAlignment="1">
      <alignment horizontal="left"/>
    </xf>
    <xf numFmtId="0" fontId="15" fillId="0" borderId="9" xfId="0" applyFont="1" applyBorder="1"/>
    <xf numFmtId="0" fontId="16" fillId="0" borderId="6" xfId="0" applyFont="1" applyBorder="1" applyAlignment="1">
      <alignment horizontal="center"/>
    </xf>
    <xf numFmtId="0" fontId="16" fillId="0" borderId="0" xfId="0" applyFont="1" applyAlignment="1">
      <alignment horizontal="center"/>
    </xf>
    <xf numFmtId="164" fontId="15" fillId="0" borderId="8" xfId="0" applyNumberFormat="1" applyFont="1" applyBorder="1"/>
    <xf numFmtId="164" fontId="16" fillId="0" borderId="0" xfId="0" applyNumberFormat="1" applyFont="1" applyAlignment="1">
      <alignment horizontal="right"/>
    </xf>
    <xf numFmtId="0" fontId="16" fillId="0" borderId="15" xfId="0" applyFont="1" applyBorder="1" applyAlignment="1">
      <alignment horizontal="right"/>
    </xf>
    <xf numFmtId="0" fontId="16" fillId="0" borderId="13" xfId="0" applyFont="1" applyBorder="1" applyAlignment="1">
      <alignment horizontal="center"/>
    </xf>
    <xf numFmtId="164" fontId="15" fillId="0" borderId="13" xfId="0" applyNumberFormat="1" applyFont="1" applyBorder="1"/>
    <xf numFmtId="0" fontId="15" fillId="0" borderId="2" xfId="0" applyFont="1" applyBorder="1"/>
    <xf numFmtId="0" fontId="15" fillId="0" borderId="2" xfId="0" applyFont="1" applyBorder="1" applyAlignment="1">
      <alignment horizontal="right"/>
    </xf>
    <xf numFmtId="164" fontId="15" fillId="0" borderId="3" xfId="0" applyNumberFormat="1" applyFont="1" applyBorder="1"/>
    <xf numFmtId="0" fontId="15" fillId="0" borderId="5" xfId="0" applyFont="1" applyBorder="1"/>
    <xf numFmtId="0" fontId="15" fillId="0" borderId="4" xfId="0" applyFont="1" applyBorder="1" applyAlignment="1">
      <alignment horizontal="right"/>
    </xf>
    <xf numFmtId="164" fontId="15" fillId="0" borderId="5" xfId="0" applyNumberFormat="1" applyFont="1" applyBorder="1"/>
    <xf numFmtId="3" fontId="16" fillId="3" borderId="0" xfId="0" applyNumberFormat="1" applyFont="1" applyFill="1"/>
    <xf numFmtId="164" fontId="16" fillId="3" borderId="30" xfId="0" applyNumberFormat="1" applyFont="1" applyFill="1" applyBorder="1"/>
    <xf numFmtId="164" fontId="16" fillId="3" borderId="31" xfId="0" applyNumberFormat="1" applyFont="1" applyFill="1" applyBorder="1"/>
    <xf numFmtId="0" fontId="15" fillId="0" borderId="13" xfId="0" applyFont="1" applyBorder="1" applyAlignment="1">
      <alignment horizontal="right"/>
    </xf>
    <xf numFmtId="9" fontId="15" fillId="2" borderId="29" xfId="0" applyNumberFormat="1" applyFont="1" applyFill="1" applyBorder="1" applyAlignment="1">
      <alignment horizontal="left"/>
    </xf>
    <xf numFmtId="0" fontId="16" fillId="0" borderId="13" xfId="0" applyFont="1" applyBorder="1" applyAlignment="1">
      <alignment horizontal="center" vertical="center"/>
    </xf>
    <xf numFmtId="164" fontId="16" fillId="3" borderId="14" xfId="0" applyNumberFormat="1" applyFont="1" applyFill="1" applyBorder="1"/>
    <xf numFmtId="49" fontId="0" fillId="0" borderId="0" xfId="0" applyNumberFormat="1"/>
    <xf numFmtId="0" fontId="15" fillId="9" borderId="0" xfId="0" applyFont="1" applyFill="1" applyAlignment="1">
      <alignment horizontal="right"/>
    </xf>
    <xf numFmtId="0" fontId="35" fillId="0" borderId="0" xfId="0" applyFont="1" applyAlignment="1">
      <alignment horizontal="right"/>
    </xf>
    <xf numFmtId="165" fontId="35" fillId="4" borderId="0" xfId="0" applyNumberFormat="1" applyFont="1" applyFill="1" applyAlignment="1">
      <alignment horizontal="right"/>
    </xf>
    <xf numFmtId="3" fontId="15" fillId="0" borderId="0" xfId="0" applyNumberFormat="1" applyFont="1"/>
    <xf numFmtId="164" fontId="16" fillId="3" borderId="0" xfId="0" applyNumberFormat="1" applyFont="1" applyFill="1"/>
    <xf numFmtId="0" fontId="15" fillId="3" borderId="0" xfId="0" applyFont="1" applyFill="1" applyAlignment="1">
      <alignment horizontal="right"/>
    </xf>
    <xf numFmtId="164" fontId="15" fillId="3" borderId="0" xfId="0" applyNumberFormat="1" applyFont="1" applyFill="1"/>
    <xf numFmtId="164" fontId="16" fillId="3" borderId="4" xfId="0" applyNumberFormat="1" applyFont="1" applyFill="1" applyBorder="1"/>
    <xf numFmtId="0" fontId="15" fillId="0" borderId="41" xfId="0" applyFont="1" applyBorder="1"/>
    <xf numFmtId="164" fontId="15" fillId="3" borderId="5" xfId="0" applyNumberFormat="1" applyFont="1" applyFill="1" applyBorder="1"/>
    <xf numFmtId="3" fontId="15"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5"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9" fillId="0" borderId="2" xfId="5" applyBorder="1"/>
    <xf numFmtId="1" fontId="9" fillId="0" borderId="9" xfId="5" applyNumberFormat="1" applyBorder="1"/>
    <xf numFmtId="0" fontId="18" fillId="0" borderId="9" xfId="5" applyFont="1" applyBorder="1" applyAlignment="1">
      <alignment horizontal="center"/>
    </xf>
    <xf numFmtId="0" fontId="9"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9" fillId="0" borderId="6" xfId="5" applyBorder="1" applyAlignment="1">
      <alignment wrapText="1"/>
    </xf>
    <xf numFmtId="1" fontId="9" fillId="0" borderId="1" xfId="5" applyNumberFormat="1" applyBorder="1" applyAlignment="1">
      <alignment wrapText="1"/>
    </xf>
    <xf numFmtId="0" fontId="18" fillId="0" borderId="1" xfId="5" applyFont="1" applyBorder="1" applyAlignment="1">
      <alignment horizontal="center" wrapText="1"/>
    </xf>
    <xf numFmtId="0" fontId="9" fillId="0" borderId="1" xfId="5" applyBorder="1" applyAlignment="1">
      <alignment wrapText="1"/>
    </xf>
    <xf numFmtId="0" fontId="18"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5" fillId="2" borderId="38" xfId="0" applyNumberFormat="1" applyFont="1" applyFill="1" applyBorder="1"/>
    <xf numFmtId="0" fontId="15" fillId="9" borderId="29" xfId="0" applyFont="1" applyFill="1" applyBorder="1"/>
    <xf numFmtId="16" fontId="0" fillId="0" borderId="0" xfId="0" applyNumberFormat="1"/>
    <xf numFmtId="164" fontId="16"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8"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5" fillId="2" borderId="4" xfId="0" applyNumberFormat="1" applyFont="1" applyFill="1" applyBorder="1"/>
    <xf numFmtId="3" fontId="15" fillId="2" borderId="5" xfId="0" applyNumberFormat="1" applyFont="1" applyFill="1" applyBorder="1"/>
    <xf numFmtId="3" fontId="1" fillId="9" borderId="45" xfId="0" applyNumberFormat="1" applyFont="1" applyFill="1" applyBorder="1" applyAlignment="1">
      <alignment horizontal="right"/>
    </xf>
    <xf numFmtId="1" fontId="35" fillId="19" borderId="34" xfId="0" applyNumberFormat="1" applyFont="1" applyFill="1" applyBorder="1" applyAlignment="1">
      <alignment horizontal="right"/>
    </xf>
    <xf numFmtId="165" fontId="35" fillId="4" borderId="7" xfId="0" applyNumberFormat="1" applyFont="1" applyFill="1" applyBorder="1" applyAlignment="1">
      <alignment horizontal="right"/>
    </xf>
    <xf numFmtId="0" fontId="39"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6" fillId="3" borderId="2" xfId="0" applyNumberFormat="1" applyFont="1" applyFill="1" applyBorder="1"/>
    <xf numFmtId="3" fontId="15"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6" fillId="9" borderId="0" xfId="0" applyNumberFormat="1" applyFont="1" applyFill="1"/>
    <xf numFmtId="9" fontId="34" fillId="2" borderId="4" xfId="0" applyNumberFormat="1" applyFont="1" applyFill="1" applyBorder="1"/>
    <xf numFmtId="164" fontId="34" fillId="2" borderId="5" xfId="0" applyNumberFormat="1" applyFont="1" applyFill="1" applyBorder="1"/>
    <xf numFmtId="18" fontId="0" fillId="0" borderId="0" xfId="0" applyNumberFormat="1"/>
    <xf numFmtId="0" fontId="36" fillId="0" borderId="0" xfId="0" applyFont="1" applyAlignment="1">
      <alignment horizontal="right" vertical="center"/>
    </xf>
    <xf numFmtId="0" fontId="38" fillId="0" borderId="0" xfId="0" applyFont="1" applyAlignment="1">
      <alignment horizontal="right" vertical="center"/>
    </xf>
    <xf numFmtId="0" fontId="37" fillId="0" borderId="0" xfId="0" applyFont="1" applyAlignment="1">
      <alignment horizontal="right" vertical="center"/>
    </xf>
    <xf numFmtId="0" fontId="2" fillId="0" borderId="0" xfId="1" applyAlignment="1">
      <alignment horizontal="right"/>
    </xf>
    <xf numFmtId="0" fontId="36" fillId="0" borderId="0" xfId="0" applyFont="1" applyAlignment="1">
      <alignment horizontal="right" vertical="center" wrapText="1"/>
    </xf>
    <xf numFmtId="0" fontId="38" fillId="0" borderId="0" xfId="0" applyFont="1" applyAlignment="1">
      <alignment horizontal="right" vertical="center" wrapText="1"/>
    </xf>
    <xf numFmtId="0" fontId="37" fillId="0" borderId="0" xfId="0" applyFont="1" applyAlignment="1">
      <alignment horizontal="right" vertical="center" wrapText="1"/>
    </xf>
    <xf numFmtId="0" fontId="2" fillId="0" borderId="0" xfId="1" applyAlignment="1">
      <alignment horizontal="right" vertical="center" wrapText="1"/>
    </xf>
    <xf numFmtId="1" fontId="39"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5"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4"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41" fillId="2" borderId="4" xfId="0" applyFont="1" applyFill="1" applyBorder="1"/>
    <xf numFmtId="0" fontId="1" fillId="2" borderId="3" xfId="0" applyFont="1" applyFill="1" applyBorder="1" applyAlignment="1">
      <alignment horizontal="left"/>
    </xf>
    <xf numFmtId="0" fontId="41" fillId="2" borderId="2" xfId="0" applyFont="1" applyFill="1" applyBorder="1"/>
    <xf numFmtId="0" fontId="1" fillId="2" borderId="5" xfId="0" applyFont="1" applyFill="1" applyBorder="1" applyAlignment="1">
      <alignment horizontal="left"/>
    </xf>
    <xf numFmtId="49" fontId="24" fillId="0" borderId="0" xfId="14" applyNumberFormat="1" applyFont="1" applyAlignment="1">
      <alignment vertical="top"/>
    </xf>
    <xf numFmtId="169" fontId="13"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4" fillId="0" borderId="0" xfId="0" applyNumberFormat="1" applyFont="1" applyAlignment="1">
      <alignment vertical="top"/>
    </xf>
    <xf numFmtId="170" fontId="0" fillId="0" borderId="0" xfId="0" applyNumberFormat="1"/>
    <xf numFmtId="1" fontId="24" fillId="16" borderId="0" xfId="0" applyNumberFormat="1" applyFont="1" applyFill="1" applyAlignment="1">
      <alignment vertical="top"/>
    </xf>
    <xf numFmtId="4" fontId="24" fillId="16" borderId="0" xfId="0" applyNumberFormat="1" applyFont="1" applyFill="1" applyAlignment="1">
      <alignment vertical="top"/>
    </xf>
    <xf numFmtId="171" fontId="34" fillId="2" borderId="4" xfId="0" applyNumberFormat="1" applyFont="1" applyFill="1" applyBorder="1"/>
    <xf numFmtId="0" fontId="43"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8" fillId="11" borderId="45" xfId="0" applyNumberFormat="1" applyFont="1" applyFill="1" applyBorder="1"/>
    <xf numFmtId="3" fontId="1" fillId="3" borderId="45" xfId="0" applyNumberFormat="1" applyFont="1" applyFill="1" applyBorder="1"/>
    <xf numFmtId="0" fontId="44" fillId="0" borderId="0" xfId="0" applyFont="1"/>
    <xf numFmtId="167" fontId="0" fillId="0" borderId="0" xfId="0" applyNumberFormat="1"/>
    <xf numFmtId="170" fontId="13"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4" fillId="16" borderId="0" xfId="14" applyNumberFormat="1" applyFont="1" applyFill="1" applyAlignment="1">
      <alignment vertical="top"/>
    </xf>
    <xf numFmtId="4" fontId="24"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5" fillId="0" borderId="0" xfId="0" applyNumberFormat="1" applyFont="1"/>
    <xf numFmtId="0" fontId="0" fillId="9" borderId="0" xfId="0" applyFill="1" applyProtection="1">
      <protection locked="0"/>
    </xf>
    <xf numFmtId="0" fontId="31"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5" fillId="0" borderId="0" xfId="0" applyNumberFormat="1" applyFont="1" applyAlignment="1">
      <alignment vertical="top"/>
    </xf>
    <xf numFmtId="1" fontId="45" fillId="16" borderId="0" xfId="0" applyNumberFormat="1" applyFont="1" applyFill="1" applyAlignment="1">
      <alignment vertical="top"/>
    </xf>
    <xf numFmtId="4" fontId="45" fillId="16" borderId="0" xfId="0" applyNumberFormat="1" applyFont="1" applyFill="1" applyAlignment="1">
      <alignment vertical="top"/>
    </xf>
    <xf numFmtId="0" fontId="46" fillId="2" borderId="0" xfId="0" applyFont="1" applyFill="1"/>
    <xf numFmtId="0" fontId="46"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8" fillId="22" borderId="45" xfId="0" applyNumberFormat="1" applyFont="1" applyFill="1" applyBorder="1"/>
    <xf numFmtId="3" fontId="1" fillId="3" borderId="56" xfId="0" applyNumberFormat="1" applyFont="1" applyFill="1" applyBorder="1"/>
    <xf numFmtId="3" fontId="18" fillId="11" borderId="57" xfId="0" applyNumberFormat="1" applyFont="1" applyFill="1" applyBorder="1"/>
    <xf numFmtId="3" fontId="18" fillId="11" borderId="58" xfId="0" applyNumberFormat="1" applyFont="1" applyFill="1" applyBorder="1"/>
    <xf numFmtId="3" fontId="18" fillId="11" borderId="7" xfId="0" applyNumberFormat="1" applyFont="1" applyFill="1" applyBorder="1"/>
    <xf numFmtId="49" fontId="18"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8" fillId="11" borderId="40" xfId="0" applyNumberFormat="1" applyFont="1" applyFill="1" applyBorder="1"/>
    <xf numFmtId="3" fontId="18" fillId="11" borderId="56" xfId="0" applyNumberFormat="1" applyFont="1" applyFill="1" applyBorder="1"/>
    <xf numFmtId="49" fontId="0" fillId="0" borderId="0" xfId="0" applyNumberFormat="1" applyAlignment="1">
      <alignment horizontal="right"/>
    </xf>
    <xf numFmtId="0" fontId="16" fillId="0" borderId="3" xfId="0" applyFont="1" applyBorder="1" applyAlignment="1">
      <alignment horizontal="center"/>
    </xf>
    <xf numFmtId="0" fontId="15" fillId="0" borderId="9" xfId="0" applyFont="1" applyBorder="1" applyAlignment="1">
      <alignment horizontal="right"/>
    </xf>
    <xf numFmtId="164" fontId="15" fillId="0" borderId="9" xfId="0" applyNumberFormat="1" applyFont="1" applyBorder="1"/>
    <xf numFmtId="0" fontId="15" fillId="0" borderId="4" xfId="0" applyFont="1" applyBorder="1"/>
    <xf numFmtId="0" fontId="5" fillId="0" borderId="0" xfId="0" applyFont="1" applyAlignment="1">
      <alignment horizontal="left"/>
    </xf>
    <xf numFmtId="49" fontId="47" fillId="0" borderId="0" xfId="14" applyNumberFormat="1" applyFont="1" applyAlignment="1">
      <alignment vertical="top"/>
    </xf>
    <xf numFmtId="1" fontId="47" fillId="16" borderId="0" xfId="14" applyNumberFormat="1" applyFont="1" applyFill="1" applyAlignment="1">
      <alignment vertical="top"/>
    </xf>
    <xf numFmtId="4" fontId="47"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6" fillId="3" borderId="40" xfId="0" applyNumberFormat="1" applyFont="1" applyFill="1" applyBorder="1"/>
    <xf numFmtId="164" fontId="34" fillId="9" borderId="2" xfId="0" applyNumberFormat="1" applyFont="1" applyFill="1" applyBorder="1"/>
    <xf numFmtId="0" fontId="15" fillId="0" borderId="38" xfId="0" applyFont="1" applyBorder="1"/>
    <xf numFmtId="0" fontId="15" fillId="18" borderId="38" xfId="0" applyFont="1" applyFill="1" applyBorder="1"/>
    <xf numFmtId="3" fontId="15" fillId="18" borderId="38" xfId="0" applyNumberFormat="1" applyFont="1" applyFill="1" applyBorder="1"/>
    <xf numFmtId="0" fontId="14" fillId="0" borderId="0" xfId="0" applyFont="1"/>
    <xf numFmtId="9" fontId="15" fillId="2" borderId="35" xfId="0" applyNumberFormat="1" applyFont="1" applyFill="1" applyBorder="1" applyAlignment="1">
      <alignment horizontal="right"/>
    </xf>
    <xf numFmtId="0" fontId="16" fillId="3" borderId="4" xfId="0" applyFont="1" applyFill="1" applyBorder="1" applyAlignment="1">
      <alignment horizontal="right"/>
    </xf>
    <xf numFmtId="0" fontId="16" fillId="3" borderId="0" xfId="0" applyFont="1" applyFill="1" applyAlignment="1">
      <alignment horizontal="right"/>
    </xf>
    <xf numFmtId="164" fontId="15" fillId="2" borderId="4" xfId="0" applyNumberFormat="1" applyFont="1" applyFill="1" applyBorder="1"/>
    <xf numFmtId="8" fontId="0" fillId="0" borderId="0" xfId="0" applyNumberFormat="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4" fillId="18" borderId="29" xfId="0" applyNumberFormat="1" applyFont="1" applyFill="1" applyBorder="1"/>
    <xf numFmtId="164" fontId="34" fillId="18" borderId="29" xfId="0" applyNumberFormat="1" applyFont="1" applyFill="1" applyBorder="1"/>
    <xf numFmtId="164" fontId="15" fillId="20" borderId="4" xfId="0" applyNumberFormat="1" applyFont="1" applyFill="1" applyBorder="1"/>
    <xf numFmtId="3" fontId="15" fillId="20" borderId="43" xfId="0" applyNumberFormat="1" applyFont="1" applyFill="1" applyBorder="1"/>
    <xf numFmtId="164" fontId="15" fillId="23" borderId="4" xfId="0" applyNumberFormat="1" applyFont="1" applyFill="1" applyBorder="1"/>
    <xf numFmtId="3" fontId="15" fillId="23" borderId="43" xfId="0" applyNumberFormat="1" applyFont="1" applyFill="1" applyBorder="1"/>
    <xf numFmtId="9" fontId="34" fillId="2" borderId="29" xfId="0" applyNumberFormat="1" applyFont="1" applyFill="1" applyBorder="1"/>
    <xf numFmtId="3" fontId="15" fillId="23" borderId="4" xfId="0" applyNumberFormat="1" applyFont="1" applyFill="1" applyBorder="1"/>
    <xf numFmtId="0" fontId="15" fillId="23" borderId="43" xfId="0" applyFont="1" applyFill="1" applyBorder="1"/>
    <xf numFmtId="10" fontId="34" fillId="2" borderId="29" xfId="0" applyNumberFormat="1" applyFont="1" applyFill="1" applyBorder="1"/>
    <xf numFmtId="3" fontId="34" fillId="2" borderId="29" xfId="0" applyNumberFormat="1" applyFont="1" applyFill="1" applyBorder="1"/>
    <xf numFmtId="172" fontId="15" fillId="3" borderId="35" xfId="0" applyNumberFormat="1" applyFont="1" applyFill="1" applyBorder="1" applyAlignment="1">
      <alignment horizontal="right"/>
    </xf>
    <xf numFmtId="164" fontId="15" fillId="3" borderId="37" xfId="0" applyNumberFormat="1" applyFont="1" applyFill="1" applyBorder="1"/>
    <xf numFmtId="9" fontId="15" fillId="3" borderId="37" xfId="0" applyNumberFormat="1" applyFont="1" applyFill="1" applyBorder="1"/>
    <xf numFmtId="3" fontId="15" fillId="3" borderId="37" xfId="0" applyNumberFormat="1" applyFont="1" applyFill="1" applyBorder="1"/>
    <xf numFmtId="9" fontId="15" fillId="3" borderId="36" xfId="0" applyNumberFormat="1" applyFont="1" applyFill="1" applyBorder="1"/>
    <xf numFmtId="172" fontId="15" fillId="24" borderId="35" xfId="0" applyNumberFormat="1" applyFont="1" applyFill="1" applyBorder="1" applyAlignment="1">
      <alignment horizontal="right"/>
    </xf>
    <xf numFmtId="164" fontId="15" fillId="24" borderId="37" xfId="0" applyNumberFormat="1" applyFont="1" applyFill="1" applyBorder="1"/>
    <xf numFmtId="9" fontId="15" fillId="24" borderId="37" xfId="0" applyNumberFormat="1" applyFont="1" applyFill="1" applyBorder="1"/>
    <xf numFmtId="9" fontId="15" fillId="24" borderId="36" xfId="0" applyNumberFormat="1" applyFont="1" applyFill="1" applyBorder="1"/>
    <xf numFmtId="0" fontId="15" fillId="18" borderId="6" xfId="0" applyFont="1" applyFill="1" applyBorder="1"/>
    <xf numFmtId="0" fontId="15" fillId="18" borderId="1" xfId="0" applyFont="1" applyFill="1" applyBorder="1" applyAlignment="1">
      <alignment horizontal="right"/>
    </xf>
    <xf numFmtId="0" fontId="0" fillId="18" borderId="1" xfId="0" applyFill="1" applyBorder="1" applyAlignment="1">
      <alignment horizontal="right"/>
    </xf>
    <xf numFmtId="3" fontId="15" fillId="18" borderId="1" xfId="0" applyNumberFormat="1" applyFont="1" applyFill="1" applyBorder="1"/>
    <xf numFmtId="9" fontId="15" fillId="18" borderId="1" xfId="0" applyNumberFormat="1" applyFont="1" applyFill="1" applyBorder="1"/>
    <xf numFmtId="3" fontId="15" fillId="25" borderId="1" xfId="0" applyNumberFormat="1" applyFont="1" applyFill="1" applyBorder="1"/>
    <xf numFmtId="9" fontId="15" fillId="25" borderId="7" xfId="0" applyNumberFormat="1" applyFont="1" applyFill="1" applyBorder="1"/>
    <xf numFmtId="0" fontId="15" fillId="20" borderId="2" xfId="0" applyFont="1" applyFill="1" applyBorder="1"/>
    <xf numFmtId="0" fontId="15" fillId="20" borderId="42" xfId="0" applyFont="1" applyFill="1" applyBorder="1"/>
    <xf numFmtId="3" fontId="15" fillId="20" borderId="4" xfId="0" applyNumberFormat="1" applyFont="1" applyFill="1" applyBorder="1"/>
    <xf numFmtId="3" fontId="15" fillId="20" borderId="0" xfId="0" applyNumberFormat="1" applyFont="1" applyFill="1"/>
    <xf numFmtId="3" fontId="15" fillId="20" borderId="6" xfId="0" applyNumberFormat="1" applyFont="1" applyFill="1" applyBorder="1"/>
    <xf numFmtId="3" fontId="15" fillId="20" borderId="44" xfId="0" applyNumberFormat="1" applyFont="1" applyFill="1" applyBorder="1"/>
    <xf numFmtId="3" fontId="15" fillId="23" borderId="6" xfId="0" applyNumberFormat="1" applyFont="1" applyFill="1" applyBorder="1"/>
    <xf numFmtId="0" fontId="15" fillId="23" borderId="44" xfId="0" applyFont="1" applyFill="1" applyBorder="1"/>
    <xf numFmtId="3" fontId="15" fillId="23" borderId="2" xfId="0" applyNumberFormat="1" applyFont="1" applyFill="1" applyBorder="1"/>
    <xf numFmtId="3" fontId="15" fillId="23" borderId="4" xfId="0" applyNumberFormat="1" applyFont="1" applyFill="1" applyBorder="1" applyAlignment="1">
      <alignment horizontal="center"/>
    </xf>
    <xf numFmtId="0" fontId="15" fillId="26" borderId="2" xfId="0" applyFont="1" applyFill="1" applyBorder="1" applyAlignment="1">
      <alignment horizontal="right"/>
    </xf>
    <xf numFmtId="172" fontId="15" fillId="24" borderId="4" xfId="0" applyNumberFormat="1" applyFont="1" applyFill="1" applyBorder="1" applyAlignment="1">
      <alignment horizontal="right"/>
    </xf>
    <xf numFmtId="164" fontId="15" fillId="24" borderId="0" xfId="0" applyNumberFormat="1" applyFont="1" applyFill="1"/>
    <xf numFmtId="10" fontId="15" fillId="24" borderId="0" xfId="0" applyNumberFormat="1" applyFont="1" applyFill="1"/>
    <xf numFmtId="3" fontId="15" fillId="24" borderId="0" xfId="0" applyNumberFormat="1" applyFont="1" applyFill="1"/>
    <xf numFmtId="4" fontId="15" fillId="24" borderId="0" xfId="0" applyNumberFormat="1" applyFont="1" applyFill="1"/>
    <xf numFmtId="10" fontId="15" fillId="24" borderId="5" xfId="0" applyNumberFormat="1" applyFont="1" applyFill="1" applyBorder="1"/>
    <xf numFmtId="3" fontId="15" fillId="27" borderId="4" xfId="0" applyNumberFormat="1" applyFont="1" applyFill="1" applyBorder="1"/>
    <xf numFmtId="164" fontId="15" fillId="27" borderId="43" xfId="0" applyNumberFormat="1" applyFont="1" applyFill="1" applyBorder="1"/>
    <xf numFmtId="164" fontId="15" fillId="27" borderId="4" xfId="0" applyNumberFormat="1" applyFont="1" applyFill="1" applyBorder="1" applyAlignment="1">
      <alignment horizontal="right"/>
    </xf>
    <xf numFmtId="0" fontId="15" fillId="27" borderId="4" xfId="0" applyFont="1" applyFill="1" applyBorder="1" applyAlignment="1">
      <alignment horizontal="right"/>
    </xf>
    <xf numFmtId="164" fontId="15" fillId="27" borderId="4" xfId="0" applyNumberFormat="1" applyFont="1" applyFill="1" applyBorder="1"/>
    <xf numFmtId="164" fontId="15" fillId="27" borderId="6" xfId="0" applyNumberFormat="1" applyFont="1" applyFill="1" applyBorder="1"/>
    <xf numFmtId="164" fontId="15" fillId="27" borderId="44" xfId="0" applyNumberFormat="1" applyFont="1" applyFill="1" applyBorder="1"/>
    <xf numFmtId="0" fontId="15" fillId="23" borderId="0" xfId="0" applyFont="1" applyFill="1"/>
    <xf numFmtId="164" fontId="15" fillId="23" borderId="0" xfId="0" applyNumberFormat="1" applyFont="1" applyFill="1"/>
    <xf numFmtId="164" fontId="15" fillId="23" borderId="1" xfId="0" applyNumberFormat="1" applyFont="1" applyFill="1" applyBorder="1"/>
    <xf numFmtId="0" fontId="15" fillId="20" borderId="3" xfId="0" applyFont="1" applyFill="1" applyBorder="1"/>
    <xf numFmtId="0" fontId="15" fillId="20" borderId="4" xfId="0" applyFont="1" applyFill="1" applyBorder="1"/>
    <xf numFmtId="0" fontId="15" fillId="20" borderId="5" xfId="0" applyFont="1" applyFill="1" applyBorder="1"/>
    <xf numFmtId="164" fontId="15" fillId="20" borderId="6" xfId="0" applyNumberFormat="1" applyFont="1" applyFill="1" applyBorder="1"/>
    <xf numFmtId="164" fontId="15" fillId="20" borderId="7" xfId="0" applyNumberFormat="1" applyFont="1" applyFill="1" applyBorder="1"/>
    <xf numFmtId="3" fontId="15" fillId="23" borderId="0" xfId="0" applyNumberFormat="1" applyFont="1" applyFill="1"/>
    <xf numFmtId="3" fontId="15" fillId="23" borderId="60" xfId="0" applyNumberFormat="1" applyFont="1" applyFill="1" applyBorder="1"/>
    <xf numFmtId="0" fontId="15" fillId="23" borderId="1" xfId="0" applyFont="1" applyFill="1" applyBorder="1"/>
    <xf numFmtId="0" fontId="15"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6" fillId="18" borderId="35" xfId="0" applyFont="1" applyFill="1" applyBorder="1" applyAlignment="1">
      <alignment horizontal="left" vertical="center" wrapText="1"/>
    </xf>
    <xf numFmtId="0" fontId="16" fillId="18" borderId="29" xfId="0" applyFont="1" applyFill="1" applyBorder="1" applyAlignment="1">
      <alignment horizontal="left" vertical="center" wrapText="1"/>
    </xf>
    <xf numFmtId="164" fontId="15" fillId="9" borderId="44" xfId="0" applyNumberFormat="1" applyFont="1" applyFill="1" applyBorder="1"/>
    <xf numFmtId="0" fontId="15" fillId="20" borderId="43" xfId="0" applyFont="1" applyFill="1" applyBorder="1"/>
    <xf numFmtId="164" fontId="15" fillId="26" borderId="3" xfId="0" applyNumberFormat="1" applyFont="1" applyFill="1" applyBorder="1"/>
    <xf numFmtId="0" fontId="15" fillId="2" borderId="0" xfId="0" applyFont="1" applyFill="1"/>
    <xf numFmtId="3" fontId="16"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5" fillId="23" borderId="5" xfId="0" applyNumberFormat="1" applyFont="1" applyFill="1" applyBorder="1"/>
    <xf numFmtId="0" fontId="15" fillId="26" borderId="4" xfId="0" applyFont="1" applyFill="1" applyBorder="1" applyAlignment="1">
      <alignment horizontal="right"/>
    </xf>
    <xf numFmtId="164" fontId="15" fillId="26" borderId="5" xfId="0" applyNumberFormat="1" applyFont="1" applyFill="1" applyBorder="1"/>
    <xf numFmtId="0" fontId="15" fillId="23" borderId="9" xfId="0" applyFont="1" applyFill="1" applyBorder="1"/>
    <xf numFmtId="1" fontId="35" fillId="28" borderId="4" xfId="0" applyNumberFormat="1" applyFont="1" applyFill="1" applyBorder="1" applyAlignment="1">
      <alignment horizontal="right"/>
    </xf>
    <xf numFmtId="1" fontId="35" fillId="28" borderId="6" xfId="0" applyNumberFormat="1" applyFont="1" applyFill="1" applyBorder="1" applyAlignment="1">
      <alignment horizontal="right"/>
    </xf>
    <xf numFmtId="164" fontId="16" fillId="3" borderId="10" xfId="0" applyNumberFormat="1" applyFont="1" applyFill="1" applyBorder="1" applyAlignment="1">
      <alignment horizontal="center"/>
    </xf>
    <xf numFmtId="0" fontId="15" fillId="18" borderId="7" xfId="0" applyFont="1" applyFill="1" applyBorder="1"/>
    <xf numFmtId="0" fontId="15" fillId="18" borderId="36" xfId="0" applyFont="1" applyFill="1" applyBorder="1"/>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5" fillId="18" borderId="5" xfId="0" applyFont="1" applyFill="1" applyBorder="1"/>
    <xf numFmtId="0" fontId="15" fillId="18" borderId="0" xfId="0" applyFont="1" applyFill="1" applyAlignment="1">
      <alignment horizontal="right"/>
    </xf>
    <xf numFmtId="4" fontId="34" fillId="2" borderId="3" xfId="0" applyNumberFormat="1" applyFont="1" applyFill="1" applyBorder="1"/>
    <xf numFmtId="14" fontId="15" fillId="0" borderId="0" xfId="0" applyNumberFormat="1" applyFont="1"/>
    <xf numFmtId="9" fontId="15" fillId="0" borderId="0" xfId="0" applyNumberFormat="1" applyFont="1"/>
    <xf numFmtId="3" fontId="15" fillId="3" borderId="0" xfId="0" applyNumberFormat="1" applyFont="1" applyFill="1"/>
    <xf numFmtId="3" fontId="15" fillId="3" borderId="29" xfId="0" applyNumberFormat="1" applyFont="1" applyFill="1" applyBorder="1"/>
    <xf numFmtId="164" fontId="15" fillId="3" borderId="9" xfId="0" applyNumberFormat="1" applyFont="1" applyFill="1" applyBorder="1"/>
    <xf numFmtId="164" fontId="15" fillId="3" borderId="3" xfId="0" applyNumberFormat="1" applyFont="1" applyFill="1" applyBorder="1"/>
    <xf numFmtId="14" fontId="16" fillId="2" borderId="29" xfId="0" applyNumberFormat="1" applyFont="1" applyFill="1" applyBorder="1" applyAlignment="1">
      <alignment horizontal="center"/>
    </xf>
    <xf numFmtId="1" fontId="16" fillId="3" borderId="0" xfId="0" applyNumberFormat="1" applyFont="1" applyFill="1" applyAlignment="1">
      <alignment horizontal="center"/>
    </xf>
    <xf numFmtId="3" fontId="15" fillId="0" borderId="0" xfId="0" applyNumberFormat="1" applyFont="1" applyAlignment="1">
      <alignment horizontal="right"/>
    </xf>
    <xf numFmtId="14" fontId="15"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5"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6" fillId="9" borderId="29" xfId="0" applyFont="1" applyFill="1" applyBorder="1" applyAlignment="1">
      <alignment horizontal="right" vertical="center" wrapText="1"/>
    </xf>
    <xf numFmtId="0" fontId="15" fillId="23" borderId="43" xfId="0" applyFont="1" applyFill="1" applyBorder="1" applyAlignment="1">
      <alignment horizontal="center"/>
    </xf>
    <xf numFmtId="0" fontId="16"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6" fillId="2" borderId="29" xfId="0" applyFont="1" applyFill="1" applyBorder="1" applyAlignment="1">
      <alignment horizontal="center"/>
    </xf>
    <xf numFmtId="38" fontId="0" fillId="0" borderId="0" xfId="0" applyNumberFormat="1"/>
    <xf numFmtId="174" fontId="0" fillId="0" borderId="0" xfId="0" applyNumberFormat="1"/>
    <xf numFmtId="175" fontId="0" fillId="0" borderId="0" xfId="0" applyNumberFormat="1"/>
    <xf numFmtId="3" fontId="0" fillId="0" borderId="0" xfId="0" applyNumberFormat="1" applyAlignment="1">
      <alignment horizontal="right"/>
    </xf>
    <xf numFmtId="0" fontId="0" fillId="0" borderId="5" xfId="0" applyBorder="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175" fontId="0" fillId="0" borderId="0" xfId="0" applyNumberFormat="1" applyAlignment="1">
      <alignment horizontal="left"/>
    </xf>
    <xf numFmtId="49" fontId="0" fillId="0" borderId="0" xfId="0" applyNumberFormat="1" applyAlignment="1">
      <alignment horizontal="left"/>
    </xf>
    <xf numFmtId="0" fontId="1" fillId="0" borderId="2" xfId="0" applyFont="1" applyBorder="1" applyAlignment="1">
      <alignment horizontal="right"/>
    </xf>
    <xf numFmtId="0" fontId="1" fillId="0" borderId="4" xfId="0" applyFont="1" applyBorder="1" applyAlignment="1">
      <alignment horizontal="right"/>
    </xf>
    <xf numFmtId="0" fontId="1" fillId="0" borderId="6" xfId="0" applyFont="1" applyBorder="1" applyAlignment="1">
      <alignment horizontal="right"/>
    </xf>
    <xf numFmtId="0" fontId="1" fillId="0" borderId="2" xfId="0" applyFont="1" applyBorder="1" applyAlignment="1">
      <alignment horizontal="center"/>
    </xf>
    <xf numFmtId="0" fontId="1" fillId="0" borderId="4" xfId="0" applyFont="1" applyBorder="1" applyAlignment="1">
      <alignment horizontal="center"/>
    </xf>
    <xf numFmtId="0" fontId="1" fillId="0" borderId="6" xfId="0" applyFont="1" applyBorder="1" applyAlignment="1">
      <alignment horizontal="center"/>
    </xf>
    <xf numFmtId="175" fontId="0" fillId="2" borderId="0" xfId="0" applyNumberFormat="1" applyFill="1" applyAlignment="1">
      <alignment horizontal="left"/>
    </xf>
    <xf numFmtId="0" fontId="48" fillId="0" borderId="0" xfId="0" applyFont="1"/>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171" fontId="0" fillId="2" borderId="29" xfId="0" applyNumberFormat="1" applyFill="1" applyBorder="1"/>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0" fontId="30" fillId="2" borderId="35" xfId="0" applyFont="1" applyFill="1" applyBorder="1" applyAlignment="1">
      <alignment horizontal="right"/>
    </xf>
    <xf numFmtId="0" fontId="0" fillId="0" borderId="36" xfId="0" applyBorder="1"/>
    <xf numFmtId="164" fontId="15" fillId="18" borderId="35" xfId="0" applyNumberFormat="1" applyFont="1" applyFill="1"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5" fillId="18" borderId="38" xfId="0" applyNumberFormat="1" applyFont="1" applyFill="1" applyBorder="1"/>
    <xf numFmtId="1" fontId="15" fillId="18" borderId="35" xfId="0" applyNumberFormat="1" applyFont="1" applyFill="1" applyBorder="1"/>
    <xf numFmtId="4" fontId="0" fillId="0" borderId="7" xfId="0" applyNumberFormat="1" applyBorder="1"/>
    <xf numFmtId="0" fontId="16" fillId="17" borderId="2"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6" fillId="3" borderId="9" xfId="0" applyFont="1" applyFill="1" applyBorder="1" applyAlignment="1">
      <alignment horizontal="center" wrapText="1"/>
    </xf>
    <xf numFmtId="0" fontId="16" fillId="3" borderId="1" xfId="0" applyFont="1" applyFill="1" applyBorder="1" applyAlignment="1">
      <alignment horizontal="center" wrapText="1"/>
    </xf>
    <xf numFmtId="0" fontId="16" fillId="3" borderId="6" xfId="0" applyFont="1" applyFill="1" applyBorder="1" applyAlignment="1">
      <alignment horizontal="right"/>
    </xf>
    <xf numFmtId="0" fontId="15" fillId="3" borderId="1" xfId="0" applyFont="1" applyFill="1" applyBorder="1"/>
    <xf numFmtId="164" fontId="16"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6" fillId="0" borderId="0" xfId="0" applyNumberFormat="1" applyFont="1" applyAlignment="1">
      <alignment horizontal="center" wrapText="1"/>
    </xf>
    <xf numFmtId="0" fontId="1" fillId="0" borderId="1" xfId="0" applyFont="1" applyBorder="1" applyAlignment="1">
      <alignment horizontal="center" wrapText="1"/>
    </xf>
    <xf numFmtId="0" fontId="16" fillId="3" borderId="4" xfId="0" applyFont="1" applyFill="1" applyBorder="1" applyAlignment="1">
      <alignment horizontal="right"/>
    </xf>
    <xf numFmtId="0" fontId="16" fillId="3" borderId="0" xfId="0" applyFont="1" applyFill="1" applyAlignment="1">
      <alignment horizontal="right"/>
    </xf>
    <xf numFmtId="0" fontId="16" fillId="18" borderId="2"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6" fillId="3" borderId="3" xfId="0" applyFont="1" applyFill="1" applyBorder="1" applyAlignment="1">
      <alignment horizontal="center" wrapText="1"/>
    </xf>
    <xf numFmtId="0" fontId="16" fillId="3" borderId="5" xfId="0" applyFont="1" applyFill="1" applyBorder="1" applyAlignment="1">
      <alignment horizontal="center" wrapText="1"/>
    </xf>
    <xf numFmtId="164" fontId="16" fillId="3" borderId="4" xfId="0" applyNumberFormat="1" applyFont="1" applyFill="1" applyBorder="1" applyAlignment="1">
      <alignment horizontal="right"/>
    </xf>
    <xf numFmtId="0" fontId="15" fillId="3" borderId="0" xfId="0" applyFont="1" applyFill="1" applyAlignment="1">
      <alignment horizontal="right"/>
    </xf>
    <xf numFmtId="164" fontId="15" fillId="17" borderId="35" xfId="0" applyNumberFormat="1" applyFont="1" applyFill="1" applyBorder="1"/>
    <xf numFmtId="164" fontId="15" fillId="17" borderId="36" xfId="0" applyNumberFormat="1" applyFont="1" applyFill="1" applyBorder="1"/>
    <xf numFmtId="3" fontId="15" fillId="0" borderId="0" xfId="0" applyNumberFormat="1" applyFont="1"/>
    <xf numFmtId="0" fontId="15" fillId="24" borderId="37" xfId="0" applyFont="1" applyFill="1" applyBorder="1" applyAlignment="1">
      <alignment horizontal="right"/>
    </xf>
    <xf numFmtId="0" fontId="0" fillId="24" borderId="37" xfId="0" applyFill="1" applyBorder="1"/>
    <xf numFmtId="0" fontId="16" fillId="0" borderId="9" xfId="0" applyFont="1" applyBorder="1" applyAlignment="1">
      <alignment horizontal="center"/>
    </xf>
    <xf numFmtId="0" fontId="16" fillId="0" borderId="35" xfId="0" applyFont="1" applyBorder="1" applyAlignment="1">
      <alignment horizontal="center"/>
    </xf>
    <xf numFmtId="0" fontId="1" fillId="0" borderId="36" xfId="0" applyFont="1" applyBorder="1" applyAlignment="1">
      <alignment horizontal="center"/>
    </xf>
    <xf numFmtId="14" fontId="16" fillId="2" borderId="35" xfId="0" applyNumberFormat="1" applyFont="1" applyFill="1" applyBorder="1" applyAlignment="1">
      <alignment horizontal="center"/>
    </xf>
    <xf numFmtId="0" fontId="0" fillId="2" borderId="36" xfId="0" applyFill="1" applyBorder="1"/>
    <xf numFmtId="3" fontId="15" fillId="2" borderId="4" xfId="0" applyNumberFormat="1" applyFont="1" applyFill="1" applyBorder="1"/>
    <xf numFmtId="3" fontId="15" fillId="2" borderId="5" xfId="0" applyNumberFormat="1" applyFont="1" applyFill="1" applyBorder="1"/>
    <xf numFmtId="14" fontId="15" fillId="2" borderId="39" xfId="0" applyNumberFormat="1" applyFont="1" applyFill="1" applyBorder="1" applyAlignment="1">
      <alignment horizontal="center" vertical="center"/>
    </xf>
    <xf numFmtId="0" fontId="0" fillId="0" borderId="34" xfId="0" applyBorder="1" applyAlignment="1">
      <alignment horizontal="center" vertical="center"/>
    </xf>
    <xf numFmtId="164" fontId="15" fillId="0" borderId="11" xfId="0" applyNumberFormat="1" applyFont="1" applyBorder="1"/>
    <xf numFmtId="0" fontId="15" fillId="0" borderId="12" xfId="0" applyFont="1" applyBorder="1"/>
    <xf numFmtId="3" fontId="15" fillId="3" borderId="9" xfId="0" applyNumberFormat="1" applyFont="1" applyFill="1" applyBorder="1"/>
    <xf numFmtId="3" fontId="15" fillId="3" borderId="0" xfId="0" applyNumberFormat="1" applyFont="1" applyFill="1"/>
    <xf numFmtId="3" fontId="15"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0" fontId="0" fillId="2" borderId="35" xfId="0" applyFill="1" applyBorder="1" applyAlignment="1">
      <alignment vertical="center"/>
    </xf>
    <xf numFmtId="0" fontId="0" fillId="0" borderId="36" xfId="0" applyBorder="1" applyAlignment="1">
      <alignment vertical="center"/>
    </xf>
    <xf numFmtId="164" fontId="16"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6" fillId="0" borderId="2" xfId="0" applyFont="1" applyBorder="1" applyAlignment="1">
      <alignment horizontal="center"/>
    </xf>
    <xf numFmtId="3" fontId="15" fillId="2" borderId="2" xfId="0" applyNumberFormat="1" applyFont="1" applyFill="1" applyBorder="1"/>
    <xf numFmtId="3" fontId="15" fillId="2" borderId="3" xfId="0" applyNumberFormat="1" applyFont="1" applyFill="1" applyBorder="1"/>
    <xf numFmtId="3" fontId="15" fillId="0" borderId="1" xfId="0" applyNumberFormat="1" applyFont="1" applyBorder="1"/>
    <xf numFmtId="3" fontId="15" fillId="2" borderId="32" xfId="0" applyNumberFormat="1" applyFont="1" applyFill="1" applyBorder="1"/>
    <xf numFmtId="3" fontId="15" fillId="2" borderId="33" xfId="0" applyNumberFormat="1" applyFont="1" applyFill="1" applyBorder="1"/>
    <xf numFmtId="164" fontId="15" fillId="0" borderId="1" xfId="0" applyNumberFormat="1" applyFont="1" applyBorder="1"/>
    <xf numFmtId="0" fontId="15" fillId="0" borderId="1" xfId="0" applyFont="1" applyBorder="1"/>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15"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6" fillId="0" borderId="1" xfId="0" applyFont="1" applyBorder="1" applyAlignment="1">
      <alignment horizontal="center"/>
    </xf>
    <xf numFmtId="0" fontId="15" fillId="24" borderId="0" xfId="0" applyFont="1" applyFill="1" applyAlignment="1">
      <alignment horizontal="right"/>
    </xf>
    <xf numFmtId="0" fontId="0" fillId="24" borderId="0" xfId="0" applyFill="1"/>
    <xf numFmtId="0" fontId="15" fillId="3" borderId="37" xfId="0" applyFont="1" applyFill="1" applyBorder="1" applyAlignment="1">
      <alignment horizontal="right"/>
    </xf>
    <xf numFmtId="0" fontId="0" fillId="3" borderId="37" xfId="0" applyFill="1" applyBorder="1"/>
    <xf numFmtId="3" fontId="15" fillId="2" borderId="6" xfId="0" applyNumberFormat="1" applyFont="1" applyFill="1" applyBorder="1"/>
    <xf numFmtId="3" fontId="15" fillId="2" borderId="7" xfId="0" applyNumberFormat="1" applyFont="1" applyFill="1" applyBorder="1"/>
    <xf numFmtId="164" fontId="15"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6"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15" fillId="18" borderId="35" xfId="0" applyFont="1" applyFill="1" applyBorder="1" applyAlignment="1">
      <alignment horizontal="left"/>
    </xf>
    <xf numFmtId="0" fontId="0" fillId="0" borderId="36" xfId="0" applyBorder="1" applyAlignment="1">
      <alignment horizontal="left"/>
    </xf>
    <xf numFmtId="14" fontId="15" fillId="2" borderId="35" xfId="0" applyNumberFormat="1" applyFont="1" applyFill="1" applyBorder="1" applyAlignment="1">
      <alignment horizontal="center" vertical="center"/>
    </xf>
    <xf numFmtId="0" fontId="0" fillId="2" borderId="36" xfId="0" applyFill="1" applyBorder="1" applyAlignment="1">
      <alignment vertical="center"/>
    </xf>
    <xf numFmtId="164" fontId="16" fillId="0" borderId="9" xfId="0" applyNumberFormat="1" applyFont="1" applyBorder="1" applyAlignment="1">
      <alignment horizontal="right"/>
    </xf>
    <xf numFmtId="0" fontId="16" fillId="0" borderId="9" xfId="0" applyFont="1" applyBorder="1" applyAlignment="1">
      <alignment horizontal="right"/>
    </xf>
    <xf numFmtId="164" fontId="15" fillId="18" borderId="6" xfId="0" applyNumberFormat="1" applyFont="1" applyFill="1" applyBorder="1"/>
    <xf numFmtId="0" fontId="15" fillId="18" borderId="7" xfId="0" applyFont="1" applyFill="1" applyBorder="1"/>
    <xf numFmtId="3" fontId="15" fillId="18" borderId="2" xfId="0" applyNumberFormat="1" applyFont="1" applyFill="1" applyBorder="1"/>
    <xf numFmtId="0" fontId="15" fillId="18" borderId="3" xfId="0" applyFont="1" applyFill="1" applyBorder="1"/>
    <xf numFmtId="164" fontId="15" fillId="2" borderId="6" xfId="0" applyNumberFormat="1" applyFont="1" applyFill="1" applyBorder="1"/>
    <xf numFmtId="0" fontId="0" fillId="2" borderId="7" xfId="0" applyFill="1" applyBorder="1"/>
    <xf numFmtId="9" fontId="15" fillId="2" borderId="35" xfId="0" applyNumberFormat="1" applyFont="1" applyFill="1" applyBorder="1" applyAlignment="1">
      <alignment horizontal="right"/>
    </xf>
    <xf numFmtId="9" fontId="0" fillId="0" borderId="37" xfId="0" applyNumberFormat="1" applyBorder="1" applyAlignment="1">
      <alignment horizontal="right"/>
    </xf>
    <xf numFmtId="164" fontId="16" fillId="3" borderId="52" xfId="0" applyNumberFormat="1" applyFont="1" applyFill="1" applyBorder="1"/>
    <xf numFmtId="0" fontId="0" fillId="0" borderId="53" xfId="0" applyBorder="1"/>
    <xf numFmtId="9" fontId="15"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6" fillId="0" borderId="0" xfId="0" applyFont="1" applyAlignment="1">
      <alignment horizontal="right"/>
    </xf>
    <xf numFmtId="0" fontId="15" fillId="0" borderId="0" xfId="0" applyFont="1"/>
    <xf numFmtId="0" fontId="16"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61" xfId="0" applyFont="1" applyFill="1" applyBorder="1" applyAlignment="1">
      <alignment horizontal="center" vertical="center" wrapText="1"/>
    </xf>
    <xf numFmtId="0" fontId="0" fillId="0" borderId="62" xfId="0" applyBorder="1"/>
    <xf numFmtId="1" fontId="15" fillId="18" borderId="61" xfId="0" applyNumberFormat="1" applyFont="1" applyFill="1" applyBorder="1" applyAlignment="1">
      <alignment horizontal="center" vertical="center" wrapText="1"/>
    </xf>
    <xf numFmtId="1" fontId="0" fillId="0" borderId="62" xfId="0" applyNumberFormat="1" applyBorder="1"/>
    <xf numFmtId="0" fontId="30" fillId="2" borderId="37" xfId="0" applyFont="1" applyFill="1" applyBorder="1" applyAlignment="1">
      <alignment horizontal="left"/>
    </xf>
    <xf numFmtId="0" fontId="0" fillId="2" borderId="37" xfId="0" applyFill="1" applyBorder="1" applyAlignment="1">
      <alignment horizontal="left"/>
    </xf>
    <xf numFmtId="0" fontId="0" fillId="2" borderId="36" xfId="0" applyFill="1" applyBorder="1" applyAlignment="1">
      <alignment horizontal="left"/>
    </xf>
    <xf numFmtId="3" fontId="15" fillId="18" borderId="35" xfId="0" applyNumberFormat="1" applyFont="1" applyFill="1" applyBorder="1"/>
    <xf numFmtId="0" fontId="0" fillId="18" borderId="36" xfId="0" applyFill="1" applyBorder="1"/>
    <xf numFmtId="0" fontId="15" fillId="2" borderId="1" xfId="0" applyFont="1" applyFill="1" applyBorder="1"/>
    <xf numFmtId="164" fontId="15" fillId="2" borderId="4" xfId="0" applyNumberFormat="1" applyFont="1" applyFill="1" applyBorder="1"/>
    <xf numFmtId="0" fontId="15" fillId="2" borderId="7" xfId="0" applyFont="1" applyFill="1" applyBorder="1"/>
    <xf numFmtId="0" fontId="16" fillId="9" borderId="2" xfId="0" applyFont="1" applyFill="1" applyBorder="1" applyAlignment="1">
      <alignment horizontal="right" vertical="center" wrapText="1"/>
    </xf>
    <xf numFmtId="0" fontId="15" fillId="9" borderId="6" xfId="0" applyFont="1" applyFill="1" applyBorder="1" applyAlignment="1">
      <alignment horizontal="right" vertical="center" wrapText="1"/>
    </xf>
    <xf numFmtId="0" fontId="16" fillId="0" borderId="9" xfId="0" applyFont="1" applyBorder="1" applyAlignment="1">
      <alignment horizontal="center" wrapText="1"/>
    </xf>
    <xf numFmtId="0" fontId="15" fillId="0" borderId="3" xfId="0" applyFont="1" applyBorder="1"/>
    <xf numFmtId="0" fontId="15" fillId="0" borderId="7" xfId="0" applyFont="1" applyBorder="1"/>
    <xf numFmtId="164" fontId="15" fillId="2" borderId="2" xfId="0" applyNumberFormat="1" applyFont="1" applyFill="1" applyBorder="1"/>
    <xf numFmtId="0" fontId="15" fillId="2" borderId="9" xfId="0" applyFont="1" applyFill="1" applyBorder="1"/>
    <xf numFmtId="164" fontId="15" fillId="18" borderId="0" xfId="0" applyNumberFormat="1" applyFont="1" applyFill="1"/>
    <xf numFmtId="0" fontId="15" fillId="18" borderId="0" xfId="0" applyFont="1" applyFill="1"/>
    <xf numFmtId="14" fontId="15" fillId="2" borderId="35" xfId="0" applyNumberFormat="1" applyFont="1" applyFill="1" applyBorder="1"/>
    <xf numFmtId="0" fontId="0" fillId="0" borderId="36" xfId="0" applyBorder="1"/>
    <xf numFmtId="9" fontId="15" fillId="2" borderId="39" xfId="0" applyNumberFormat="1" applyFont="1" applyFill="1" applyBorder="1" applyAlignment="1">
      <alignment horizontal="center"/>
    </xf>
    <xf numFmtId="9" fontId="0" fillId="0" borderId="34" xfId="0" applyNumberFormat="1" applyBorder="1" applyAlignment="1">
      <alignment horizontal="center"/>
    </xf>
    <xf numFmtId="0" fontId="16" fillId="18" borderId="3" xfId="0" applyFont="1" applyFill="1" applyBorder="1" applyAlignment="1">
      <alignment horizontal="center" vertical="center" wrapText="1"/>
    </xf>
    <xf numFmtId="0" fontId="16" fillId="18" borderId="4" xfId="0" applyFont="1" applyFill="1" applyBorder="1" applyAlignment="1">
      <alignment horizontal="center" vertical="center" wrapText="1"/>
    </xf>
    <xf numFmtId="0" fontId="16" fillId="18" borderId="5" xfId="0" applyFont="1" applyFill="1" applyBorder="1" applyAlignment="1">
      <alignment horizontal="center" vertical="center" wrapText="1"/>
    </xf>
    <xf numFmtId="0" fontId="16" fillId="18" borderId="6" xfId="0" applyFont="1" applyFill="1" applyBorder="1" applyAlignment="1">
      <alignment horizontal="center" vertical="center" wrapText="1"/>
    </xf>
    <xf numFmtId="0" fontId="16" fillId="18" borderId="7" xfId="0" applyFont="1" applyFill="1" applyBorder="1" applyAlignment="1">
      <alignment horizontal="center" vertical="center" wrapText="1"/>
    </xf>
    <xf numFmtId="164" fontId="16" fillId="0" borderId="0" xfId="0" applyNumberFormat="1" applyFont="1" applyAlignment="1">
      <alignment horizontal="right"/>
    </xf>
    <xf numFmtId="3" fontId="0" fillId="0" borderId="0" xfId="0" applyNumberFormat="1" applyAlignment="1">
      <alignment horizontal="right"/>
    </xf>
    <xf numFmtId="0" fontId="0" fillId="0" borderId="5" xfId="0" applyBorder="1" applyAlignment="1">
      <alignment horizontal="right"/>
    </xf>
    <xf numFmtId="3" fontId="1" fillId="0" borderId="35" xfId="0" applyNumberFormat="1" applyFont="1" applyBorder="1" applyAlignment="1">
      <alignment horizontal="center"/>
    </xf>
    <xf numFmtId="8" fontId="0" fillId="0" borderId="0" xfId="0" applyNumberFormat="1"/>
    <xf numFmtId="0" fontId="0" fillId="0" borderId="0" xfId="0"/>
    <xf numFmtId="3" fontId="1" fillId="0" borderId="6" xfId="0" applyNumberFormat="1" applyFont="1" applyBorder="1" applyAlignment="1">
      <alignment horizontal="center"/>
    </xf>
    <xf numFmtId="0" fontId="1" fillId="0" borderId="1" xfId="0" applyFont="1" applyBorder="1" applyAlignment="1">
      <alignment horizontal="center"/>
    </xf>
    <xf numFmtId="0" fontId="1" fillId="0" borderId="7"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8"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8"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8"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8"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30" fillId="15" borderId="21" xfId="0" applyFont="1" applyFill="1" applyBorder="1" applyAlignment="1" applyProtection="1">
      <alignment horizontal="center" vertical="center" wrapText="1"/>
      <protection locked="0"/>
    </xf>
    <xf numFmtId="0" fontId="33" fillId="0" borderId="22" xfId="0" applyFont="1" applyBorder="1" applyAlignment="1" applyProtection="1">
      <alignment vertical="center" wrapText="1"/>
      <protection locked="0"/>
    </xf>
    <xf numFmtId="0" fontId="33" fillId="0" borderId="23" xfId="0" applyFont="1" applyBorder="1" applyAlignment="1" applyProtection="1">
      <alignment vertical="center" wrapText="1"/>
      <protection locked="0"/>
    </xf>
    <xf numFmtId="0" fontId="30" fillId="15" borderId="27" xfId="0" applyFont="1" applyFill="1" applyBorder="1" applyAlignment="1" applyProtection="1">
      <alignment horizontal="center" vertical="center" wrapText="1"/>
      <protection locked="0"/>
    </xf>
    <xf numFmtId="0" fontId="33" fillId="0" borderId="0" xfId="0" applyFont="1" applyAlignment="1" applyProtection="1">
      <alignment vertical="center" wrapText="1"/>
      <protection locked="0"/>
    </xf>
    <xf numFmtId="0" fontId="33" fillId="0" borderId="28" xfId="0" applyFont="1" applyBorder="1" applyAlignment="1" applyProtection="1">
      <alignment vertical="center" wrapText="1"/>
      <protection locked="0"/>
    </xf>
    <xf numFmtId="0" fontId="33" fillId="0" borderId="24" xfId="0" applyFont="1" applyBorder="1" applyAlignment="1" applyProtection="1">
      <alignment vertical="center" wrapText="1"/>
      <protection locked="0"/>
    </xf>
    <xf numFmtId="0" fontId="33" fillId="0" borderId="25" xfId="0" applyFont="1" applyBorder="1" applyAlignment="1" applyProtection="1">
      <alignment vertical="center" wrapText="1"/>
      <protection locked="0"/>
    </xf>
    <xf numFmtId="0" fontId="33" fillId="0" borderId="26" xfId="0" applyFont="1" applyBorder="1" applyAlignment="1" applyProtection="1">
      <alignment vertical="center" wrapText="1"/>
      <protection locked="0"/>
    </xf>
    <xf numFmtId="0" fontId="30"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31" fillId="0" borderId="0" xfId="0" applyFont="1" applyAlignment="1">
      <alignment horizontal="center" vertical="center"/>
    </xf>
    <xf numFmtId="0" fontId="0" fillId="0" borderId="0" xfId="0" applyAlignment="1">
      <alignment vertical="center"/>
    </xf>
    <xf numFmtId="0" fontId="30" fillId="0" borderId="17" xfId="3" applyFont="1" applyAlignment="1">
      <alignment horizontal="left" vertical="center"/>
    </xf>
    <xf numFmtId="0" fontId="30" fillId="0" borderId="0" xfId="0" applyFont="1" applyAlignment="1">
      <alignment vertical="center"/>
    </xf>
    <xf numFmtId="0" fontId="31" fillId="0" borderId="9" xfId="0" applyFont="1" applyBorder="1" applyAlignment="1">
      <alignment horizontal="center"/>
    </xf>
    <xf numFmtId="0" fontId="18" fillId="0" borderId="0" xfId="3" applyFont="1" applyBorder="1" applyAlignment="1" applyProtection="1">
      <alignment horizontal="right" vertical="center" indent="1"/>
    </xf>
    <xf numFmtId="0" fontId="9"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9" fillId="0" borderId="4" xfId="5" applyFont="1" applyBorder="1" applyAlignment="1">
      <alignment horizontal="center" wrapText="1"/>
    </xf>
    <xf numFmtId="0" fontId="30" fillId="0" borderId="0" xfId="0" applyFont="1" applyAlignment="1">
      <alignment horizontal="center"/>
    </xf>
    <xf numFmtId="0" fontId="1" fillId="0" borderId="1" xfId="0" applyFont="1" applyBorder="1" applyAlignment="1">
      <alignment horizontal="right" vertical="center" wrapText="1"/>
    </xf>
    <xf numFmtId="0" fontId="0" fillId="3" borderId="0" xfId="0" applyFill="1"/>
    <xf numFmtId="0" fontId="18" fillId="0" borderId="1" xfId="3" applyFont="1" applyBorder="1" applyAlignment="1" applyProtection="1">
      <alignment horizontal="right" vertical="center" indent="1"/>
    </xf>
    <xf numFmtId="0" fontId="9"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9" fillId="0" borderId="4" xfId="5" applyFont="1" applyBorder="1" applyAlignment="1">
      <alignment horizontal="left" wrapText="1"/>
    </xf>
    <xf numFmtId="0" fontId="0" fillId="0" borderId="5" xfId="0" applyBorder="1" applyAlignment="1">
      <alignment horizontal="left"/>
    </xf>
    <xf numFmtId="0" fontId="30" fillId="0" borderId="0" xfId="0" applyFont="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6"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6"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6"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3"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8" fillId="11" borderId="35" xfId="0" applyNumberFormat="1" applyFont="1" applyFill="1" applyBorder="1" applyAlignment="1">
      <alignment horizontal="center"/>
    </xf>
    <xf numFmtId="164" fontId="1" fillId="18" borderId="36" xfId="0" applyNumberFormat="1" applyFont="1" applyFill="1" applyBorder="1"/>
    <xf numFmtId="3" fontId="13" fillId="3" borderId="37" xfId="0" applyNumberFormat="1" applyFont="1" applyFill="1" applyBorder="1" applyAlignment="1">
      <alignment horizontal="center"/>
    </xf>
    <xf numFmtId="3" fontId="13"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8" fillId="11" borderId="37" xfId="0" applyNumberFormat="1" applyFont="1" applyFill="1" applyBorder="1" applyAlignment="1">
      <alignment horizontal="center"/>
    </xf>
    <xf numFmtId="3" fontId="18"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1">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0"/>
      <tableStyleElement type="headerRow" dxfId="89"/>
      <tableStyleElement type="firstRowStripe" dxfId="88"/>
    </tableStyle>
    <tableStyle name="Gantt Table Style 2" pivot="0" count="3" xr9:uid="{188EAD57-0217-4B5E-8A07-C858B28862F4}">
      <tableStyleElement type="wholeTable" dxfId="87"/>
      <tableStyleElement type="headerRow" dxfId="86"/>
      <tableStyleElement type="firstRowStripe" dxfId="8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3.xml"/><Relationship Id="rId47"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powerPivotData" Target="model/item.data"/><Relationship Id="rId40" Type="http://schemas.openxmlformats.org/officeDocument/2006/relationships/customXml" Target="../customXml/item1.xml"/><Relationship Id="rId45"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4.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22/11/relationships/FeaturePropertyBag" Target="featurePropertyBag/featurePropertyBag.xml"/><Relationship Id="rId46" Type="http://schemas.openxmlformats.org/officeDocument/2006/relationships/customXml" Target="../customXml/item7.xml"/><Relationship Id="rId20" Type="http://schemas.openxmlformats.org/officeDocument/2006/relationships/worksheet" Target="worksheets/sheet20.xml"/><Relationship Id="rId41" Type="http://schemas.openxmlformats.org/officeDocument/2006/relationships/customXml" Target="../customXml/item2.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checked="Checked"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Scroll" dx="39" fmlaLink="$AB$24" horiz="1" max="365" page="0" val="0"/>
</file>

<file path=xl/drawings/_rels/drawing4.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352425</xdr:colOff>
          <xdr:row>21</xdr:row>
          <xdr:rowOff>219075</xdr:rowOff>
        </xdr:from>
        <xdr:to>
          <xdr:col>10</xdr:col>
          <xdr:colOff>847725</xdr:colOff>
          <xdr:row>23</xdr:row>
          <xdr:rowOff>66675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0</xdr:row>
          <xdr:rowOff>66675</xdr:rowOff>
        </xdr:from>
        <xdr:to>
          <xdr:col>1</xdr:col>
          <xdr:colOff>403225</xdr:colOff>
          <xdr:row>0</xdr:row>
          <xdr:rowOff>247650</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0</xdr:row>
          <xdr:rowOff>66675</xdr:rowOff>
        </xdr:from>
        <xdr:to>
          <xdr:col>2</xdr:col>
          <xdr:colOff>508000</xdr:colOff>
          <xdr:row>0</xdr:row>
          <xdr:rowOff>247650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466725</xdr:colOff>
          <xdr:row>0</xdr:row>
          <xdr:rowOff>28575</xdr:rowOff>
        </xdr:from>
        <xdr:to>
          <xdr:col>3</xdr:col>
          <xdr:colOff>622300</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20</xdr:row>
          <xdr:rowOff>200025</xdr:rowOff>
        </xdr:from>
        <xdr:to>
          <xdr:col>10</xdr:col>
          <xdr:colOff>800100</xdr:colOff>
          <xdr:row>22</xdr:row>
          <xdr:rowOff>66675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45</xdr:row>
          <xdr:rowOff>200025</xdr:rowOff>
        </xdr:from>
        <xdr:to>
          <xdr:col>1</xdr:col>
          <xdr:colOff>685800</xdr:colOff>
          <xdr:row>47</xdr:row>
          <xdr:rowOff>47625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47</xdr:row>
          <xdr:rowOff>200025</xdr:rowOff>
        </xdr:from>
        <xdr:to>
          <xdr:col>1</xdr:col>
          <xdr:colOff>685800</xdr:colOff>
          <xdr:row>49</xdr:row>
          <xdr:rowOff>47625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200025</xdr:colOff>
          <xdr:row>46</xdr:row>
          <xdr:rowOff>200025</xdr:rowOff>
        </xdr:from>
        <xdr:to>
          <xdr:col>1</xdr:col>
          <xdr:colOff>685800</xdr:colOff>
          <xdr:row>48</xdr:row>
          <xdr:rowOff>47625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352425</xdr:colOff>
          <xdr:row>0</xdr:row>
          <xdr:rowOff>19050</xdr:rowOff>
        </xdr:from>
        <xdr:to>
          <xdr:col>8</xdr:col>
          <xdr:colOff>847725</xdr:colOff>
          <xdr:row>0</xdr:row>
          <xdr:rowOff>400050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885825</xdr:colOff>
          <xdr:row>0</xdr:row>
          <xdr:rowOff>0</xdr:rowOff>
        </xdr:from>
        <xdr:to>
          <xdr:col>16</xdr:col>
          <xdr:colOff>419100</xdr:colOff>
          <xdr:row>0</xdr:row>
          <xdr:rowOff>333375</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838200</xdr:colOff>
          <xdr:row>0</xdr:row>
          <xdr:rowOff>0</xdr:rowOff>
        </xdr:from>
        <xdr:to>
          <xdr:col>17</xdr:col>
          <xdr:colOff>381000</xdr:colOff>
          <xdr:row>0</xdr:row>
          <xdr:rowOff>333375</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914400</xdr:colOff>
          <xdr:row>0</xdr:row>
          <xdr:rowOff>0</xdr:rowOff>
        </xdr:from>
        <xdr:to>
          <xdr:col>18</xdr:col>
          <xdr:colOff>238125</xdr:colOff>
          <xdr:row>1</xdr:row>
          <xdr:rowOff>19050</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66675</xdr:colOff>
          <xdr:row>21</xdr:row>
          <xdr:rowOff>247650</xdr:rowOff>
        </xdr:from>
        <xdr:to>
          <xdr:col>24</xdr:col>
          <xdr:colOff>247650</xdr:colOff>
          <xdr:row>23</xdr:row>
          <xdr:rowOff>66675</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8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CE953D7-1616-4F0E-9858-1BCA9A78891E}" name="tblCarryingExpenses" displayName="tblCarryingExpenses" ref="AI2:AS135" totalsRowShown="0">
  <autoFilter ref="AI2:AS135" xr:uid="{1CE953D7-1616-4F0E-9858-1BCA9A78891E}"/>
  <tableColumns count="11">
    <tableColumn id="1" xr3:uid="{7FCD3345-94E4-4474-917C-89DD9E82BF7E}" name="Include"/>
    <tableColumn id="2" xr3:uid="{F506833F-2C14-4AC0-AEA6-7DD99C52137B}" name="Category"/>
    <tableColumn id="3" xr3:uid="{021EE6EF-181C-407F-93EC-722317A9F75A}" name="Date" dataDxfId="57"/>
    <tableColumn id="4" xr3:uid="{AFA1D185-D5CA-466A-90A0-EB0E6C2F905B}" name="Vendor"/>
    <tableColumn id="5" xr3:uid="{ADF6DD3C-47F9-4EB4-8E40-66C2019B66B9}" name="Description"/>
    <tableColumn id="6" xr3:uid="{61D31BD2-B4BF-483F-96D1-C34005D40D03}" name="Amount" dataDxfId="56"/>
    <tableColumn id="7" xr3:uid="{428609D1-2D9B-4DF0-9C2A-7D9DB1DF8B2A}" name="Source"/>
    <tableColumn id="8" xr3:uid="{16F27C82-867F-45BF-89E4-32A992AF9A50}" name="Invoice #"/>
    <tableColumn id="9" xr3:uid="{64601E29-FA4A-4DCC-B624-6D4FF0B64B62}" name="Source File"/>
    <tableColumn id="10" xr3:uid="{3AE1ABA0-56E2-489A-8284-5CE9DB851B30}" name="Status"/>
    <tableColumn id="11" xr3:uid="{A577F49C-609F-46C1-A9BE-DA9EE717D544}"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34" totalsRowShown="0" headerRowDxfId="55" headerRowBorderDxfId="54">
  <autoFilter ref="A11:E34"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27" tableType="queryTable" totalsRowShown="0" headerRowDxfId="48" dataDxfId="47">
  <autoFilter ref="A4:N27"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50" tableType="queryTable" totalsRowShown="0" headerRowDxfId="26" dataDxfId="25">
  <sortState xmlns:xlrd2="http://schemas.microsoft.com/office/spreadsheetml/2017/richdata2" ref="A28:O50">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7" tableType="queryTable" totalsRowShown="0" headerRowDxfId="9">
  <autoFilter ref="A4:G27"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9" totalsRowShown="0" headerRowDxfId="5">
  <autoFilter ref="I4:L29"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s://insurancehub.com/" TargetMode="External"/><Relationship Id="rId7" Type="http://schemas.openxmlformats.org/officeDocument/2006/relationships/printerSettings" Target="../printerSettings/printerSettings4.bin"/><Relationship Id="rId2" Type="http://schemas.openxmlformats.org/officeDocument/2006/relationships/hyperlink" Target="mailto:RWalker@insurancehub.com" TargetMode="External"/><Relationship Id="rId1" Type="http://schemas.openxmlformats.org/officeDocument/2006/relationships/hyperlink" Target="https://insurancehub.com/" TargetMode="External"/><Relationship Id="rId6" Type="http://schemas.openxmlformats.org/officeDocument/2006/relationships/hyperlink" Target="https://loansphereservicingdigital.bkiconnect.com/planetservicing/" TargetMode="External"/><Relationship Id="rId5" Type="http://schemas.openxmlformats.org/officeDocument/2006/relationships/hyperlink" Target="mailto:Custserve@YourMortgageonline.com" TargetMode="External"/><Relationship Id="rId4" Type="http://schemas.openxmlformats.org/officeDocument/2006/relationships/hyperlink" Target="mailto:BMiron@insurancehub.com" TargetMode="External"/></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8.bin"/><Relationship Id="rId5" Type="http://schemas.openxmlformats.org/officeDocument/2006/relationships/table" Target="../tables/table4.xml"/><Relationship Id="rId4" Type="http://schemas.openxmlformats.org/officeDocument/2006/relationships/ctrlProp" Target="../ctrlProps/ctrlProp13.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R124"/>
  <sheetViews>
    <sheetView tabSelected="1" zoomScale="150" zoomScaleNormal="150" workbookViewId="0">
      <pane xSplit="1" ySplit="3" topLeftCell="B34" activePane="bottomRight" state="frozen"/>
      <selection pane="topRight" activeCell="C1" sqref="C1:E1"/>
      <selection pane="bottomLeft" activeCell="C1" sqref="C1:E1"/>
      <selection pane="bottomRight" activeCell="M40" sqref="M40"/>
    </sheetView>
  </sheetViews>
  <sheetFormatPr defaultColWidth="9.140625" defaultRowHeight="15" customHeight="1" x14ac:dyDescent="0.2"/>
  <cols>
    <col min="1" max="1" width="24.7109375" style="39" customWidth="1"/>
    <col min="2" max="2" width="6.42578125" style="39" customWidth="1"/>
    <col min="3" max="3" width="8.28515625" style="113" customWidth="1"/>
    <col min="4" max="4" width="10.140625" style="38" customWidth="1"/>
    <col min="5" max="5" width="11" style="38" customWidth="1"/>
    <col min="6" max="6" width="9.28515625" style="38" bestFit="1" customWidth="1"/>
    <col min="7" max="7" width="9.7109375" style="38" customWidth="1"/>
    <col min="8" max="8" width="8.5703125" style="39" customWidth="1"/>
    <col min="9" max="9" width="8.5703125" style="113" bestFit="1" customWidth="1"/>
    <col min="10" max="10" width="11.5703125" style="38" customWidth="1"/>
    <col min="11" max="11" width="9.5703125" style="38" customWidth="1"/>
    <col min="12" max="12" width="5.28515625" style="38" customWidth="1"/>
    <col min="13" max="13" width="21.140625" style="463" bestFit="1" customWidth="1"/>
    <col min="14" max="14" width="7.42578125" style="140" bestFit="1" customWidth="1"/>
    <col min="15" max="15" width="5.42578125" style="38" bestFit="1" customWidth="1"/>
    <col min="16" max="16" width="23.140625" style="39" bestFit="1" customWidth="1"/>
    <col min="17" max="17" width="5.42578125" style="38" bestFit="1" customWidth="1"/>
    <col min="18" max="18" width="5" style="38" customWidth="1"/>
    <col min="19" max="19" width="10.140625" style="38" bestFit="1" customWidth="1"/>
    <col min="20" max="20" width="11" style="38" bestFit="1" customWidth="1"/>
    <col min="21" max="21" width="11.28515625" style="38" customWidth="1"/>
    <col min="22" max="23" width="11" style="38" customWidth="1"/>
    <col min="24" max="24" width="6.7109375" style="38" customWidth="1"/>
    <col min="25" max="25" width="8.5703125" style="38" customWidth="1"/>
    <col min="26" max="26" width="10.42578125" style="38" customWidth="1"/>
    <col min="27" max="27" width="9.7109375" style="38" customWidth="1"/>
    <col min="28" max="28" width="10.5703125" style="38" customWidth="1"/>
    <col min="29" max="29" width="10.42578125" style="38" customWidth="1"/>
    <col min="30" max="16384" width="9.140625" style="38"/>
  </cols>
  <sheetData>
    <row r="1" spans="1:18" ht="21" customHeight="1" thickBot="1" x14ac:dyDescent="0.35">
      <c r="A1" s="39" t="s">
        <v>723</v>
      </c>
      <c r="B1" s="419" t="str">
        <f>IF(R3=1,"Flip","")</f>
        <v/>
      </c>
      <c r="C1" s="420" t="str">
        <f>IF(R3=2,"Hold","")</f>
        <v/>
      </c>
      <c r="D1" s="420" t="str">
        <f>IF(R3=3,"Slow Flip","")</f>
        <v>Slow Flip</v>
      </c>
      <c r="E1" s="532" t="s">
        <v>769</v>
      </c>
      <c r="F1" s="656" t="s">
        <v>776</v>
      </c>
      <c r="G1" s="657"/>
      <c r="H1" s="658"/>
      <c r="I1" s="472"/>
      <c r="J1" s="673" t="s">
        <v>2</v>
      </c>
      <c r="K1" s="674"/>
      <c r="P1" s="39" t="s">
        <v>726</v>
      </c>
      <c r="Q1" s="38" t="b">
        <v>0</v>
      </c>
    </row>
    <row r="2" spans="1:18" ht="16.5" customHeight="1" thickBot="1" x14ac:dyDescent="0.3">
      <c r="A2" s="114"/>
      <c r="B2" s="599" t="s">
        <v>724</v>
      </c>
      <c r="C2" s="600"/>
      <c r="D2" s="600"/>
      <c r="E2" s="597" t="s">
        <v>768</v>
      </c>
      <c r="F2" s="598"/>
      <c r="G2" s="489" t="s">
        <v>772</v>
      </c>
      <c r="H2" s="666" t="s">
        <v>0</v>
      </c>
      <c r="I2" s="667"/>
      <c r="J2" s="664" t="s">
        <v>1</v>
      </c>
      <c r="K2" s="584">
        <v>45698</v>
      </c>
      <c r="P2" s="39" t="s">
        <v>725</v>
      </c>
      <c r="Q2" s="38" t="b">
        <v>0</v>
      </c>
    </row>
    <row r="3" spans="1:18" ht="12" customHeight="1" thickBot="1" x14ac:dyDescent="0.25">
      <c r="A3" s="116" t="s">
        <v>4</v>
      </c>
      <c r="B3" s="117"/>
      <c r="D3" s="614" t="s">
        <v>5</v>
      </c>
      <c r="E3" s="614"/>
      <c r="F3" s="614" t="s">
        <v>6</v>
      </c>
      <c r="G3" s="608"/>
      <c r="H3" s="608"/>
      <c r="I3" s="668"/>
      <c r="J3" s="665"/>
      <c r="K3" s="585"/>
      <c r="P3" s="138" t="s">
        <v>37</v>
      </c>
      <c r="Q3" s="38" t="b">
        <v>0</v>
      </c>
      <c r="R3" s="38">
        <v>3</v>
      </c>
    </row>
    <row r="4" spans="1:18" ht="12" customHeight="1" thickBot="1" x14ac:dyDescent="0.25">
      <c r="A4" s="39" t="s">
        <v>7</v>
      </c>
      <c r="B4" s="669">
        <v>239000</v>
      </c>
      <c r="C4" s="670"/>
      <c r="D4" s="378"/>
      <c r="E4" s="405"/>
      <c r="F4" s="402"/>
      <c r="G4" s="402"/>
      <c r="H4" s="124"/>
      <c r="I4" s="125"/>
      <c r="P4" s="138" t="s">
        <v>38</v>
      </c>
      <c r="Q4" s="38" t="b">
        <v>1</v>
      </c>
    </row>
    <row r="5" spans="1:18" ht="12" customHeight="1" thickBot="1" x14ac:dyDescent="0.25">
      <c r="A5" s="39" t="s">
        <v>9</v>
      </c>
      <c r="B5" s="476">
        <f>+Amortization!M4</f>
        <v>0.05</v>
      </c>
      <c r="C5" s="337">
        <v>0</v>
      </c>
      <c r="D5" s="406"/>
      <c r="E5" s="407"/>
      <c r="F5" s="402"/>
      <c r="G5" s="402"/>
      <c r="H5" s="127"/>
      <c r="I5" s="128"/>
      <c r="N5" s="140" t="s">
        <v>10</v>
      </c>
      <c r="O5" s="272"/>
      <c r="P5" s="138" t="s">
        <v>39</v>
      </c>
      <c r="Q5" s="38" t="b">
        <v>1</v>
      </c>
    </row>
    <row r="6" spans="1:18" ht="12" customHeight="1" thickBot="1" x14ac:dyDescent="0.25">
      <c r="A6" s="39" t="s">
        <v>11</v>
      </c>
      <c r="B6" s="671">
        <f>IF(B1="Flip",B4,IF(C1="hold",B4*(1+C5),+Amortization!O3))</f>
        <v>250950</v>
      </c>
      <c r="C6" s="672"/>
      <c r="D6" s="406"/>
      <c r="E6" s="407"/>
      <c r="F6" s="402"/>
      <c r="G6" s="410">
        <f>IF(OR(R3=1,R3=2),$B$6,0)</f>
        <v>0</v>
      </c>
      <c r="H6" s="127"/>
      <c r="I6" s="128"/>
      <c r="O6" s="272"/>
      <c r="P6" s="471"/>
      <c r="Q6" s="38" t="b">
        <v>0</v>
      </c>
    </row>
    <row r="7" spans="1:18" ht="12" customHeight="1" thickBot="1" x14ac:dyDescent="0.25">
      <c r="A7" s="39" t="s">
        <v>13</v>
      </c>
      <c r="B7" s="476">
        <f>+Amortization!O2</f>
        <v>0.1</v>
      </c>
      <c r="C7" s="352">
        <f>+B6*B7</f>
        <v>25095</v>
      </c>
      <c r="D7" s="353"/>
      <c r="E7" s="354">
        <f>IF(R3=3,+C7,0)</f>
        <v>25095</v>
      </c>
      <c r="F7" s="403"/>
      <c r="G7" s="402"/>
      <c r="H7" s="127"/>
      <c r="I7" s="128"/>
      <c r="J7" s="664" t="s">
        <v>12</v>
      </c>
      <c r="K7" s="675">
        <v>0.03</v>
      </c>
      <c r="O7" s="272"/>
      <c r="P7" s="471"/>
    </row>
    <row r="8" spans="1:18" ht="12" customHeight="1" thickBot="1" x14ac:dyDescent="0.25">
      <c r="A8" s="39" t="s">
        <v>702</v>
      </c>
      <c r="B8" s="340"/>
      <c r="C8" s="424"/>
      <c r="D8" s="353"/>
      <c r="E8" s="407"/>
      <c r="F8" s="403"/>
      <c r="G8" s="411">
        <f>+IF($C$1="hold",$K$7,0)*$C$50/12*B4</f>
        <v>0</v>
      </c>
      <c r="H8" s="425"/>
      <c r="I8" s="128"/>
      <c r="J8" s="665"/>
      <c r="K8" s="676"/>
    </row>
    <row r="9" spans="1:18" ht="12" customHeight="1" thickBot="1" x14ac:dyDescent="0.25">
      <c r="A9" s="137" t="str">
        <f>IF(R3=3,"Delta Mortgages","Monthly Rent:")</f>
        <v>Delta Mortgages</v>
      </c>
      <c r="B9" s="639">
        <v>1825</v>
      </c>
      <c r="C9" s="661"/>
      <c r="D9" s="408"/>
      <c r="E9" s="409"/>
      <c r="F9" s="404"/>
      <c r="G9" s="412"/>
      <c r="H9" s="413"/>
      <c r="I9" s="421">
        <f>IF(OR(C1="Hold",D1="Slow Flip"),IF(C1="hold",+B9,+Amortization!AJ7),"")</f>
        <v>429.60000000000014</v>
      </c>
      <c r="J9" s="664" t="s">
        <v>14</v>
      </c>
      <c r="K9" s="590">
        <v>2058</v>
      </c>
    </row>
    <row r="10" spans="1:18" ht="12" customHeight="1" thickBot="1" x14ac:dyDescent="0.25">
      <c r="C10" s="682" t="s">
        <v>15</v>
      </c>
      <c r="D10" s="634" t="s">
        <v>15</v>
      </c>
      <c r="E10" s="118">
        <f>SUM(D4:E9)</f>
        <v>25095</v>
      </c>
      <c r="F10" s="586">
        <f>+SUM(F4:G9)</f>
        <v>0</v>
      </c>
      <c r="G10" s="587"/>
      <c r="H10" s="586">
        <f>SUM(H4:I9)</f>
        <v>429.60000000000014</v>
      </c>
      <c r="I10" s="587"/>
      <c r="J10" s="665"/>
      <c r="K10" s="591"/>
      <c r="M10" s="463" t="s">
        <v>716</v>
      </c>
      <c r="O10" s="438"/>
    </row>
    <row r="11" spans="1:18" ht="12" customHeight="1" thickBot="1" x14ac:dyDescent="0.3">
      <c r="C11" s="119"/>
      <c r="D11" s="120"/>
      <c r="E11" s="113"/>
      <c r="F11" s="594" t="str">
        <f>IF(R3=3,"Profit calcuations based on selling in 5 years","")</f>
        <v>Profit calcuations based on selling in 5 years</v>
      </c>
      <c r="G11" s="595"/>
      <c r="H11" s="595"/>
      <c r="I11" s="596"/>
      <c r="M11" s="463" t="s">
        <v>719</v>
      </c>
      <c r="N11" s="140">
        <v>250000</v>
      </c>
      <c r="O11" s="460" t="b">
        <f>+$B$4&gt;N11</f>
        <v>0</v>
      </c>
    </row>
    <row r="12" spans="1:18" ht="12" customHeight="1" thickTop="1" thickBot="1" x14ac:dyDescent="0.25">
      <c r="A12" s="121" t="s">
        <v>16</v>
      </c>
      <c r="B12" s="121"/>
      <c r="C12" s="122"/>
      <c r="D12" s="378"/>
      <c r="E12" s="379"/>
      <c r="F12" s="386"/>
      <c r="G12" s="433"/>
      <c r="H12" s="388"/>
      <c r="I12" s="423"/>
      <c r="M12" s="463" t="s">
        <v>720</v>
      </c>
      <c r="N12" s="140">
        <v>700000</v>
      </c>
      <c r="O12" s="460" t="b">
        <f>+$B$4&lt;N12</f>
        <v>1</v>
      </c>
    </row>
    <row r="13" spans="1:18" ht="12" customHeight="1" thickBot="1" x14ac:dyDescent="0.25">
      <c r="A13" s="39" t="s">
        <v>701</v>
      </c>
      <c r="B13" s="117"/>
      <c r="D13" s="406"/>
      <c r="E13" s="422"/>
      <c r="F13" s="358"/>
      <c r="G13" s="430">
        <f>IF(R3=3,+Amortization!AJ10,0)</f>
        <v>246568.99999999991</v>
      </c>
      <c r="H13" s="431"/>
      <c r="I13" s="432"/>
      <c r="J13" s="482" t="s">
        <v>8</v>
      </c>
      <c r="K13" s="484" t="b">
        <v>0</v>
      </c>
      <c r="M13" s="463" t="s">
        <v>718</v>
      </c>
      <c r="N13" s="140">
        <v>100000</v>
      </c>
      <c r="O13" s="460" t="b">
        <f ca="1">N13&lt;K61</f>
        <v>0</v>
      </c>
    </row>
    <row r="14" spans="1:18" ht="11.25" customHeight="1" thickBot="1" x14ac:dyDescent="0.3">
      <c r="A14" s="39" t="s">
        <v>17</v>
      </c>
      <c r="B14" s="332"/>
      <c r="C14" s="462">
        <v>20659.02</v>
      </c>
      <c r="D14" s="380">
        <f>-C14</f>
        <v>-20659.02</v>
      </c>
      <c r="E14" s="354"/>
      <c r="F14" s="387"/>
      <c r="G14" s="147">
        <f>IF(K13,0,0.3*C14)</f>
        <v>6197.7060000000001</v>
      </c>
      <c r="H14" s="629" t="s">
        <v>18</v>
      </c>
      <c r="I14" s="630"/>
      <c r="J14" s="562" t="s">
        <v>19</v>
      </c>
      <c r="K14" s="677"/>
      <c r="M14" s="463" t="s">
        <v>717</v>
      </c>
      <c r="N14" s="464">
        <v>0.35</v>
      </c>
      <c r="O14" s="460" t="b">
        <f ca="1">N14&lt;K61/B4</f>
        <v>0</v>
      </c>
    </row>
    <row r="15" spans="1:18" ht="12" customHeight="1" x14ac:dyDescent="0.2">
      <c r="A15" s="39" t="s">
        <v>20</v>
      </c>
      <c r="B15" s="249">
        <v>0.03</v>
      </c>
      <c r="C15" s="210">
        <v>174164</v>
      </c>
      <c r="D15" s="380">
        <f>-C15</f>
        <v>-174164</v>
      </c>
      <c r="E15" s="354">
        <f>+C15</f>
        <v>174164</v>
      </c>
      <c r="F15" s="358">
        <f>IF(OR(R3=1,R3=2,R3=3),IF(OR(R3=1,R3=2),-C15,Amortization!AI9),0)</f>
        <v>-148172.47999999989</v>
      </c>
      <c r="G15" s="483"/>
      <c r="H15" s="395"/>
      <c r="I15" s="396"/>
      <c r="J15" s="678"/>
      <c r="K15" s="679"/>
      <c r="M15" s="463" t="s">
        <v>722</v>
      </c>
      <c r="N15" s="140">
        <v>30000</v>
      </c>
      <c r="O15" s="460" t="b">
        <f>+N15&gt;($C$14+$C$20)</f>
        <v>0</v>
      </c>
    </row>
    <row r="16" spans="1:18" ht="12" customHeight="1" x14ac:dyDescent="0.2">
      <c r="A16" s="39" t="s">
        <v>694</v>
      </c>
      <c r="B16" s="209"/>
      <c r="C16" s="210"/>
      <c r="D16" s="380"/>
      <c r="E16" s="354"/>
      <c r="F16" s="358">
        <f>-(120-C49)*(C16/120)</f>
        <v>0</v>
      </c>
      <c r="G16" s="359"/>
      <c r="H16" s="395">
        <f>-(C16*B16/12)</f>
        <v>0</v>
      </c>
      <c r="I16" s="396"/>
      <c r="J16" s="678"/>
      <c r="K16" s="679"/>
      <c r="M16" s="463" t="s">
        <v>721</v>
      </c>
      <c r="N16" s="140">
        <v>140000</v>
      </c>
      <c r="O16" s="460" t="b">
        <f>+N16&gt;($C$14+$C$20+E19)</f>
        <v>1</v>
      </c>
    </row>
    <row r="17" spans="1:17" ht="12" customHeight="1" thickBot="1" x14ac:dyDescent="0.25">
      <c r="A17" s="39" t="s">
        <v>21</v>
      </c>
      <c r="B17" s="209">
        <v>0.03</v>
      </c>
      <c r="C17" s="210"/>
      <c r="D17" s="353">
        <f>-C17*0.5</f>
        <v>0</v>
      </c>
      <c r="E17" s="354"/>
      <c r="F17" s="358">
        <f>-C17*0.5</f>
        <v>0</v>
      </c>
      <c r="G17" s="359"/>
      <c r="H17" s="395">
        <f>-C17/120-(C17*B17/12)</f>
        <v>0</v>
      </c>
      <c r="I17" s="396"/>
      <c r="J17" s="680"/>
      <c r="K17" s="681"/>
      <c r="O17" s="460"/>
    </row>
    <row r="18" spans="1:17" ht="12" customHeight="1" thickBot="1" x14ac:dyDescent="0.25">
      <c r="A18" s="39" t="s">
        <v>22</v>
      </c>
      <c r="B18" s="188"/>
      <c r="C18" s="189"/>
      <c r="D18" s="380">
        <f>-C18</f>
        <v>0</v>
      </c>
      <c r="E18" s="354"/>
      <c r="F18" s="358"/>
      <c r="G18" s="359"/>
      <c r="H18" s="395"/>
      <c r="I18" s="396"/>
      <c r="J18" s="41"/>
      <c r="K18" s="41"/>
      <c r="O18" s="460"/>
    </row>
    <row r="19" spans="1:17" ht="12" customHeight="1" thickBot="1" x14ac:dyDescent="0.25">
      <c r="A19" s="39" t="s">
        <v>685</v>
      </c>
      <c r="B19" s="351">
        <f>+B17</f>
        <v>0.03</v>
      </c>
      <c r="C19" s="352">
        <v>0</v>
      </c>
      <c r="D19" s="353">
        <f>-C19</f>
        <v>0</v>
      </c>
      <c r="E19" s="354">
        <f>+C19</f>
        <v>0</v>
      </c>
      <c r="F19" s="355">
        <f>IF(B1="flip",-C19,0)</f>
        <v>0</v>
      </c>
      <c r="G19" s="356"/>
      <c r="H19" s="395"/>
      <c r="I19" s="396"/>
      <c r="J19" s="41"/>
      <c r="K19" s="41"/>
      <c r="O19" s="460"/>
      <c r="P19" s="471"/>
    </row>
    <row r="20" spans="1:17" ht="12" customHeight="1" thickBot="1" x14ac:dyDescent="0.25">
      <c r="A20" s="137" t="s">
        <v>24</v>
      </c>
      <c r="B20" s="461"/>
      <c r="C20" s="340">
        <v>10000</v>
      </c>
      <c r="D20" s="380">
        <f>-C20</f>
        <v>-10000</v>
      </c>
      <c r="E20" s="354"/>
      <c r="F20" s="358"/>
      <c r="G20" s="359"/>
      <c r="H20" s="398"/>
      <c r="I20" s="396"/>
      <c r="J20" s="41"/>
      <c r="K20" s="41"/>
      <c r="O20" s="437"/>
      <c r="P20" s="471"/>
    </row>
    <row r="21" spans="1:17" ht="12" customHeight="1" thickBot="1" x14ac:dyDescent="0.3">
      <c r="A21" s="39" t="s">
        <v>693</v>
      </c>
      <c r="B21" s="659">
        <f>-SUM(D14:D20)</f>
        <v>204823.02</v>
      </c>
      <c r="C21" s="660"/>
      <c r="D21" s="380"/>
      <c r="E21" s="354"/>
      <c r="F21" s="358"/>
      <c r="G21" s="359"/>
      <c r="H21" s="398"/>
      <c r="I21" s="396"/>
      <c r="P21" s="471"/>
    </row>
    <row r="22" spans="1:17" ht="12" customHeight="1" thickBot="1" x14ac:dyDescent="0.25">
      <c r="A22" s="39" t="s">
        <v>686</v>
      </c>
      <c r="B22" s="357">
        <v>0.9</v>
      </c>
      <c r="C22" s="352">
        <f>IF(C1="Hold",+B4*B22,0)</f>
        <v>0</v>
      </c>
      <c r="D22" s="353"/>
      <c r="E22" s="354">
        <f>IF(AND(Q1,R3=2),C22+B21,0)</f>
        <v>0</v>
      </c>
      <c r="F22" s="358" t="str">
        <f>IF(AND(Q1,R3=2),-C22,"")</f>
        <v/>
      </c>
      <c r="G22" s="359"/>
      <c r="H22" s="397">
        <f>IF(AND(Q1,R3=2),IF(Q2,IPMT(B23/12,1,C23*12,C22),PMT(B23/12,12*C23,C22)),0)</f>
        <v>0</v>
      </c>
      <c r="I22" s="396"/>
      <c r="J22" s="592" t="s">
        <v>698</v>
      </c>
      <c r="K22" s="593"/>
      <c r="P22" s="471"/>
    </row>
    <row r="23" spans="1:17" ht="12" customHeight="1" thickBot="1" x14ac:dyDescent="0.25">
      <c r="A23" s="39" t="s">
        <v>687</v>
      </c>
      <c r="B23" s="360">
        <v>6.5000000000000002E-2</v>
      </c>
      <c r="C23" s="361">
        <v>30</v>
      </c>
      <c r="D23" s="353"/>
      <c r="E23" s="354"/>
      <c r="F23" s="358"/>
      <c r="G23" s="359"/>
      <c r="H23" s="398"/>
      <c r="I23" s="396"/>
      <c r="J23" s="592" t="s">
        <v>684</v>
      </c>
      <c r="K23" s="593"/>
      <c r="P23" s="471"/>
    </row>
    <row r="24" spans="1:17" ht="12" customHeight="1" thickBot="1" x14ac:dyDescent="0.25">
      <c r="A24" s="39" t="s">
        <v>688</v>
      </c>
      <c r="B24" s="631">
        <v>45566</v>
      </c>
      <c r="C24" s="632"/>
      <c r="D24" s="353"/>
      <c r="E24" s="354"/>
      <c r="F24" s="358"/>
      <c r="G24" s="359"/>
      <c r="H24" s="398"/>
      <c r="I24" s="396"/>
      <c r="K24" s="41"/>
      <c r="M24" s="463">
        <v>45680</v>
      </c>
      <c r="N24" s="140">
        <v>398800</v>
      </c>
      <c r="P24" s="471"/>
    </row>
    <row r="25" spans="1:17" ht="12" customHeight="1" thickBot="1" x14ac:dyDescent="0.25">
      <c r="A25" s="137" t="s">
        <v>23</v>
      </c>
      <c r="B25" s="174">
        <v>0</v>
      </c>
      <c r="C25" s="175"/>
      <c r="D25" s="380"/>
      <c r="E25" s="354"/>
      <c r="F25" s="358"/>
      <c r="G25" s="359"/>
      <c r="H25" s="397"/>
      <c r="I25" s="396"/>
      <c r="M25" s="463">
        <v>45694</v>
      </c>
      <c r="N25" s="140">
        <v>399400</v>
      </c>
      <c r="Q25" s="140"/>
    </row>
    <row r="26" spans="1:17" ht="12" customHeight="1" thickBot="1" x14ac:dyDescent="0.25">
      <c r="A26" s="137" t="s">
        <v>26</v>
      </c>
      <c r="B26" s="151"/>
      <c r="C26" s="175">
        <v>0</v>
      </c>
      <c r="D26" s="380">
        <f>-B26</f>
        <v>0</v>
      </c>
      <c r="E26" s="354"/>
      <c r="F26" s="358"/>
      <c r="G26" s="359"/>
      <c r="H26" s="398"/>
      <c r="I26" s="396"/>
      <c r="Q26" s="140"/>
    </row>
    <row r="27" spans="1:17" ht="12" customHeight="1" thickBot="1" x14ac:dyDescent="0.25">
      <c r="A27" s="137" t="s">
        <v>531</v>
      </c>
      <c r="B27" s="662">
        <v>5000</v>
      </c>
      <c r="C27" s="663">
        <v>5000</v>
      </c>
      <c r="D27" s="380">
        <f>-B27</f>
        <v>-5000</v>
      </c>
      <c r="E27" s="354"/>
      <c r="F27" s="358"/>
      <c r="G27" s="359"/>
      <c r="H27" s="398"/>
      <c r="I27" s="396"/>
    </row>
    <row r="28" spans="1:17" ht="12" customHeight="1" thickBot="1" x14ac:dyDescent="0.25">
      <c r="A28" s="137" t="s">
        <v>655</v>
      </c>
      <c r="B28" s="335">
        <f ca="1">+F72/30</f>
        <v>22.066666666666666</v>
      </c>
      <c r="C28" s="126"/>
      <c r="D28" s="380"/>
      <c r="E28" s="354"/>
      <c r="F28" s="358"/>
      <c r="G28" s="359"/>
      <c r="H28" s="397"/>
      <c r="I28" s="396"/>
      <c r="Q28" s="140"/>
    </row>
    <row r="29" spans="1:17" ht="12" customHeight="1" x14ac:dyDescent="0.2">
      <c r="A29" s="137" t="s">
        <v>650</v>
      </c>
      <c r="B29" s="333">
        <f>+STR!K17/12</f>
        <v>0</v>
      </c>
      <c r="C29" s="126"/>
      <c r="D29" s="380"/>
      <c r="E29" s="354"/>
      <c r="F29" s="358"/>
      <c r="G29" s="359"/>
      <c r="H29" s="397">
        <f>-B29</f>
        <v>0</v>
      </c>
      <c r="I29" s="396"/>
      <c r="J29" s="649" t="s">
        <v>25</v>
      </c>
      <c r="K29" s="564"/>
      <c r="Q29" s="140"/>
    </row>
    <row r="30" spans="1:17" ht="12" customHeight="1" thickBot="1" x14ac:dyDescent="0.25">
      <c r="A30" s="137" t="s">
        <v>654</v>
      </c>
      <c r="C30" s="334">
        <f>+B45/C50</f>
        <v>326.22942897251909</v>
      </c>
      <c r="D30" s="380"/>
      <c r="E30" s="354"/>
      <c r="F30" s="358"/>
      <c r="G30" s="359"/>
      <c r="H30" s="397"/>
      <c r="I30" s="396"/>
      <c r="J30" s="650"/>
      <c r="K30" s="651"/>
      <c r="O30" s="272"/>
      <c r="P30" s="471"/>
    </row>
    <row r="31" spans="1:17" ht="12" customHeight="1" x14ac:dyDescent="0.2">
      <c r="A31" s="137" t="s">
        <v>843</v>
      </c>
      <c r="B31" s="539">
        <f ca="1">+Carrying!B25/Profit!$B$28</f>
        <v>18.34395770392749</v>
      </c>
      <c r="C31" s="126"/>
      <c r="D31" s="380"/>
      <c r="E31" s="354"/>
      <c r="F31" s="358"/>
      <c r="G31" s="359"/>
      <c r="H31" s="397">
        <f ca="1">IF($R$3=3,-B31,0)</f>
        <v>-18.34395770392749</v>
      </c>
      <c r="I31" s="396">
        <f ca="1">IF($R$3=3,+B31,0)</f>
        <v>18.34395770392749</v>
      </c>
      <c r="J31" s="623" t="s">
        <v>27</v>
      </c>
      <c r="K31" s="624"/>
      <c r="P31" s="471"/>
    </row>
    <row r="32" spans="1:17" ht="12" customHeight="1" x14ac:dyDescent="0.2">
      <c r="A32" s="137" t="s">
        <v>858</v>
      </c>
      <c r="B32" s="539">
        <f ca="1">+Carrying!E25/Profit!$B$28</f>
        <v>1004.2549848942597</v>
      </c>
      <c r="C32" s="126"/>
      <c r="D32" s="380"/>
      <c r="E32" s="354"/>
      <c r="F32" s="358"/>
      <c r="G32" s="359"/>
      <c r="H32" s="397"/>
      <c r="I32" s="396"/>
      <c r="J32" s="625"/>
      <c r="K32" s="626"/>
      <c r="P32" s="471"/>
    </row>
    <row r="33" spans="1:11" ht="12" customHeight="1" x14ac:dyDescent="0.2">
      <c r="A33" s="137" t="s">
        <v>660</v>
      </c>
      <c r="B33" s="539">
        <f ca="1">+Carrying!H25/Profit!$B$28</f>
        <v>0</v>
      </c>
      <c r="C33" s="126"/>
      <c r="D33" s="380"/>
      <c r="E33" s="354"/>
      <c r="F33" s="358"/>
      <c r="G33" s="359"/>
      <c r="H33" s="397">
        <f ca="1">IF($R$3=3,-B33,0)</f>
        <v>0</v>
      </c>
      <c r="I33" s="396">
        <f ca="1">IF($R$3=3,+B33,0)</f>
        <v>0</v>
      </c>
      <c r="J33" s="625"/>
      <c r="K33" s="626"/>
    </row>
    <row r="34" spans="1:11" ht="12" customHeight="1" thickBot="1" x14ac:dyDescent="0.25">
      <c r="A34" s="137" t="s">
        <v>844</v>
      </c>
      <c r="B34" s="539">
        <f ca="1">+Carrying!K25/Profit!$B$28</f>
        <v>0</v>
      </c>
      <c r="C34" s="126"/>
      <c r="D34" s="380"/>
      <c r="E34" s="354"/>
      <c r="F34" s="358"/>
      <c r="G34" s="359"/>
      <c r="H34" s="397">
        <f ca="1">IF($R$3=3,-B34,0)</f>
        <v>0</v>
      </c>
      <c r="I34" s="396">
        <f ca="1">IF($R$3=3,+B34,0)</f>
        <v>0</v>
      </c>
      <c r="J34" s="627"/>
      <c r="K34" s="628"/>
    </row>
    <row r="35" spans="1:11" ht="12" customHeight="1" x14ac:dyDescent="0.2">
      <c r="A35" s="137" t="s">
        <v>519</v>
      </c>
      <c r="B35" s="539">
        <f ca="1">+Carrying!N25/Profit!$B$28</f>
        <v>121.07854984894263</v>
      </c>
      <c r="C35" s="126"/>
      <c r="D35" s="380"/>
      <c r="E35" s="354"/>
      <c r="F35" s="358"/>
      <c r="G35" s="359"/>
      <c r="H35" s="397"/>
      <c r="I35" s="396"/>
    </row>
    <row r="36" spans="1:11" ht="12" customHeight="1" x14ac:dyDescent="0.2">
      <c r="A36" s="137" t="s">
        <v>845</v>
      </c>
      <c r="B36" s="539">
        <f ca="1">+Carrying!Q25/Profit!$B$28</f>
        <v>17.220543806646525</v>
      </c>
      <c r="C36" s="126"/>
      <c r="D36" s="380"/>
      <c r="E36" s="354"/>
      <c r="F36" s="358"/>
      <c r="G36" s="359"/>
      <c r="H36" s="397"/>
      <c r="I36" s="396"/>
    </row>
    <row r="37" spans="1:11" ht="12" customHeight="1" x14ac:dyDescent="0.2">
      <c r="A37" s="137" t="s">
        <v>846</v>
      </c>
      <c r="B37" s="539">
        <f ca="1">+Carrying!T25/Profit!$B$28</f>
        <v>0</v>
      </c>
      <c r="C37" s="126"/>
      <c r="D37" s="380"/>
      <c r="E37" s="354"/>
      <c r="F37" s="358"/>
      <c r="G37" s="359"/>
      <c r="H37" s="397"/>
      <c r="I37" s="396"/>
    </row>
    <row r="38" spans="1:11" ht="12" customHeight="1" x14ac:dyDescent="0.2">
      <c r="A38" s="137" t="s">
        <v>659</v>
      </c>
      <c r="B38" s="539">
        <f ca="1">+Carrying!W25/Profit!$B$28</f>
        <v>8.6102719033232624</v>
      </c>
      <c r="C38" s="126"/>
      <c r="D38" s="380"/>
      <c r="E38" s="354"/>
      <c r="F38" s="358"/>
      <c r="G38" s="359"/>
      <c r="H38" s="397"/>
      <c r="I38" s="396"/>
    </row>
    <row r="39" spans="1:11" ht="12" customHeight="1" x14ac:dyDescent="0.2">
      <c r="A39" s="137" t="s">
        <v>727</v>
      </c>
      <c r="B39" s="539">
        <f ca="1">+Carrying!Z25/Profit!$B$28</f>
        <v>0</v>
      </c>
      <c r="C39" s="126"/>
      <c r="D39" s="380"/>
      <c r="E39" s="354"/>
      <c r="F39" s="358"/>
      <c r="G39" s="359"/>
      <c r="H39" s="397"/>
      <c r="I39" s="396"/>
    </row>
    <row r="40" spans="1:11" ht="12" customHeight="1" thickBot="1" x14ac:dyDescent="0.25">
      <c r="A40" s="137" t="s">
        <v>847</v>
      </c>
      <c r="B40" s="539">
        <f ca="1">+Carrying!AC25/Profit!$B$28</f>
        <v>0</v>
      </c>
      <c r="C40" s="126"/>
      <c r="D40" s="380"/>
      <c r="E40" s="354"/>
      <c r="F40" s="358"/>
      <c r="G40" s="359"/>
      <c r="H40" s="397"/>
      <c r="I40" s="396"/>
    </row>
    <row r="41" spans="1:11" ht="12" customHeight="1" thickBot="1" x14ac:dyDescent="0.25">
      <c r="A41" s="137" t="s">
        <v>848</v>
      </c>
      <c r="B41" s="539">
        <f ca="1">+Carrying!AF25/Profit!$B$28</f>
        <v>0</v>
      </c>
      <c r="C41" s="126"/>
      <c r="D41" s="380"/>
      <c r="E41" s="354"/>
      <c r="F41" s="358"/>
      <c r="G41" s="359"/>
      <c r="H41" s="397"/>
      <c r="I41" s="396"/>
      <c r="J41" s="652" t="s">
        <v>29</v>
      </c>
      <c r="K41" s="654">
        <f ca="1">IF(+R3=3,-H54,+B42/B28)</f>
        <v>18.34395770392749</v>
      </c>
    </row>
    <row r="42" spans="1:11" ht="12" customHeight="1" thickBot="1" x14ac:dyDescent="0.3">
      <c r="A42" s="39" t="s">
        <v>29</v>
      </c>
      <c r="B42" s="540">
        <f ca="1">+B28*SUM(B31:B41)</f>
        <v>25807.149999999994</v>
      </c>
      <c r="C42" s="533"/>
      <c r="D42" s="353">
        <f ca="1">-B42</f>
        <v>-25807.149999999994</v>
      </c>
      <c r="E42" s="354"/>
      <c r="F42" s="358"/>
      <c r="G42" s="359"/>
      <c r="H42" s="397"/>
      <c r="I42" s="396"/>
      <c r="J42" s="653"/>
      <c r="K42" s="655"/>
    </row>
    <row r="43" spans="1:11" ht="12" customHeight="1" thickBot="1" x14ac:dyDescent="0.25">
      <c r="A43" s="137" t="s">
        <v>31</v>
      </c>
      <c r="B43" s="335">
        <v>0.1</v>
      </c>
      <c r="C43" s="126" t="b">
        <v>0</v>
      </c>
      <c r="D43" s="380"/>
      <c r="E43" s="354"/>
      <c r="F43" s="358"/>
      <c r="G43" s="359"/>
      <c r="H43" s="397"/>
      <c r="I43" s="396"/>
    </row>
    <row r="44" spans="1:11" ht="12" customHeight="1" x14ac:dyDescent="0.2">
      <c r="A44" s="137" t="s">
        <v>32</v>
      </c>
      <c r="B44" s="335">
        <f>IF(C43,+(B6*0.75)-SUM(C15:C20),0)</f>
        <v>0</v>
      </c>
      <c r="C44" s="126"/>
      <c r="D44" s="380"/>
      <c r="E44" s="354">
        <f>B44</f>
        <v>0</v>
      </c>
      <c r="F44" s="358">
        <f>IF(C43,-E44,0)</f>
        <v>0</v>
      </c>
      <c r="G44" s="359"/>
      <c r="H44" s="397">
        <f>IF($R$3=3,-E44*B43/12,0)</f>
        <v>0</v>
      </c>
      <c r="I44" s="396"/>
      <c r="J44" s="652" t="s">
        <v>996</v>
      </c>
      <c r="K44" s="654">
        <f>+SUM(C15:C19)+B44</f>
        <v>174164</v>
      </c>
    </row>
    <row r="45" spans="1:11" ht="12" customHeight="1" thickBot="1" x14ac:dyDescent="0.25">
      <c r="A45" s="137" t="s">
        <v>34</v>
      </c>
      <c r="B45" s="335">
        <f>-D67</f>
        <v>11744.259443010687</v>
      </c>
      <c r="C45" s="126"/>
      <c r="D45" s="380">
        <f>-B45</f>
        <v>-11744.259443010687</v>
      </c>
      <c r="E45" s="354"/>
      <c r="F45" s="358"/>
      <c r="G45" s="359"/>
      <c r="H45" s="398"/>
      <c r="I45" s="396"/>
      <c r="J45" s="653"/>
      <c r="K45" s="655"/>
    </row>
    <row r="46" spans="1:11" ht="12" customHeight="1" thickBot="1" x14ac:dyDescent="0.25">
      <c r="A46" s="137" t="s">
        <v>35</v>
      </c>
      <c r="B46" s="335">
        <v>600</v>
      </c>
      <c r="C46" s="126"/>
      <c r="D46" s="380">
        <f>-B46</f>
        <v>-600</v>
      </c>
      <c r="E46" s="354"/>
      <c r="F46" s="358"/>
      <c r="G46" s="359"/>
      <c r="H46" s="398"/>
      <c r="I46" s="396"/>
    </row>
    <row r="47" spans="1:11" ht="12" customHeight="1" thickBot="1" x14ac:dyDescent="0.3">
      <c r="A47" s="39" t="s">
        <v>37</v>
      </c>
      <c r="B47" s="534"/>
      <c r="C47" s="533">
        <v>500</v>
      </c>
      <c r="D47" s="380"/>
      <c r="E47" s="354"/>
      <c r="F47" s="358" t="str">
        <f>IF(Q3,-C47,"")</f>
        <v/>
      </c>
      <c r="G47" s="359"/>
      <c r="H47" s="398"/>
      <c r="I47" s="396"/>
      <c r="J47" s="612" t="s">
        <v>30</v>
      </c>
      <c r="K47" s="621">
        <f>+B21</f>
        <v>204823.02</v>
      </c>
    </row>
    <row r="48" spans="1:11" ht="12" customHeight="1" thickBot="1" x14ac:dyDescent="0.25">
      <c r="A48" s="138" t="s">
        <v>38</v>
      </c>
      <c r="B48" s="434"/>
      <c r="C48" s="139">
        <v>3.5999999999999997E-2</v>
      </c>
      <c r="D48" s="380"/>
      <c r="E48" s="354"/>
      <c r="F48" s="358">
        <f>IF(Q4,IF(OR(R3=1,R3=2),-C48*$F$10,0),"")</f>
        <v>0</v>
      </c>
      <c r="G48" s="359"/>
      <c r="H48" s="398"/>
      <c r="I48" s="396"/>
      <c r="J48" s="613"/>
      <c r="K48" s="622"/>
    </row>
    <row r="49" spans="1:15" ht="12" customHeight="1" thickBot="1" x14ac:dyDescent="0.25">
      <c r="A49" s="138" t="s">
        <v>39</v>
      </c>
      <c r="B49" s="435"/>
      <c r="C49" s="192">
        <v>0.02</v>
      </c>
      <c r="D49" s="380"/>
      <c r="E49" s="354"/>
      <c r="F49" s="358">
        <f>IF(Q5,IF(OR(R3=1,R3=2),-C49*$F$10,0),"")</f>
        <v>0</v>
      </c>
      <c r="G49" s="359"/>
      <c r="H49" s="398"/>
      <c r="I49" s="396"/>
      <c r="J49" s="612" t="s">
        <v>33</v>
      </c>
      <c r="K49" s="621">
        <f ca="1">-E55</f>
        <v>49655.429443010667</v>
      </c>
    </row>
    <row r="50" spans="1:15" ht="12" customHeight="1" thickBot="1" x14ac:dyDescent="0.25">
      <c r="A50" s="193" t="s">
        <v>40</v>
      </c>
      <c r="B50" s="191"/>
      <c r="C50" s="220">
        <v>36</v>
      </c>
      <c r="D50" s="380"/>
      <c r="E50" s="354"/>
      <c r="F50" s="358"/>
      <c r="G50" s="359"/>
      <c r="H50" s="398"/>
      <c r="I50" s="396"/>
      <c r="J50" s="613"/>
      <c r="K50" s="622"/>
    </row>
    <row r="51" spans="1:15" ht="12" customHeight="1" thickBot="1" x14ac:dyDescent="0.3">
      <c r="A51" s="39" t="s">
        <v>41</v>
      </c>
      <c r="B51" s="639"/>
      <c r="C51" s="640"/>
      <c r="D51" s="381"/>
      <c r="E51" s="354"/>
      <c r="F51" s="358">
        <f>-C51</f>
        <v>0</v>
      </c>
      <c r="G51" s="359"/>
      <c r="H51" s="399"/>
      <c r="I51" s="396"/>
      <c r="J51" s="542" t="s">
        <v>36</v>
      </c>
      <c r="K51" s="609"/>
    </row>
    <row r="52" spans="1:15" ht="12" customHeight="1" thickBot="1" x14ac:dyDescent="0.25">
      <c r="A52" s="39" t="s">
        <v>42</v>
      </c>
      <c r="B52" s="637">
        <f>+D87</f>
        <v>940</v>
      </c>
      <c r="C52" s="638"/>
      <c r="D52" s="380">
        <f>-B52</f>
        <v>-940</v>
      </c>
      <c r="E52" s="354"/>
      <c r="F52" s="358"/>
      <c r="G52" s="359"/>
      <c r="H52" s="399"/>
      <c r="I52" s="396"/>
      <c r="J52" s="610"/>
      <c r="K52" s="611"/>
    </row>
    <row r="53" spans="1:15" ht="12" customHeight="1" thickBot="1" x14ac:dyDescent="0.25">
      <c r="A53" s="39" t="s">
        <v>43</v>
      </c>
      <c r="B53" s="635">
        <f>+D98</f>
        <v>290</v>
      </c>
      <c r="C53" s="636"/>
      <c r="D53" s="382"/>
      <c r="E53" s="383"/>
      <c r="F53" s="384">
        <f>-B53</f>
        <v>-290</v>
      </c>
      <c r="G53" s="385"/>
      <c r="H53" s="400"/>
      <c r="I53" s="401"/>
    </row>
    <row r="54" spans="1:15" ht="12" customHeight="1" thickBot="1" x14ac:dyDescent="0.25">
      <c r="B54" s="633" t="s">
        <v>44</v>
      </c>
      <c r="C54" s="634"/>
      <c r="D54" s="202">
        <f ca="1">+SUM(D14:D53)</f>
        <v>-248914.42944301068</v>
      </c>
      <c r="E54" s="465"/>
      <c r="F54" s="466">
        <f>+SUM(F14:F53)</f>
        <v>-148462.47999999989</v>
      </c>
      <c r="G54" s="465"/>
      <c r="H54" s="467">
        <f ca="1">SUM(H15:H53)</f>
        <v>-18.34395770392749</v>
      </c>
      <c r="I54" s="468">
        <f ca="1">SUM(I15:I53)+H10</f>
        <v>447.94395770392765</v>
      </c>
    </row>
    <row r="55" spans="1:15" ht="12" customHeight="1" thickBot="1" x14ac:dyDescent="0.25">
      <c r="A55" s="40"/>
      <c r="B55" s="647" t="s">
        <v>45</v>
      </c>
      <c r="C55" s="648"/>
      <c r="D55" s="648"/>
      <c r="E55" s="144">
        <f ca="1">+SUM(D10:E53)</f>
        <v>-49655.429443010667</v>
      </c>
      <c r="F55" s="588">
        <f>+SUM(F10:G53)</f>
        <v>104304.22600000002</v>
      </c>
      <c r="G55" s="589"/>
      <c r="H55" s="142"/>
      <c r="I55" s="146">
        <f ca="1">+SUM(H54:I54)</f>
        <v>429.60000000000014</v>
      </c>
      <c r="O55" s="113"/>
    </row>
    <row r="56" spans="1:15" ht="12" customHeight="1" x14ac:dyDescent="0.2">
      <c r="A56" s="40"/>
      <c r="B56" s="40"/>
      <c r="D56" s="40"/>
      <c r="E56" s="570" t="s">
        <v>46</v>
      </c>
      <c r="F56" s="571"/>
      <c r="G56" s="141">
        <f ca="1">SUM(E55:G55)</f>
        <v>54648.796556989357</v>
      </c>
      <c r="H56" s="142"/>
      <c r="I56" s="143"/>
      <c r="J56" s="551" t="s">
        <v>47</v>
      </c>
      <c r="K56" s="568" t="s">
        <v>48</v>
      </c>
      <c r="O56" s="113"/>
    </row>
    <row r="57" spans="1:15" ht="12" customHeight="1" thickBot="1" x14ac:dyDescent="0.25">
      <c r="A57" s="40"/>
      <c r="B57" s="40"/>
      <c r="E57" s="570" t="s">
        <v>49</v>
      </c>
      <c r="F57" s="571"/>
      <c r="G57" s="571"/>
      <c r="H57" s="470">
        <f>IF(OR(R3=2,R3=3),IF(R3=2,C50,60),0)</f>
        <v>60</v>
      </c>
      <c r="I57" s="203">
        <f ca="1">IF(OR(R3=2,R3=3),+H57*I55,0)</f>
        <v>25776.000000000007</v>
      </c>
      <c r="J57" s="552"/>
      <c r="K57" s="569"/>
    </row>
    <row r="58" spans="1:15" ht="12" customHeight="1" thickBot="1" x14ac:dyDescent="0.25">
      <c r="A58" s="40"/>
      <c r="B58" s="40"/>
      <c r="E58" s="145"/>
      <c r="F58" s="553" t="s">
        <v>703</v>
      </c>
      <c r="G58" s="554"/>
      <c r="H58" s="129"/>
      <c r="I58" s="129">
        <f ca="1">+I57+G56</f>
        <v>80424.796556989371</v>
      </c>
      <c r="J58" s="130">
        <f ca="1">$B$25*$I$58</f>
        <v>0</v>
      </c>
      <c r="K58" s="131">
        <f ca="1">+$I$58-J58</f>
        <v>80424.796556989371</v>
      </c>
    </row>
    <row r="59" spans="1:15" ht="12" customHeight="1" thickTop="1" thickBot="1" x14ac:dyDescent="0.3">
      <c r="A59" s="132" t="s">
        <v>50</v>
      </c>
      <c r="B59" s="645">
        <f>IF(OR(C1="Hold",D1="slow flip"),0.15,0)</f>
        <v>0.15</v>
      </c>
      <c r="C59" s="646"/>
      <c r="D59" s="132"/>
      <c r="E59" s="132"/>
      <c r="H59" s="338"/>
      <c r="I59" s="339" t="s">
        <v>689</v>
      </c>
      <c r="J59" s="141">
        <f ca="1">-I81</f>
        <v>0</v>
      </c>
      <c r="K59" s="177">
        <f ca="1">+I81</f>
        <v>0</v>
      </c>
    </row>
    <row r="60" spans="1:15" ht="12" customHeight="1" thickTop="1" thickBot="1" x14ac:dyDescent="0.3">
      <c r="A60" s="39" t="s">
        <v>52</v>
      </c>
      <c r="B60" s="641">
        <v>0.1</v>
      </c>
      <c r="C60" s="642">
        <v>0.15</v>
      </c>
      <c r="D60" s="643">
        <f ca="1">+K62*B60</f>
        <v>6836.1077073440965</v>
      </c>
      <c r="E60" s="644"/>
      <c r="H60" s="560" t="s">
        <v>51</v>
      </c>
      <c r="I60" s="561"/>
      <c r="J60" s="436" t="s">
        <v>515</v>
      </c>
      <c r="K60" s="177">
        <f ca="1">IF(B59="",0,-$B$59*SUM(K58:K59))</f>
        <v>-12063.719483548406</v>
      </c>
    </row>
    <row r="61" spans="1:15" ht="12" customHeight="1" x14ac:dyDescent="0.2">
      <c r="G61" s="40"/>
      <c r="H61" s="560" t="s">
        <v>652</v>
      </c>
      <c r="I61" s="561"/>
      <c r="J61" s="130">
        <f ca="1">SUM(J58:J60)</f>
        <v>0</v>
      </c>
      <c r="K61" s="131">
        <f ca="1">SUM(K58:K60)</f>
        <v>68361.07707344096</v>
      </c>
    </row>
    <row r="62" spans="1:15" ht="12" customHeight="1" thickBot="1" x14ac:dyDescent="0.25">
      <c r="A62" s="117"/>
      <c r="C62" s="39"/>
      <c r="D62" s="39"/>
      <c r="E62" s="39"/>
      <c r="H62" s="553" t="s">
        <v>832</v>
      </c>
      <c r="I62" s="554"/>
      <c r="J62" s="135"/>
      <c r="K62" s="331">
        <f ca="1">SUM(J61:K61)</f>
        <v>68361.07707344096</v>
      </c>
    </row>
    <row r="63" spans="1:15" ht="12" customHeight="1" thickTop="1" x14ac:dyDescent="0.2">
      <c r="A63" s="121" t="s">
        <v>53</v>
      </c>
    </row>
    <row r="64" spans="1:15" ht="12" customHeight="1" thickBot="1" x14ac:dyDescent="0.25">
      <c r="A64" s="39" t="s">
        <v>54</v>
      </c>
      <c r="B64" s="574">
        <f>+'Gnatt Chart'!J5</f>
        <v>10676.599493646079</v>
      </c>
      <c r="C64" s="574"/>
      <c r="D64" s="574">
        <f>-B64</f>
        <v>-10676.599493646079</v>
      </c>
      <c r="E64" s="574"/>
    </row>
    <row r="65" spans="1:11" ht="12" customHeight="1" thickBot="1" x14ac:dyDescent="0.25">
      <c r="A65" s="39" t="s">
        <v>55</v>
      </c>
      <c r="B65" s="133">
        <v>0.1</v>
      </c>
      <c r="D65" s="574"/>
      <c r="E65" s="574"/>
      <c r="G65" s="562" t="s">
        <v>56</v>
      </c>
      <c r="H65" s="563"/>
      <c r="I65" s="563"/>
      <c r="J65" s="564"/>
    </row>
    <row r="66" spans="1:11" ht="12" customHeight="1" thickBot="1" x14ac:dyDescent="0.25">
      <c r="A66" s="39" t="s">
        <v>57</v>
      </c>
      <c r="B66" s="604">
        <f>IF(Q12&lt;&gt;"Yes",+B65*SUM(B64:C64),0)</f>
        <v>1067.6599493646079</v>
      </c>
      <c r="C66" s="604"/>
      <c r="D66" s="604">
        <f>-B66</f>
        <v>-1067.6599493646079</v>
      </c>
      <c r="E66" s="604"/>
      <c r="G66" s="565"/>
      <c r="H66" s="566"/>
      <c r="I66" s="566"/>
      <c r="J66" s="567"/>
    </row>
    <row r="67" spans="1:11" ht="12" customHeight="1" thickBot="1" x14ac:dyDescent="0.25">
      <c r="A67" s="39" t="s">
        <v>58</v>
      </c>
      <c r="D67" s="572">
        <f>+SUM(D64:E66)</f>
        <v>-11744.259443010687</v>
      </c>
      <c r="E67" s="573"/>
      <c r="G67" s="548" t="s">
        <v>638</v>
      </c>
      <c r="H67" s="549"/>
      <c r="I67" s="549"/>
      <c r="J67" s="550"/>
    </row>
    <row r="68" spans="1:11" ht="12" customHeight="1" thickTop="1" thickBot="1" x14ac:dyDescent="0.25">
      <c r="A68" s="134" t="s">
        <v>59</v>
      </c>
      <c r="B68" s="132"/>
      <c r="C68" s="132"/>
      <c r="D68" s="39"/>
      <c r="E68" s="39"/>
      <c r="G68" s="545"/>
      <c r="H68" s="546"/>
      <c r="I68" s="546"/>
      <c r="J68" s="547"/>
    </row>
    <row r="69" spans="1:11" ht="12" customHeight="1" x14ac:dyDescent="0.2">
      <c r="A69" s="39" t="s">
        <v>60</v>
      </c>
      <c r="B69" s="602">
        <v>350</v>
      </c>
      <c r="C69" s="603"/>
      <c r="D69" s="574"/>
      <c r="E69" s="574"/>
      <c r="H69" s="38"/>
      <c r="I69" s="38"/>
    </row>
    <row r="70" spans="1:11" ht="12" customHeight="1" thickBot="1" x14ac:dyDescent="0.25">
      <c r="A70" s="39" t="s">
        <v>61</v>
      </c>
      <c r="B70" s="582">
        <v>0</v>
      </c>
      <c r="C70" s="583"/>
      <c r="D70" s="574"/>
      <c r="E70" s="574"/>
      <c r="H70" s="38"/>
      <c r="I70" s="38"/>
    </row>
    <row r="71" spans="1:11" ht="12" customHeight="1" thickBot="1" x14ac:dyDescent="0.25">
      <c r="A71" s="39" t="s">
        <v>62</v>
      </c>
      <c r="B71" s="582">
        <v>250</v>
      </c>
      <c r="C71" s="583"/>
      <c r="F71" s="601" t="s">
        <v>524</v>
      </c>
      <c r="G71" s="577"/>
      <c r="H71" s="577" t="s">
        <v>230</v>
      </c>
      <c r="I71" s="577"/>
      <c r="J71" s="314" t="s">
        <v>525</v>
      </c>
    </row>
    <row r="72" spans="1:11" ht="12" customHeight="1" thickBot="1" x14ac:dyDescent="0.3">
      <c r="A72" s="39" t="s">
        <v>62</v>
      </c>
      <c r="B72" s="582"/>
      <c r="C72" s="583"/>
      <c r="F72" s="578">
        <f ca="1">_xlfn.DAYS(J72,H72)</f>
        <v>662</v>
      </c>
      <c r="G72" s="579"/>
      <c r="H72" s="580">
        <v>45509</v>
      </c>
      <c r="I72" s="581"/>
      <c r="J72" s="469">
        <f ca="1">NOW()</f>
        <v>46171.929316782407</v>
      </c>
    </row>
    <row r="73" spans="1:11" ht="12" customHeight="1" x14ac:dyDescent="0.2">
      <c r="A73" s="39" t="s">
        <v>63</v>
      </c>
      <c r="B73" s="582"/>
      <c r="C73" s="583"/>
      <c r="D73" s="123"/>
      <c r="E73" s="115"/>
      <c r="F73" s="115"/>
      <c r="G73" s="115"/>
      <c r="H73" s="315"/>
      <c r="I73" s="316"/>
      <c r="J73" s="115"/>
      <c r="K73" s="555" t="s">
        <v>635</v>
      </c>
    </row>
    <row r="74" spans="1:11" ht="12" customHeight="1" x14ac:dyDescent="0.2">
      <c r="A74" s="39" t="s">
        <v>63</v>
      </c>
      <c r="B74" s="582"/>
      <c r="C74" s="583"/>
      <c r="D74" s="317"/>
      <c r="G74" s="558" t="s">
        <v>526</v>
      </c>
      <c r="H74" s="558" t="s">
        <v>527</v>
      </c>
      <c r="I74" s="558" t="s">
        <v>528</v>
      </c>
      <c r="J74" s="558" t="s">
        <v>529</v>
      </c>
      <c r="K74" s="556"/>
    </row>
    <row r="75" spans="1:11" ht="12" customHeight="1" thickBot="1" x14ac:dyDescent="0.25">
      <c r="A75" s="39" t="s">
        <v>64</v>
      </c>
      <c r="B75" s="582"/>
      <c r="C75" s="583"/>
      <c r="D75" s="116" t="s">
        <v>271</v>
      </c>
      <c r="E75" s="614" t="s">
        <v>530</v>
      </c>
      <c r="F75" s="614"/>
      <c r="G75" s="559"/>
      <c r="H75" s="559"/>
      <c r="I75" s="559"/>
      <c r="J75" s="559"/>
      <c r="K75" s="557"/>
    </row>
    <row r="76" spans="1:11" ht="12" customHeight="1" x14ac:dyDescent="0.25">
      <c r="A76" s="39" t="s">
        <v>65</v>
      </c>
      <c r="B76" s="582"/>
      <c r="C76" s="583"/>
      <c r="D76" s="389">
        <v>45397</v>
      </c>
      <c r="E76" s="615" t="s">
        <v>692</v>
      </c>
      <c r="F76" s="616"/>
      <c r="G76" s="390"/>
      <c r="H76" s="391">
        <f ca="1">+G76/$G$82</f>
        <v>0</v>
      </c>
      <c r="I76" s="392">
        <f ca="1">+$J$58*H76</f>
        <v>0</v>
      </c>
      <c r="J76" s="393">
        <f ca="1">+G76+I76</f>
        <v>0</v>
      </c>
      <c r="K76" s="394">
        <f>IF(G76="",0,+I76/G76*365/_xlfn.DAYS($J$72,D76))</f>
        <v>0</v>
      </c>
    </row>
    <row r="77" spans="1:11" ht="12" customHeight="1" x14ac:dyDescent="0.25">
      <c r="A77" s="39" t="s">
        <v>66</v>
      </c>
      <c r="B77" s="582"/>
      <c r="C77" s="583"/>
      <c r="D77" s="389">
        <f>+D76+90</f>
        <v>45487</v>
      </c>
      <c r="E77" s="615" t="str">
        <f>+E76</f>
        <v>unknown</v>
      </c>
      <c r="F77" s="616"/>
      <c r="G77" s="390"/>
      <c r="H77" s="391">
        <f ca="1">+G77/$G$82</f>
        <v>0</v>
      </c>
      <c r="I77" s="392">
        <f ca="1">+$J$58*H77</f>
        <v>0</v>
      </c>
      <c r="J77" s="393">
        <f ca="1">+G77+I77</f>
        <v>0</v>
      </c>
      <c r="K77" s="394">
        <f>IF(G77="",0,+I77/G77*365/_xlfn.DAYS($J$72,D77))</f>
        <v>0</v>
      </c>
    </row>
    <row r="78" spans="1:11" ht="12" customHeight="1" x14ac:dyDescent="0.25">
      <c r="A78" s="39" t="s">
        <v>67</v>
      </c>
      <c r="B78" s="582"/>
      <c r="C78" s="583"/>
      <c r="D78" s="389">
        <f>+D77+270</f>
        <v>45757</v>
      </c>
      <c r="E78" s="615" t="str">
        <f>+E77</f>
        <v>unknown</v>
      </c>
      <c r="F78" s="616"/>
      <c r="G78" s="390"/>
      <c r="H78" s="391">
        <f ca="1">+G78/$G$82</f>
        <v>0</v>
      </c>
      <c r="I78" s="392">
        <f ca="1">+$J$58*H78</f>
        <v>0</v>
      </c>
      <c r="J78" s="393">
        <f ca="1">+G78+I78</f>
        <v>0</v>
      </c>
      <c r="K78" s="394">
        <f>IF(G78="",0,+I78/G78*365/_xlfn.DAYS($J$72,D78))</f>
        <v>0</v>
      </c>
    </row>
    <row r="79" spans="1:11" ht="12" customHeight="1" thickBot="1" x14ac:dyDescent="0.3">
      <c r="A79" s="39" t="s">
        <v>68</v>
      </c>
      <c r="B79" s="582"/>
      <c r="C79" s="583"/>
      <c r="D79" s="389">
        <f ca="1">+J72-120</f>
        <v>46051.929316782407</v>
      </c>
      <c r="E79" s="615" t="str">
        <f>+E78</f>
        <v>unknown</v>
      </c>
      <c r="F79" s="616"/>
      <c r="G79" s="390"/>
      <c r="H79" s="391">
        <f ca="1">+G79/$G$82</f>
        <v>0</v>
      </c>
      <c r="I79" s="392">
        <f ca="1">+$J$58*H79</f>
        <v>0</v>
      </c>
      <c r="J79" s="393">
        <f ca="1">+G79+I79</f>
        <v>0</v>
      </c>
      <c r="K79" s="394">
        <f>IF(G79="",0,+I79/G79*365/_xlfn.DAYS($J$72,D79))</f>
        <v>0</v>
      </c>
    </row>
    <row r="80" spans="1:11" ht="12" customHeight="1" thickBot="1" x14ac:dyDescent="0.3">
      <c r="A80" s="39" t="s">
        <v>69</v>
      </c>
      <c r="B80" s="582">
        <v>200</v>
      </c>
      <c r="C80" s="583"/>
      <c r="D80" s="362">
        <v>45422</v>
      </c>
      <c r="E80" s="617" t="str">
        <f>+F1</f>
        <v>Your Home, LLC</v>
      </c>
      <c r="F80" s="618"/>
      <c r="G80" s="363">
        <f ca="1">-D54-SUM(G75:G78)</f>
        <v>248914.42944301068</v>
      </c>
      <c r="H80" s="364">
        <f ca="1">+G80/$G$82</f>
        <v>1</v>
      </c>
      <c r="I80" s="363">
        <f ca="1">+$J$58*H80</f>
        <v>0</v>
      </c>
      <c r="J80" s="365">
        <f ca="1">+G80+I80</f>
        <v>248914.42944301068</v>
      </c>
      <c r="K80" s="366" t="e">
        <f ca="1">IF(G80=0,0,+I80/G80*$F$72/_xlfn.DAYS(J71,H71))</f>
        <v>#VALUE!</v>
      </c>
    </row>
    <row r="81" spans="1:11" ht="12" customHeight="1" thickBot="1" x14ac:dyDescent="0.3">
      <c r="A81" s="39" t="s">
        <v>70</v>
      </c>
      <c r="B81" s="582"/>
      <c r="C81" s="583"/>
      <c r="D81" s="367" t="str">
        <f>+J71</f>
        <v>End Date</v>
      </c>
      <c r="E81" s="575" t="s">
        <v>690</v>
      </c>
      <c r="F81" s="576"/>
      <c r="G81" s="368">
        <f>+SUM(G75:G78)</f>
        <v>0</v>
      </c>
      <c r="H81" s="369">
        <f ca="1">+SUM(H75:H78)</f>
        <v>0</v>
      </c>
      <c r="I81" s="368">
        <f ca="1">+SUM(I75:I78)</f>
        <v>0</v>
      </c>
      <c r="J81" s="368">
        <f ca="1">+SUM(J75:J78)</f>
        <v>0</v>
      </c>
      <c r="K81" s="370">
        <f>AVERAGE(K75:K78)</f>
        <v>0</v>
      </c>
    </row>
    <row r="82" spans="1:11" ht="12" customHeight="1" thickBot="1" x14ac:dyDescent="0.3">
      <c r="A82" s="39" t="s">
        <v>71</v>
      </c>
      <c r="B82" s="582"/>
      <c r="C82" s="583"/>
      <c r="D82" s="371"/>
      <c r="E82" s="372" t="s">
        <v>691</v>
      </c>
      <c r="F82" s="373"/>
      <c r="G82" s="374">
        <f ca="1">SUM(G75:G78)+G80</f>
        <v>248914.42944301068</v>
      </c>
      <c r="H82" s="375">
        <f ca="1">SUM(H75:H78)+H80</f>
        <v>1</v>
      </c>
      <c r="I82" s="374">
        <f ca="1">SUM(I78:I81)</f>
        <v>0</v>
      </c>
      <c r="J82" s="376">
        <f ca="1">SUM(J75:J78)</f>
        <v>0</v>
      </c>
      <c r="K82" s="377" t="e">
        <f ca="1">AVERAGE(K75:K81)</f>
        <v>#VALUE!</v>
      </c>
    </row>
    <row r="83" spans="1:11" ht="12" customHeight="1" x14ac:dyDescent="0.2">
      <c r="A83" s="39" t="s">
        <v>72</v>
      </c>
      <c r="B83" s="582">
        <v>90</v>
      </c>
      <c r="C83" s="583"/>
      <c r="D83" s="574"/>
      <c r="E83" s="574"/>
    </row>
    <row r="84" spans="1:11" ht="12" customHeight="1" x14ac:dyDescent="0.2">
      <c r="A84" s="39" t="s">
        <v>636</v>
      </c>
      <c r="B84" s="582">
        <v>20</v>
      </c>
      <c r="C84" s="583"/>
      <c r="D84" s="574"/>
      <c r="E84" s="574"/>
    </row>
    <row r="85" spans="1:11" ht="12" customHeight="1" x14ac:dyDescent="0.2">
      <c r="A85" s="39" t="s">
        <v>73</v>
      </c>
      <c r="B85" s="582">
        <v>30</v>
      </c>
      <c r="C85" s="583"/>
      <c r="D85" s="574"/>
      <c r="E85" s="574"/>
    </row>
    <row r="86" spans="1:11" ht="12" customHeight="1" thickBot="1" x14ac:dyDescent="0.25">
      <c r="A86" s="39" t="s">
        <v>74</v>
      </c>
      <c r="B86" s="619"/>
      <c r="C86" s="620"/>
      <c r="D86" s="607"/>
      <c r="E86" s="608"/>
    </row>
    <row r="87" spans="1:11" ht="12" customHeight="1" thickBot="1" x14ac:dyDescent="0.25">
      <c r="D87" s="572">
        <f>+SUM(B69:C86)</f>
        <v>940</v>
      </c>
      <c r="E87" s="573"/>
      <c r="G87" s="542" t="s">
        <v>75</v>
      </c>
      <c r="H87" s="543"/>
      <c r="I87" s="543"/>
      <c r="J87" s="544"/>
    </row>
    <row r="88" spans="1:11" ht="12" customHeight="1" thickBot="1" x14ac:dyDescent="0.25">
      <c r="G88" s="545"/>
      <c r="H88" s="546"/>
      <c r="I88" s="546"/>
      <c r="J88" s="547"/>
    </row>
    <row r="89" spans="1:11" ht="12" customHeight="1" thickTop="1" thickBot="1" x14ac:dyDescent="0.25">
      <c r="A89" s="134" t="s">
        <v>76</v>
      </c>
      <c r="B89" s="132"/>
      <c r="C89" s="132"/>
      <c r="D89" s="132"/>
      <c r="E89" s="132"/>
    </row>
    <row r="90" spans="1:11" ht="12" customHeight="1" x14ac:dyDescent="0.2">
      <c r="A90" s="39" t="s">
        <v>60</v>
      </c>
      <c r="B90" s="602"/>
      <c r="C90" s="603"/>
      <c r="D90" s="574"/>
      <c r="E90" s="574"/>
    </row>
    <row r="91" spans="1:11" ht="12" customHeight="1" x14ac:dyDescent="0.2">
      <c r="A91" s="39" t="s">
        <v>62</v>
      </c>
      <c r="B91" s="582">
        <v>250</v>
      </c>
      <c r="C91" s="583"/>
      <c r="D91" s="574"/>
      <c r="E91" s="574"/>
    </row>
    <row r="92" spans="1:11" ht="12" customHeight="1" x14ac:dyDescent="0.2">
      <c r="A92" s="39" t="s">
        <v>77</v>
      </c>
      <c r="B92" s="582">
        <v>0</v>
      </c>
      <c r="C92" s="583"/>
      <c r="D92" s="574"/>
      <c r="E92" s="574"/>
    </row>
    <row r="93" spans="1:11" ht="12" customHeight="1" x14ac:dyDescent="0.2">
      <c r="A93" s="39" t="s">
        <v>78</v>
      </c>
      <c r="B93" s="582"/>
      <c r="C93" s="583"/>
      <c r="D93" s="574"/>
      <c r="E93" s="574"/>
    </row>
    <row r="94" spans="1:11" ht="12" customHeight="1" x14ac:dyDescent="0.2">
      <c r="A94" s="39" t="s">
        <v>72</v>
      </c>
      <c r="B94" s="582"/>
      <c r="C94" s="583"/>
      <c r="D94" s="574"/>
      <c r="E94" s="574"/>
    </row>
    <row r="95" spans="1:11" ht="12" customHeight="1" x14ac:dyDescent="0.2">
      <c r="A95" s="39" t="s">
        <v>79</v>
      </c>
      <c r="B95" s="582">
        <v>40</v>
      </c>
      <c r="C95" s="583"/>
      <c r="D95" s="574"/>
      <c r="E95" s="574"/>
    </row>
    <row r="96" spans="1:11" ht="12" customHeight="1" x14ac:dyDescent="0.2">
      <c r="A96" s="39" t="s">
        <v>80</v>
      </c>
      <c r="B96" s="582"/>
      <c r="C96" s="583"/>
      <c r="D96" s="574"/>
      <c r="E96" s="574"/>
    </row>
    <row r="97" spans="1:10" ht="12" customHeight="1" thickBot="1" x14ac:dyDescent="0.25">
      <c r="A97" s="39" t="s">
        <v>74</v>
      </c>
      <c r="B97" s="605"/>
      <c r="C97" s="606"/>
      <c r="D97" s="607"/>
      <c r="E97" s="608"/>
    </row>
    <row r="98" spans="1:10" ht="12" customHeight="1" thickTop="1" thickBot="1" x14ac:dyDescent="0.25">
      <c r="D98" s="572">
        <f>+SUM(B90:C97)</f>
        <v>290</v>
      </c>
      <c r="E98" s="573"/>
      <c r="G98" s="542" t="s">
        <v>81</v>
      </c>
      <c r="H98" s="543"/>
      <c r="I98" s="543"/>
      <c r="J98" s="544"/>
    </row>
    <row r="99" spans="1:10" ht="12" customHeight="1" thickBot="1" x14ac:dyDescent="0.25">
      <c r="G99" s="545"/>
      <c r="H99" s="546"/>
      <c r="I99" s="546"/>
      <c r="J99" s="547"/>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F1:H1"/>
    <mergeCell ref="B21:C21"/>
    <mergeCell ref="B9:C9"/>
    <mergeCell ref="B27:C27"/>
    <mergeCell ref="J2:J3"/>
    <mergeCell ref="H2:I3"/>
    <mergeCell ref="D3:E3"/>
    <mergeCell ref="F3:G3"/>
    <mergeCell ref="B4:C4"/>
    <mergeCell ref="B6:C6"/>
    <mergeCell ref="J1:K1"/>
    <mergeCell ref="K7:K8"/>
    <mergeCell ref="J14:K17"/>
    <mergeCell ref="J7:J8"/>
    <mergeCell ref="J9:J10"/>
    <mergeCell ref="C10:D10"/>
    <mergeCell ref="K47:K48"/>
    <mergeCell ref="J47:J48"/>
    <mergeCell ref="J31:K34"/>
    <mergeCell ref="H10:I10"/>
    <mergeCell ref="H14:I14"/>
    <mergeCell ref="B24:C24"/>
    <mergeCell ref="B71:C71"/>
    <mergeCell ref="B54:C54"/>
    <mergeCell ref="B53:C53"/>
    <mergeCell ref="B52:C52"/>
    <mergeCell ref="B51:C51"/>
    <mergeCell ref="J23:K23"/>
    <mergeCell ref="B60:C60"/>
    <mergeCell ref="D60:E60"/>
    <mergeCell ref="B59:C59"/>
    <mergeCell ref="B55:D55"/>
    <mergeCell ref="K49:K50"/>
    <mergeCell ref="J29:K30"/>
    <mergeCell ref="J41:J42"/>
    <mergeCell ref="K41:K42"/>
    <mergeCell ref="J44:J45"/>
    <mergeCell ref="K44:K45"/>
    <mergeCell ref="B90:C90"/>
    <mergeCell ref="D90:E90"/>
    <mergeCell ref="B91:C91"/>
    <mergeCell ref="D91:E91"/>
    <mergeCell ref="B86:C86"/>
    <mergeCell ref="D86:E86"/>
    <mergeCell ref="B82:C82"/>
    <mergeCell ref="B83:C83"/>
    <mergeCell ref="B85:C85"/>
    <mergeCell ref="D87:E87"/>
    <mergeCell ref="D85:E85"/>
    <mergeCell ref="B84:C84"/>
    <mergeCell ref="D84:E84"/>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s>
  <conditionalFormatting sqref="F19">
    <cfRule type="expression" dxfId="84" priority="28">
      <formula>IF(B1="flip",-C19,0)</formula>
    </cfRule>
  </conditionalFormatting>
  <conditionalFormatting sqref="I9">
    <cfRule type="expression" dxfId="83" priority="26">
      <formula>IF(OR(C1="Hold",D1="Slow Flip"),+B9,"")</formula>
    </cfRule>
  </conditionalFormatting>
  <conditionalFormatting sqref="B59">
    <cfRule type="expression" dxfId="82" priority="23">
      <formula>IF(OR(C1="Hold",D1="slow flip"),0.15,0)</formula>
    </cfRule>
  </conditionalFormatting>
  <conditionalFormatting sqref="I57">
    <cfRule type="expression" dxfId="81" priority="21">
      <formula>+H57*H54</formula>
    </cfRule>
  </conditionalFormatting>
  <conditionalFormatting sqref="F15">
    <cfRule type="expression" dxfId="80" priority="17">
      <formula>IF(R3=3,-C15,0)</formula>
    </cfRule>
  </conditionalFormatting>
  <conditionalFormatting sqref="F49">
    <cfRule type="expression" dxfId="79" priority="13">
      <formula>OR(R3=1,R3=2)</formula>
    </cfRule>
  </conditionalFormatting>
  <conditionalFormatting sqref="F48">
    <cfRule type="expression" dxfId="78" priority="12">
      <formula>OR(R3=1,R3=2)</formula>
    </cfRule>
  </conditionalFormatting>
  <conditionalFormatting sqref="G6">
    <cfRule type="expression" dxfId="77" priority="10">
      <formula>IF(OR(R3=1,R3=2),$B$6,0)</formula>
    </cfRule>
  </conditionalFormatting>
  <conditionalFormatting sqref="G8">
    <cfRule type="expression" dxfId="76" priority="65">
      <formula>R3=2</formula>
    </cfRule>
  </conditionalFormatting>
  <conditionalFormatting sqref="C22">
    <cfRule type="expression" dxfId="75" priority="95">
      <formula>IF(C1="Hold",+B4*B22,0)</formula>
    </cfRule>
  </conditionalFormatting>
  <conditionalFormatting sqref="F22">
    <cfRule type="expression" dxfId="74" priority="96">
      <formula>IF(OR(C1="hold",D1="slow flip"),-C22,"")</formula>
    </cfRule>
  </conditionalFormatting>
  <conditionalFormatting sqref="H22">
    <cfRule type="expression" dxfId="73" priority="97">
      <formula>IF(OR(C1="hold",C4="slow flip"),IPMT(B23/12,1,C23*12,C22),PMT(B23/12,12*C23,C22))</formula>
    </cfRule>
  </conditionalFormatting>
  <conditionalFormatting sqref="E22">
    <cfRule type="expression" dxfId="72" priority="99">
      <formula>IF(C1="hold",C22-C15-C19-C28-B45,0)</formula>
    </cfRule>
  </conditionalFormatting>
  <conditionalFormatting sqref="H57">
    <cfRule type="expression" dxfId="71" priority="100">
      <formula>IF(OR(C1="Hold",D1="slow Flip"),C50,0)</formula>
    </cfRule>
  </conditionalFormatting>
  <conditionalFormatting sqref="K60">
    <cfRule type="expression" dxfId="70" priority="101">
      <formula>IF(C1="Hold",-$B$59*K58,0)</formula>
    </cfRule>
  </conditionalFormatting>
  <conditionalFormatting sqref="E7">
    <cfRule type="expression" dxfId="69" priority="8">
      <formula>$R$3=3</formula>
    </cfRule>
  </conditionalFormatting>
  <conditionalFormatting sqref="A9">
    <cfRule type="expression" dxfId="68" priority="5">
      <formula>"(R3=3)"</formula>
    </cfRule>
  </conditionalFormatting>
  <conditionalFormatting sqref="C7">
    <cfRule type="expression" dxfId="67" priority="130">
      <formula>IF(C1048567="Hold",+B1048570*B7,0)</formula>
    </cfRule>
  </conditionalFormatting>
  <conditionalFormatting sqref="D43:D47">
    <cfRule type="expression" dxfId="66" priority="134">
      <formula>IF(OR(R5=1,R5=2),-B43,0)</formula>
    </cfRule>
  </conditionalFormatting>
  <conditionalFormatting sqref="D37">
    <cfRule type="expression" dxfId="65" priority="1">
      <formula>IF(OR(R3=1,R3=2),-B37,0)</formula>
    </cfRule>
  </conditionalFormatting>
  <conditionalFormatting sqref="D38:D42">
    <cfRule type="expression" dxfId="64"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352425</xdr:colOff>
                    <xdr:row>21</xdr:row>
                    <xdr:rowOff>219075</xdr:rowOff>
                  </from>
                  <to>
                    <xdr:col>10</xdr:col>
                    <xdr:colOff>847725</xdr:colOff>
                    <xdr:row>23</xdr:row>
                    <xdr:rowOff>66675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209550</xdr:colOff>
                    <xdr:row>0</xdr:row>
                    <xdr:rowOff>66675</xdr:rowOff>
                  </from>
                  <to>
                    <xdr:col>1</xdr:col>
                    <xdr:colOff>400050</xdr:colOff>
                    <xdr:row>0</xdr:row>
                    <xdr:rowOff>247650</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342900</xdr:colOff>
                    <xdr:row>0</xdr:row>
                    <xdr:rowOff>66675</xdr:rowOff>
                  </from>
                  <to>
                    <xdr:col>2</xdr:col>
                    <xdr:colOff>504825</xdr:colOff>
                    <xdr:row>0</xdr:row>
                    <xdr:rowOff>247650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466725</xdr:colOff>
                    <xdr:row>0</xdr:row>
                    <xdr:rowOff>28575</xdr:rowOff>
                  </from>
                  <to>
                    <xdr:col>3</xdr:col>
                    <xdr:colOff>619125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352425</xdr:colOff>
                    <xdr:row>20</xdr:row>
                    <xdr:rowOff>200025</xdr:rowOff>
                  </from>
                  <to>
                    <xdr:col>10</xdr:col>
                    <xdr:colOff>800100</xdr:colOff>
                    <xdr:row>22</xdr:row>
                    <xdr:rowOff>66675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200025</xdr:colOff>
                    <xdr:row>45</xdr:row>
                    <xdr:rowOff>200025</xdr:rowOff>
                  </from>
                  <to>
                    <xdr:col>1</xdr:col>
                    <xdr:colOff>685800</xdr:colOff>
                    <xdr:row>47</xdr:row>
                    <xdr:rowOff>47625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200025</xdr:colOff>
                    <xdr:row>47</xdr:row>
                    <xdr:rowOff>200025</xdr:rowOff>
                  </from>
                  <to>
                    <xdr:col>1</xdr:col>
                    <xdr:colOff>685800</xdr:colOff>
                    <xdr:row>49</xdr:row>
                    <xdr:rowOff>47625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200025</xdr:colOff>
                    <xdr:row>46</xdr:row>
                    <xdr:rowOff>200025</xdr:rowOff>
                  </from>
                  <to>
                    <xdr:col>1</xdr:col>
                    <xdr:colOff>685800</xdr:colOff>
                    <xdr:row>48</xdr:row>
                    <xdr:rowOff>47625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8</xdr:col>
                    <xdr:colOff>352425</xdr:colOff>
                    <xdr:row>0</xdr:row>
                    <xdr:rowOff>19050</xdr:rowOff>
                  </from>
                  <to>
                    <xdr:col>8</xdr:col>
                    <xdr:colOff>847725</xdr:colOff>
                    <xdr:row>0</xdr:row>
                    <xdr:rowOff>400050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08"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0"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7"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28"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29"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topLeftCell="I1" workbookViewId="0">
      <pane ySplit="14" topLeftCell="A58" activePane="bottomLeft" state="frozen"/>
      <selection pane="bottomLeft" activeCell="AP59" sqref="AP59"/>
    </sheetView>
  </sheetViews>
  <sheetFormatPr defaultRowHeight="15" x14ac:dyDescent="0.25"/>
  <cols>
    <col min="1" max="1" width="7.42578125" style="520" bestFit="1" customWidth="1"/>
    <col min="2" max="2" width="10.28515625" style="287" customWidth="1"/>
    <col min="3" max="3" width="8.85546875" style="14" bestFit="1" customWidth="1"/>
    <col min="4" max="7" width="6.5703125" style="14" bestFit="1" customWidth="1"/>
    <col min="8" max="8" width="8.140625" style="14" bestFit="1" customWidth="1"/>
    <col min="9" max="10" width="11.140625" style="287" customWidth="1"/>
    <col min="11" max="11" width="7.85546875" style="287" bestFit="1" customWidth="1"/>
    <col min="12" max="12" width="5" style="22" bestFit="1" customWidth="1"/>
    <col min="13" max="13" width="8.7109375" style="22" customWidth="1"/>
    <col min="14" max="14" width="10.28515625" style="287"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7" customWidth="1"/>
    <col min="22" max="22" width="7.28515625" style="287" customWidth="1"/>
    <col min="23" max="23" width="7.85546875" style="287" bestFit="1" customWidth="1"/>
    <col min="24" max="24" width="8.28515625" style="520" bestFit="1" customWidth="1"/>
    <col min="25" max="25" width="9.140625" style="287" customWidth="1"/>
    <col min="26" max="26" width="7.5703125" style="511"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7" bestFit="1" customWidth="1"/>
    <col min="35" max="36" width="9.28515625" style="287" bestFit="1" customWidth="1"/>
    <col min="37" max="37" width="8.28515625" style="287" bestFit="1" customWidth="1"/>
    <col min="38" max="38" width="7.85546875" style="287" bestFit="1" customWidth="1"/>
    <col min="39" max="39" width="6.140625" style="22" bestFit="1" customWidth="1"/>
    <col min="40" max="43" width="10.5703125" style="14" customWidth="1"/>
    <col min="44" max="44" width="8.28515625" bestFit="1" customWidth="1"/>
    <col min="45" max="45" width="10.140625" style="14" bestFit="1" customWidth="1"/>
    <col min="46" max="46" width="11.42578125" style="14" customWidth="1"/>
    <col min="47" max="47" width="10.140625" style="287" bestFit="1" customWidth="1"/>
    <col min="48" max="48" width="8.28515625" style="287" bestFit="1" customWidth="1"/>
    <col min="49" max="49" width="11.85546875" style="14" bestFit="1" customWidth="1"/>
    <col min="50" max="50" width="12.42578125" customWidth="1"/>
    <col min="52" max="52" width="12.7109375" customWidth="1"/>
  </cols>
  <sheetData>
    <row r="1" spans="1:51" ht="15.75" thickBot="1" x14ac:dyDescent="0.3">
      <c r="B1" s="345" t="s">
        <v>671</v>
      </c>
      <c r="N1" s="345"/>
      <c r="O1" s="514" t="s">
        <v>728</v>
      </c>
      <c r="P1" s="13">
        <v>0.04</v>
      </c>
      <c r="Q1" s="13">
        <v>3.5000000000000003E-2</v>
      </c>
      <c r="R1" s="13">
        <v>3.2500000000000001E-2</v>
      </c>
      <c r="S1" s="13"/>
      <c r="T1" s="13"/>
      <c r="Y1" s="345"/>
      <c r="Z1" s="510"/>
      <c r="AA1" s="514"/>
      <c r="AB1" s="13"/>
      <c r="AC1" s="13"/>
      <c r="AD1" s="13"/>
      <c r="AE1" s="13"/>
      <c r="AF1" s="13"/>
      <c r="AJ1" s="523"/>
      <c r="AK1" s="13"/>
      <c r="AP1"/>
      <c r="AQ1"/>
      <c r="AR1" s="350" t="s">
        <v>680</v>
      </c>
      <c r="AS1" s="350" t="s">
        <v>681</v>
      </c>
      <c r="AT1" s="350" t="s">
        <v>682</v>
      </c>
      <c r="AU1" s="523" t="s">
        <v>683</v>
      </c>
      <c r="AV1" s="14"/>
      <c r="AW1"/>
      <c r="AX1" s="287"/>
      <c r="AY1" s="14"/>
    </row>
    <row r="2" spans="1:51" ht="15.75" thickBot="1" x14ac:dyDescent="0.3">
      <c r="B2" s="346" t="s">
        <v>667</v>
      </c>
      <c r="C2" s="527">
        <v>186558</v>
      </c>
      <c r="N2" s="30" t="s">
        <v>676</v>
      </c>
      <c r="O2" s="515">
        <f>IF($AW$2=1,P2,IF($AW$2=2,Q2,IF($AW$2=3,R2)))</f>
        <v>0.1</v>
      </c>
      <c r="P2" s="516">
        <v>0.1</v>
      </c>
      <c r="Q2" s="516">
        <v>0.15</v>
      </c>
      <c r="R2" s="516">
        <v>0.2</v>
      </c>
      <c r="Y2" s="342"/>
      <c r="Z2" s="30" t="s">
        <v>676</v>
      </c>
      <c r="AA2" s="515">
        <f>IF($AW$2=1,AB2,IF($AW$2=2,AC2,IF($AW$2=3,AD2)))</f>
        <v>0.1</v>
      </c>
      <c r="AB2" s="516">
        <v>0.1</v>
      </c>
      <c r="AC2" s="516">
        <v>0.15</v>
      </c>
      <c r="AD2" s="516">
        <v>0.2</v>
      </c>
      <c r="AJ2" s="14"/>
      <c r="AK2" s="14"/>
      <c r="AP2" s="30" t="s">
        <v>674</v>
      </c>
      <c r="AQ2" s="343">
        <v>0.04</v>
      </c>
      <c r="AS2" s="287"/>
      <c r="AT2" s="287"/>
      <c r="AU2" s="14"/>
      <c r="AV2" s="14"/>
      <c r="AW2">
        <v>1</v>
      </c>
      <c r="AX2" s="287"/>
    </row>
    <row r="3" spans="1:51" ht="15.75" thickBot="1" x14ac:dyDescent="0.3">
      <c r="B3" s="346" t="s">
        <v>666</v>
      </c>
      <c r="C3" s="526">
        <v>0.03</v>
      </c>
      <c r="N3" s="494"/>
      <c r="O3" s="414">
        <f>IF($AW$2=1,P3,IF($AW$2=2,Q3,IF($AW$2=3,R3)))</f>
        <v>250950</v>
      </c>
      <c r="P3" s="415">
        <f>+Profit!$B$4*(1+$M$4)</f>
        <v>250950</v>
      </c>
      <c r="Q3" s="416">
        <f>+P3</f>
        <v>250950</v>
      </c>
      <c r="R3" s="417">
        <f>+Q3</f>
        <v>250950</v>
      </c>
      <c r="Y3" s="683" t="s">
        <v>675</v>
      </c>
      <c r="Z3" s="684"/>
      <c r="AA3" s="414">
        <f>IF($AW$2=1,AB3,IF($AW$2=2,AC3,IF($AW$2=3,AD3)))</f>
        <v>295948.79999999999</v>
      </c>
      <c r="AB3" s="415">
        <f>+O3+X5</f>
        <v>295948.79999999999</v>
      </c>
      <c r="AC3" s="416">
        <f>+AB3</f>
        <v>295948.79999999999</v>
      </c>
      <c r="AD3" s="417">
        <f>+AC3</f>
        <v>295948.79999999999</v>
      </c>
      <c r="AJ3" s="14"/>
      <c r="AK3" s="14"/>
      <c r="AP3" s="30" t="s">
        <v>677</v>
      </c>
      <c r="AQ3"/>
      <c r="AR3" s="287">
        <f>_xlfn.XLOOKUP(5,$L:$L,$AT:$AT)</f>
        <v>45268.220000000038</v>
      </c>
      <c r="AS3" s="287">
        <f>_xlfn.XLOOKUP(10,$L:$L,$AT:$AT)</f>
        <v>90267.01999999999</v>
      </c>
      <c r="AT3" s="287">
        <f>_xlfn.XLOOKUP(20,$L:$L,$AT:$AT)</f>
        <v>180264.62000000046</v>
      </c>
      <c r="AU3" s="14">
        <f>_xlfn.XLOOKUP(29,$L:$L,$AT:$AT)</f>
        <v>287218.28000000137</v>
      </c>
      <c r="AV3" s="14"/>
      <c r="AW3"/>
      <c r="AX3" s="287"/>
      <c r="AY3" s="14"/>
    </row>
    <row r="4" spans="1:51" ht="15.75" thickBot="1" x14ac:dyDescent="0.3">
      <c r="B4" s="346" t="s">
        <v>668</v>
      </c>
      <c r="C4" s="527">
        <v>30</v>
      </c>
      <c r="D4" s="14">
        <f>+C4*12</f>
        <v>360</v>
      </c>
      <c r="L4" s="2" t="s">
        <v>731</v>
      </c>
      <c r="M4" s="485">
        <v>0.05</v>
      </c>
      <c r="N4" s="494"/>
      <c r="O4" s="414">
        <f>IF($AW$2=1,P4,IF($AW$2=2,Q4,IF($AW$2=3,R4)))</f>
        <v>20000</v>
      </c>
      <c r="P4" s="415">
        <v>20000</v>
      </c>
      <c r="Q4" s="416">
        <f>+$O$3*Q2</f>
        <v>37642.5</v>
      </c>
      <c r="R4" s="417">
        <f>+$O$3*R2</f>
        <v>50190</v>
      </c>
      <c r="Y4" s="683" t="s">
        <v>676</v>
      </c>
      <c r="Z4" s="684"/>
      <c r="AA4" s="414">
        <f>IF($AW$2=1,AB4,IF($AW$2=2,AC4,IF($AW$2=3,AD4)))</f>
        <v>20000</v>
      </c>
      <c r="AB4" s="415">
        <v>20000</v>
      </c>
      <c r="AC4" s="416">
        <f>+$O$3*AC2</f>
        <v>37642.5</v>
      </c>
      <c r="AD4" s="417">
        <f>+$O$3*AD2</f>
        <v>50190</v>
      </c>
      <c r="AJ4" s="14"/>
      <c r="AK4" s="14"/>
      <c r="AP4" s="30" t="s">
        <v>695</v>
      </c>
      <c r="AQ4"/>
      <c r="AR4" s="287">
        <f>_xlfn.XLOOKUP(5,$L:$L,$AW:$AW)</f>
        <v>0</v>
      </c>
      <c r="AS4" s="287">
        <f>_xlfn.XLOOKUP(10,$L:$L,$AW:$AW)</f>
        <v>0</v>
      </c>
      <c r="AT4" s="287">
        <f>_xlfn.XLOOKUP(20,$L:$L,$AW:$AW)</f>
        <v>0</v>
      </c>
      <c r="AU4" s="14">
        <f>_xlfn.XLOOKUP(29,$L:$L,$AW:$AW)</f>
        <v>0</v>
      </c>
      <c r="AV4" s="14"/>
      <c r="AW4"/>
      <c r="AX4" s="287"/>
      <c r="AY4" s="14"/>
    </row>
    <row r="5" spans="1:51" ht="15.75" thickBot="1" x14ac:dyDescent="0.3">
      <c r="B5" s="346" t="s">
        <v>665</v>
      </c>
      <c r="C5" s="14">
        <f>ROUND(PMT($C$3/12,$D$4,-$C$2,0), 2)</f>
        <v>786.54</v>
      </c>
      <c r="N5" s="494"/>
      <c r="O5" s="414">
        <f>IF($AW$2=1,P5,IF($AW$2=2,Q5,IF($AW$2=3,R5)))</f>
        <v>230950</v>
      </c>
      <c r="P5" s="415">
        <f>+P3-P4</f>
        <v>230950</v>
      </c>
      <c r="Q5" s="416">
        <f>+Q3-Q4</f>
        <v>213307.5</v>
      </c>
      <c r="R5" s="417">
        <f>+R3-R4</f>
        <v>200760</v>
      </c>
      <c r="W5" s="2" t="s">
        <v>790</v>
      </c>
      <c r="X5" s="415">
        <f>+AI8</f>
        <v>44998.8</v>
      </c>
      <c r="Y5" s="692" t="s">
        <v>667</v>
      </c>
      <c r="Z5" s="693"/>
      <c r="AA5" s="414">
        <f>IF($AW$2=1,AB5,IF($AW$2=2,AC5,IF($AW$2=3,AD5)))</f>
        <v>275948.79999999999</v>
      </c>
      <c r="AB5" s="415">
        <f>+AB3-AB4</f>
        <v>275948.79999999999</v>
      </c>
      <c r="AC5" s="416">
        <f>+AC3-AC4</f>
        <v>258306.3</v>
      </c>
      <c r="AD5" s="417">
        <f>+AD3-AD4</f>
        <v>245758.8</v>
      </c>
      <c r="AJ5" s="21"/>
      <c r="AK5" s="14"/>
      <c r="AP5" s="30" t="s">
        <v>678</v>
      </c>
      <c r="AQ5"/>
      <c r="AR5" s="348">
        <f>_xlfn.XLOOKUP(5,$L:$L,$AV:$AV)</f>
        <v>96592.951668090696</v>
      </c>
      <c r="AS5" s="348">
        <f>_xlfn.XLOOKUP(10,$L:$L,$AV:$AV)</f>
        <v>168978.82835648587</v>
      </c>
      <c r="AT5" s="348">
        <f>_xlfn.XLOOKUP(20,$L:$L,$AV:$AV)</f>
        <v>365276.96795508702</v>
      </c>
      <c r="AU5" s="21">
        <f>_xlfn.XLOOKUP(29,$L:$L,$AV:$AV)</f>
        <v>623128.18685977766</v>
      </c>
      <c r="AV5" s="14"/>
      <c r="AW5"/>
      <c r="AX5" s="287"/>
      <c r="AY5" s="14"/>
    </row>
    <row r="6" spans="1:51" ht="15.75" thickBot="1" x14ac:dyDescent="0.3">
      <c r="N6" s="494"/>
      <c r="O6" s="486">
        <f>IF($AW$2=1,P6,IF($AW$2=2,Q6,IF($AW$2=3,R6)))</f>
        <v>7.0000000000000007E-2</v>
      </c>
      <c r="P6" s="343">
        <f>+$C$3+P1</f>
        <v>7.0000000000000007E-2</v>
      </c>
      <c r="Q6" s="473">
        <f>+$C$3+Q1</f>
        <v>6.5000000000000002E-2</v>
      </c>
      <c r="R6" s="474">
        <f>+$C$3+R1</f>
        <v>6.25E-2</v>
      </c>
      <c r="AB6" s="343">
        <f>+$C$3+P1</f>
        <v>7.0000000000000007E-2</v>
      </c>
      <c r="AC6" s="473">
        <f>+$C$3+Q1</f>
        <v>6.5000000000000002E-2</v>
      </c>
      <c r="AD6" s="474">
        <f>+$C$3+R1</f>
        <v>6.25E-2</v>
      </c>
      <c r="AH6" s="22"/>
      <c r="AI6" s="14" t="s">
        <v>824</v>
      </c>
      <c r="AJ6" s="14" t="s">
        <v>823</v>
      </c>
      <c r="AK6" s="524"/>
      <c r="AP6" s="30" t="s">
        <v>679</v>
      </c>
      <c r="AQ6"/>
      <c r="AR6" s="349">
        <f>SUM(AR3:AR5)</f>
        <v>141861.17166809074</v>
      </c>
      <c r="AS6" s="349">
        <f>SUM(AS3:AS5)</f>
        <v>259245.84835648586</v>
      </c>
      <c r="AT6" s="349">
        <f>SUM(AT3:AT5)</f>
        <v>545541.58795508742</v>
      </c>
      <c r="AU6" s="524">
        <f>SUM(AU3:AU5)</f>
        <v>910346.46685977909</v>
      </c>
      <c r="AV6" s="14"/>
      <c r="AW6"/>
      <c r="AX6" s="287"/>
      <c r="AY6" s="14"/>
    </row>
    <row r="7" spans="1:51" ht="15.75" thickBot="1" x14ac:dyDescent="0.3">
      <c r="N7" s="494"/>
      <c r="O7" s="517">
        <v>30</v>
      </c>
      <c r="P7" s="515">
        <f>+O7*12</f>
        <v>360</v>
      </c>
      <c r="Z7" s="287"/>
      <c r="AB7" s="517">
        <v>30</v>
      </c>
      <c r="AG7" s="30" t="s">
        <v>697</v>
      </c>
      <c r="AH7"/>
      <c r="AI7" s="287">
        <f>_xlfn.XLOOKUP(12,$M:$M,AS:AS)</f>
        <v>749.98</v>
      </c>
      <c r="AJ7" s="287">
        <f>_xlfn.XLOOKUP(12,$M:$M,$AP:$AP)</f>
        <v>429.60000000000014</v>
      </c>
      <c r="AK7" s="14"/>
      <c r="AP7" s="287"/>
      <c r="AQ7" s="287"/>
      <c r="AR7" s="287"/>
      <c r="AU7"/>
    </row>
    <row r="8" spans="1:51" ht="15.75" thickBot="1" x14ac:dyDescent="0.3">
      <c r="N8" s="494"/>
      <c r="O8" s="515">
        <f>ROUND(PMT($O$6/12,$P$7,-$O$5,0), 2)</f>
        <v>1536.52</v>
      </c>
      <c r="S8" s="514" t="s">
        <v>733</v>
      </c>
      <c r="T8" s="14">
        <v>134.16999999999999</v>
      </c>
      <c r="Y8" s="493" t="str">
        <f>+"Payment at "&amp;AA8</f>
        <v>Payment at 0.0335</v>
      </c>
      <c r="Z8" s="414">
        <f>ROUND(PMT($AA$8/12,$AC$8,-$AB$8,0), 2)</f>
        <v>1216.1400000000001</v>
      </c>
      <c r="AA8" s="486">
        <v>3.3500000000000002E-2</v>
      </c>
      <c r="AB8" s="414">
        <f>+AA5</f>
        <v>275948.79999999999</v>
      </c>
      <c r="AC8" s="528">
        <f>+AB7*12</f>
        <v>360</v>
      </c>
      <c r="AG8" s="30" t="s">
        <v>822</v>
      </c>
      <c r="AH8"/>
      <c r="AI8" s="287">
        <f>+AI7*60</f>
        <v>44998.8</v>
      </c>
      <c r="AJ8" s="287">
        <f>+AJ7*60</f>
        <v>25776.000000000007</v>
      </c>
      <c r="AK8" s="524"/>
      <c r="AQ8" s="514" t="s">
        <v>787</v>
      </c>
      <c r="AR8" s="287">
        <f>-_xlfn.XLOOKUP(5,$L:$L,$J:$J)</f>
        <v>-44201.180000000008</v>
      </c>
      <c r="AS8" s="524"/>
      <c r="AU8"/>
    </row>
    <row r="9" spans="1:51" ht="15.75" thickBot="1" x14ac:dyDescent="0.3">
      <c r="N9" s="494"/>
      <c r="O9" s="14">
        <v>45717</v>
      </c>
      <c r="S9" s="514" t="s">
        <v>734</v>
      </c>
      <c r="T9" s="14">
        <v>188.55</v>
      </c>
      <c r="Y9" s="493" t="str">
        <f>+"Payment at "&amp;AA9</f>
        <v>Payment at 0.07</v>
      </c>
      <c r="Z9" s="414">
        <f>ROUND(PMT($AA$9/12,$AC$9,-$AB$9,0), 2)</f>
        <v>1746.44</v>
      </c>
      <c r="AA9" s="486">
        <f>IF($AW$2=1,AB6,IF($AW$2=2,AC6,IF($AW$2=3,AD6)))</f>
        <v>7.0000000000000007E-2</v>
      </c>
      <c r="AB9" s="414">
        <v>247099</v>
      </c>
      <c r="AC9" s="528">
        <f>+AC8-60</f>
        <v>300</v>
      </c>
      <c r="AG9" s="30" t="s">
        <v>699</v>
      </c>
      <c r="AH9"/>
      <c r="AI9" s="287">
        <f>-_xlfn.XLOOKUP(5,$L:$L,$K:$K)</f>
        <v>-148172.47999999989</v>
      </c>
      <c r="AJ9" s="287">
        <f>-_xlfn.XLOOKUP(5,$L:$L,$K:$K)</f>
        <v>-148172.47999999989</v>
      </c>
      <c r="AK9" s="14"/>
      <c r="AQ9" s="514" t="s">
        <v>788</v>
      </c>
      <c r="AR9" s="348">
        <f>_xlfn.XLOOKUP(5,$L:$L,$V:$V)</f>
        <v>79905.930000000022</v>
      </c>
    </row>
    <row r="10" spans="1:51" ht="15" customHeight="1" thickBot="1" x14ac:dyDescent="0.3">
      <c r="AB10" s="414">
        <f>_xlfn.XLOOKUP(60,$M:$M,AL:AL)</f>
        <v>246568.99999999991</v>
      </c>
      <c r="AG10" s="30" t="s">
        <v>700</v>
      </c>
      <c r="AH10"/>
      <c r="AI10" s="348">
        <f>_xlfn.XLOOKUP(5,$L:$L,$W:$W)</f>
        <v>217128.21000000002</v>
      </c>
      <c r="AJ10" s="348">
        <f>_xlfn.XLOOKUP(5,$L:$L,$AL:$AL)</f>
        <v>246568.99999999991</v>
      </c>
      <c r="AK10" s="14"/>
      <c r="AQ10" s="514" t="s">
        <v>789</v>
      </c>
      <c r="AR10" s="475">
        <f>SUM(AU8:AU10)</f>
        <v>0</v>
      </c>
    </row>
    <row r="11" spans="1:51" ht="15.75" thickBot="1" x14ac:dyDescent="0.3">
      <c r="Y11" s="686"/>
      <c r="Z11" s="687"/>
      <c r="AC11" s="514"/>
      <c r="AG11" s="30" t="s">
        <v>729</v>
      </c>
      <c r="AH11"/>
      <c r="AI11" s="475">
        <f>SUM(AI8:AI10)</f>
        <v>113954.53000000013</v>
      </c>
      <c r="AJ11" s="475">
        <f>SUM(AJ8:AJ10)</f>
        <v>124172.52000000002</v>
      </c>
      <c r="AK11" s="14"/>
      <c r="AP11" s="475"/>
      <c r="AQ11" s="475"/>
      <c r="AR11" s="287"/>
    </row>
    <row r="12" spans="1:51" ht="15.75" thickBot="1" x14ac:dyDescent="0.3">
      <c r="N12" s="698" t="str">
        <f>"Mortgage Fixed at "&amp; O6</f>
        <v>Mortgage Fixed at 0.07</v>
      </c>
      <c r="O12" s="699"/>
      <c r="P12" s="699"/>
      <c r="Q12" s="699"/>
      <c r="R12" s="699"/>
      <c r="S12" s="699"/>
      <c r="T12" s="699"/>
      <c r="U12" s="699"/>
      <c r="V12" s="699"/>
      <c r="W12" s="700"/>
      <c r="Y12" s="698" t="str">
        <f>"Mortgage Reduced to "&amp;AA8&amp;"% for 1st 5 years then "&amp;AA9 &amp; "%"</f>
        <v>Mortgage Reduced to 0.0335% for 1st 5 years then 0.07%</v>
      </c>
      <c r="Z12" s="699"/>
      <c r="AA12" s="699"/>
      <c r="AB12" s="699"/>
      <c r="AC12" s="699"/>
      <c r="AD12" s="699"/>
      <c r="AE12" s="699"/>
      <c r="AF12" s="699"/>
      <c r="AG12" s="699"/>
      <c r="AH12" s="699"/>
      <c r="AI12" s="701"/>
      <c r="AJ12" s="701"/>
      <c r="AK12" s="701"/>
      <c r="AL12" s="660"/>
    </row>
    <row r="13" spans="1:51" ht="15" customHeight="1" thickBot="1" x14ac:dyDescent="0.3">
      <c r="C13" s="694" t="s">
        <v>796</v>
      </c>
      <c r="D13" s="695"/>
      <c r="E13" s="696"/>
      <c r="F13" s="696"/>
      <c r="G13" s="696"/>
      <c r="H13" s="697"/>
      <c r="I13" s="685" t="s">
        <v>792</v>
      </c>
      <c r="J13" s="579"/>
      <c r="N13" s="529"/>
      <c r="U13" s="688" t="s">
        <v>792</v>
      </c>
      <c r="V13" s="690"/>
      <c r="W13" s="529"/>
      <c r="Y13" s="529"/>
      <c r="AA13" s="688" t="s">
        <v>796</v>
      </c>
      <c r="AB13" s="689"/>
      <c r="AC13" s="691"/>
      <c r="AD13" s="691"/>
      <c r="AE13" s="691"/>
      <c r="AF13" s="628"/>
      <c r="AG13" s="688" t="s">
        <v>792</v>
      </c>
      <c r="AH13" s="690"/>
      <c r="AI13" s="688" t="s">
        <v>809</v>
      </c>
      <c r="AJ13" s="689"/>
      <c r="AK13" s="690"/>
      <c r="AL13" s="529"/>
      <c r="AN13" s="685" t="s">
        <v>825</v>
      </c>
      <c r="AO13" s="579"/>
      <c r="AP13" s="685" t="s">
        <v>826</v>
      </c>
      <c r="AQ13" s="579"/>
      <c r="AT13" s="523" t="s">
        <v>792</v>
      </c>
      <c r="AU13" s="685" t="s">
        <v>807</v>
      </c>
      <c r="AV13" s="579"/>
    </row>
    <row r="14" spans="1:51" ht="15" customHeight="1" thickBot="1" x14ac:dyDescent="0.3">
      <c r="A14" s="521" t="s">
        <v>271</v>
      </c>
      <c r="B14" s="347" t="s">
        <v>803</v>
      </c>
      <c r="C14" s="518" t="s">
        <v>218</v>
      </c>
      <c r="D14" s="525" t="s">
        <v>800</v>
      </c>
      <c r="E14" s="518" t="s">
        <v>794</v>
      </c>
      <c r="F14" s="518" t="s">
        <v>805</v>
      </c>
      <c r="G14" s="518" t="s">
        <v>802</v>
      </c>
      <c r="H14" s="518" t="s">
        <v>801</v>
      </c>
      <c r="I14" s="513" t="s">
        <v>800</v>
      </c>
      <c r="J14" s="513" t="s">
        <v>794</v>
      </c>
      <c r="K14" s="427" t="s">
        <v>806</v>
      </c>
      <c r="L14" s="418" t="s">
        <v>696</v>
      </c>
      <c r="M14" s="418" t="s">
        <v>669</v>
      </c>
      <c r="N14" s="347" t="s">
        <v>803</v>
      </c>
      <c r="O14" s="518" t="s">
        <v>218</v>
      </c>
      <c r="P14" s="518" t="s">
        <v>800</v>
      </c>
      <c r="Q14" s="518" t="s">
        <v>794</v>
      </c>
      <c r="R14" s="518" t="s">
        <v>805</v>
      </c>
      <c r="S14" s="518" t="s">
        <v>802</v>
      </c>
      <c r="T14" s="518" t="s">
        <v>791</v>
      </c>
      <c r="U14" s="513" t="s">
        <v>793</v>
      </c>
      <c r="V14" s="513" t="s">
        <v>794</v>
      </c>
      <c r="W14" s="518" t="s">
        <v>806</v>
      </c>
      <c r="X14" s="521" t="s">
        <v>271</v>
      </c>
      <c r="Y14" s="347" t="s">
        <v>803</v>
      </c>
      <c r="Z14" s="518" t="s">
        <v>795</v>
      </c>
      <c r="AA14" s="518" t="s">
        <v>218</v>
      </c>
      <c r="AB14" s="518" t="s">
        <v>800</v>
      </c>
      <c r="AC14" s="518" t="s">
        <v>794</v>
      </c>
      <c r="AD14" s="518" t="s">
        <v>805</v>
      </c>
      <c r="AE14" s="518" t="s">
        <v>802</v>
      </c>
      <c r="AF14" s="518" t="s">
        <v>801</v>
      </c>
      <c r="AG14" s="513" t="s">
        <v>800</v>
      </c>
      <c r="AH14" s="513" t="s">
        <v>794</v>
      </c>
      <c r="AI14" s="513" t="s">
        <v>810</v>
      </c>
      <c r="AJ14" s="513" t="s">
        <v>798</v>
      </c>
      <c r="AK14" s="513" t="s">
        <v>799</v>
      </c>
      <c r="AL14" s="513" t="s">
        <v>804</v>
      </c>
      <c r="AM14" s="418" t="s">
        <v>696</v>
      </c>
      <c r="AN14" s="518" t="s">
        <v>808</v>
      </c>
      <c r="AO14" s="518" t="s">
        <v>670</v>
      </c>
      <c r="AP14" s="518" t="s">
        <v>808</v>
      </c>
      <c r="AQ14" s="518" t="s">
        <v>670</v>
      </c>
      <c r="AR14" s="344" t="s">
        <v>672</v>
      </c>
      <c r="AS14" s="518" t="s">
        <v>673</v>
      </c>
      <c r="AT14" s="518" t="s">
        <v>673</v>
      </c>
      <c r="AU14" s="347" t="s">
        <v>796</v>
      </c>
      <c r="AV14" s="347" t="s">
        <v>797</v>
      </c>
    </row>
    <row r="15" spans="1:51" hidden="1" x14ac:dyDescent="0.25">
      <c r="A15" s="519">
        <v>44409</v>
      </c>
      <c r="B15" s="287">
        <f>+C2</f>
        <v>186558</v>
      </c>
      <c r="C15" s="14">
        <f t="shared" ref="C15:C78" si="0">IF(+$K14&lt;=0,0,$C$5)</f>
        <v>786.54</v>
      </c>
      <c r="D15" s="14">
        <f>+C15-E15</f>
        <v>320.14</v>
      </c>
      <c r="E15" s="14">
        <f t="shared" ref="E15:E78" si="1">ROUND($B15*($C$3/12), 2)</f>
        <v>466.4</v>
      </c>
      <c r="I15" s="287">
        <f>+C15</f>
        <v>786.54</v>
      </c>
      <c r="J15" s="287">
        <f>+E15</f>
        <v>466.4</v>
      </c>
      <c r="K15" s="287">
        <f>+B15-D15</f>
        <v>186237.86</v>
      </c>
      <c r="L15" s="428">
        <f t="shared" ref="L15:L78" si="2">IF(MOD(M15,12)=0,M15/12,L14)</f>
        <v>0</v>
      </c>
      <c r="M15" s="428">
        <v>0</v>
      </c>
      <c r="N15" s="287">
        <f>+$O$5</f>
        <v>230950</v>
      </c>
      <c r="O15" s="287">
        <f>IF($O$9&lt;=A15,$O$8,0)</f>
        <v>0</v>
      </c>
      <c r="P15" s="287">
        <f>+O15-Q15</f>
        <v>0</v>
      </c>
      <c r="Q15" s="287">
        <f>IF($O$9&lt;=$A15,ROUND(N15*(O$6/12),2),0)</f>
        <v>0</v>
      </c>
      <c r="R15" s="287">
        <f t="shared" ref="R15:R62" si="3">IF(O15=0,0,$T$8)</f>
        <v>0</v>
      </c>
      <c r="S15" s="287">
        <f t="shared" ref="S15:S61" si="4">IF(P15=0,0,$T$9)</f>
        <v>0</v>
      </c>
      <c r="T15" s="287">
        <f t="shared" ref="T15:T57" si="5">SUM(P15:S15)</f>
        <v>0</v>
      </c>
      <c r="U15" s="287">
        <f>+P15</f>
        <v>0</v>
      </c>
      <c r="V15" s="287">
        <f>+Q15</f>
        <v>0</v>
      </c>
      <c r="W15" s="287">
        <f>+N15-P15</f>
        <v>230950</v>
      </c>
      <c r="X15" s="519">
        <f>+A15</f>
        <v>44409</v>
      </c>
      <c r="Y15" s="287">
        <f>+AA5</f>
        <v>275948.79999999999</v>
      </c>
      <c r="Z15" s="511">
        <f t="shared" ref="Z15:Z78" si="6">IF(L15&gt;4,$AA$9,$AA$8)</f>
        <v>3.3500000000000002E-2</v>
      </c>
      <c r="AA15" s="287">
        <f t="shared" ref="AA15:AA78" si="7">IF($O$9&lt;=$A15,IF(+AL14&lt;=0,0,IF(Z15=$AA$8,$Z$8,$Z$9)),0)</f>
        <v>0</v>
      </c>
      <c r="AB15" s="287">
        <f t="shared" ref="AB15:AB58" si="8">+AA15-AC15</f>
        <v>0</v>
      </c>
      <c r="AC15" s="287">
        <f t="shared" ref="AC15:AC78" si="9">IF($O$9&lt;=$A15,ROUND(Y15*(Z15/12),2),0)</f>
        <v>0</v>
      </c>
      <c r="AD15" s="287">
        <f t="shared" ref="AD15:AD59" si="10">IF(AA15=0,0,$T$8)</f>
        <v>0</v>
      </c>
      <c r="AE15" s="287">
        <f t="shared" ref="AE15:AE59" si="11">IF(AB15=0,0,$T$9)</f>
        <v>0</v>
      </c>
      <c r="AF15" s="287">
        <f t="shared" ref="AF15:AF59" si="12">SUM(AB15:AE15)</f>
        <v>0</v>
      </c>
      <c r="AG15" s="287">
        <v>0</v>
      </c>
      <c r="AH15" s="287">
        <v>0</v>
      </c>
      <c r="AI15" s="530">
        <f>SUM(AB15:AC15)-SUM(P15:Q15)</f>
        <v>0</v>
      </c>
      <c r="AJ15" s="530">
        <f t="shared" ref="AJ15:AJ78" si="13">+W15-AL15</f>
        <v>-44998.799999999988</v>
      </c>
      <c r="AK15" s="530"/>
      <c r="AL15" s="287">
        <f>+Y15-AB15</f>
        <v>275948.79999999999</v>
      </c>
      <c r="AM15" s="428">
        <f>+L15</f>
        <v>0</v>
      </c>
      <c r="AN15" s="14">
        <f t="shared" ref="AN15:AN58" si="14">IF(O15=0,0,+O15-C15)</f>
        <v>0</v>
      </c>
      <c r="AO15" s="14">
        <f>IF(W15&lt;=0,0,+$O$5-$C$2+I15-U15+AV15)</f>
        <v>45948.373333333337</v>
      </c>
      <c r="AP15" s="14">
        <f t="shared" ref="AP15:AP58" si="15">IF($O15=0,0,+AA15-$C15)</f>
        <v>0</v>
      </c>
      <c r="AS15" s="14">
        <f t="shared" ref="AS15:AS78" si="16">+AN15-AR15</f>
        <v>0</v>
      </c>
      <c r="AT15" s="14">
        <f>+AS15</f>
        <v>0</v>
      </c>
      <c r="AU15" s="287">
        <f>+O5*AQ2/12</f>
        <v>769.83333333333337</v>
      </c>
      <c r="AV15" s="287">
        <f>+AU15</f>
        <v>769.83333333333337</v>
      </c>
    </row>
    <row r="16" spans="1:51" hidden="1" x14ac:dyDescent="0.25">
      <c r="A16" s="519">
        <f>IF(K16&lt;=0," ",+A15+30)</f>
        <v>44439</v>
      </c>
      <c r="B16" s="287">
        <f t="shared" ref="B16:B79" si="17">IF(+K15&lt;0,0,+K15)</f>
        <v>186237.86</v>
      </c>
      <c r="C16" s="14">
        <f t="shared" si="0"/>
        <v>786.54</v>
      </c>
      <c r="D16" s="14">
        <f>+C16-E16</f>
        <v>320.95</v>
      </c>
      <c r="E16" s="14">
        <f t="shared" si="1"/>
        <v>465.59</v>
      </c>
      <c r="I16" s="287">
        <f>$D16+$I15</f>
        <v>1107.49</v>
      </c>
      <c r="J16" s="287">
        <f>$E16+$J15</f>
        <v>931.99</v>
      </c>
      <c r="K16" s="287">
        <f>+B16-D16</f>
        <v>185916.90999999997</v>
      </c>
      <c r="L16" s="428">
        <f t="shared" si="2"/>
        <v>0</v>
      </c>
      <c r="M16" s="428">
        <f t="shared" ref="M16:M79" si="18">IF(N16&lt;&gt;"",IF(N16=$O$5,0,+M15+1),0)</f>
        <v>0</v>
      </c>
      <c r="N16" s="287">
        <f t="shared" ref="N16:N79" si="19">IF(+W15&lt;0,0,+W15)</f>
        <v>230950</v>
      </c>
      <c r="O16" s="287">
        <f t="shared" ref="O16:O57" si="20">IF($O$9&lt;=A16,IF(+$W15&lt;=0,0,$O$8),0)</f>
        <v>0</v>
      </c>
      <c r="P16" s="287">
        <f>+O16-Q16</f>
        <v>0</v>
      </c>
      <c r="Q16" s="287">
        <f t="shared" ref="Q16:Q60" si="21">IF($O$9&lt;=A16,ROUND(N16*($O$6/12),2),0)</f>
        <v>0</v>
      </c>
      <c r="R16" s="287">
        <f t="shared" si="3"/>
        <v>0</v>
      </c>
      <c r="S16" s="287">
        <f t="shared" si="4"/>
        <v>0</v>
      </c>
      <c r="T16" s="287">
        <f t="shared" si="5"/>
        <v>0</v>
      </c>
      <c r="U16" s="287">
        <f>+P16+U15</f>
        <v>0</v>
      </c>
      <c r="V16" s="287">
        <f>+V15+Q16</f>
        <v>0</v>
      </c>
      <c r="W16" s="287">
        <f>+N16-P16</f>
        <v>230950</v>
      </c>
      <c r="X16" s="519">
        <f t="shared" ref="X16:X79" si="22">+A16</f>
        <v>44439</v>
      </c>
      <c r="Y16" s="287">
        <f>IF(+AL15&lt;0,0,+AL15)</f>
        <v>275948.79999999999</v>
      </c>
      <c r="Z16" s="511">
        <f t="shared" si="6"/>
        <v>3.3500000000000002E-2</v>
      </c>
      <c r="AA16" s="287">
        <f t="shared" si="7"/>
        <v>0</v>
      </c>
      <c r="AB16" s="287">
        <f t="shared" si="8"/>
        <v>0</v>
      </c>
      <c r="AC16" s="287">
        <f t="shared" si="9"/>
        <v>0</v>
      </c>
      <c r="AD16" s="287">
        <f t="shared" si="10"/>
        <v>0</v>
      </c>
      <c r="AE16" s="287">
        <f t="shared" si="11"/>
        <v>0</v>
      </c>
      <c r="AF16" s="287">
        <f t="shared" si="12"/>
        <v>0</v>
      </c>
      <c r="AG16" s="287">
        <f>+AB16+AG15</f>
        <v>0</v>
      </c>
      <c r="AH16" s="287">
        <f>+AH15+AC16</f>
        <v>0</v>
      </c>
      <c r="AI16" s="530">
        <f t="shared" ref="AI16:AI58" si="23">O16-AA16+AI15</f>
        <v>0</v>
      </c>
      <c r="AJ16" s="530">
        <f t="shared" si="13"/>
        <v>-44998.799999999988</v>
      </c>
      <c r="AK16" s="530"/>
      <c r="AL16" s="287">
        <f>+Y16-AB16</f>
        <v>275948.79999999999</v>
      </c>
      <c r="AM16" s="428">
        <f t="shared" ref="AM16:AM79" si="24">+L16</f>
        <v>0</v>
      </c>
      <c r="AN16" s="14">
        <f t="shared" si="14"/>
        <v>0</v>
      </c>
      <c r="AO16" s="14">
        <f t="shared" ref="AO16:AO44" si="25">IF(W16&lt;=0,0,+$O$5-$C$2+I16-U16)</f>
        <v>45499.49</v>
      </c>
      <c r="AP16" s="14">
        <f t="shared" si="15"/>
        <v>0</v>
      </c>
      <c r="AS16" s="14">
        <f t="shared" si="16"/>
        <v>0</v>
      </c>
      <c r="AT16" s="14">
        <f t="shared" ref="AT16:AT79" si="26">IF(W16&lt;=0,0,+AS16+AT15)</f>
        <v>0</v>
      </c>
      <c r="AU16" s="287">
        <f t="shared" ref="AU16:AU79" si="27">IF(W16&lt;=0,0,+($O$5+AV15)*$AQ$2/12)</f>
        <v>772.39944444444438</v>
      </c>
      <c r="AV16" s="287">
        <f t="shared" ref="AV16:AV79" si="28">IF(W16&lt;=0,0,+AV15+AU16)</f>
        <v>1542.2327777777778</v>
      </c>
    </row>
    <row r="17" spans="1:48" hidden="1" x14ac:dyDescent="0.25">
      <c r="A17" s="519">
        <f t="shared" ref="A17:A61" si="29">IF(K17&lt;=0," ",+A16+30)</f>
        <v>44469</v>
      </c>
      <c r="B17" s="287">
        <f t="shared" si="17"/>
        <v>185916.90999999997</v>
      </c>
      <c r="C17" s="14">
        <f t="shared" si="0"/>
        <v>786.54</v>
      </c>
      <c r="D17" s="14">
        <f t="shared" ref="D17:D80" si="30">+C17-E17</f>
        <v>321.74999999999994</v>
      </c>
      <c r="E17" s="14">
        <f t="shared" si="1"/>
        <v>464.79</v>
      </c>
      <c r="I17" s="287">
        <f t="shared" ref="I17:I31" si="31">$D17+$I16</f>
        <v>1429.24</v>
      </c>
      <c r="J17" s="287">
        <f t="shared" ref="J17:J31" si="32">$E17+$J16</f>
        <v>1396.78</v>
      </c>
      <c r="K17" s="287">
        <f t="shared" ref="K17:K31" si="33">+B17-D17</f>
        <v>185595.15999999997</v>
      </c>
      <c r="L17" s="428">
        <f t="shared" si="2"/>
        <v>0</v>
      </c>
      <c r="M17" s="428">
        <f t="shared" si="18"/>
        <v>0</v>
      </c>
      <c r="N17" s="287">
        <f t="shared" si="19"/>
        <v>230950</v>
      </c>
      <c r="O17" s="287">
        <f t="shared" si="20"/>
        <v>0</v>
      </c>
      <c r="P17" s="287">
        <f t="shared" ref="P17:P80" si="34">+O17-Q17</f>
        <v>0</v>
      </c>
      <c r="Q17" s="287">
        <f t="shared" si="21"/>
        <v>0</v>
      </c>
      <c r="R17" s="287">
        <f t="shared" si="3"/>
        <v>0</v>
      </c>
      <c r="S17" s="287">
        <f t="shared" si="4"/>
        <v>0</v>
      </c>
      <c r="T17" s="287">
        <f t="shared" si="5"/>
        <v>0</v>
      </c>
      <c r="U17" s="287">
        <f t="shared" ref="U17:U80" si="35">+P17+U16</f>
        <v>0</v>
      </c>
      <c r="V17" s="287">
        <f t="shared" ref="V17:V80" si="36">+V16+Q17</f>
        <v>0</v>
      </c>
      <c r="W17" s="287">
        <f t="shared" ref="W17:W61" si="37">+N17-P17</f>
        <v>230950</v>
      </c>
      <c r="X17" s="519">
        <f t="shared" si="22"/>
        <v>44469</v>
      </c>
      <c r="Y17" s="287">
        <f t="shared" ref="Y17:Y58" si="38">IF(+AL16&lt;0,0,+AL16)</f>
        <v>275948.79999999999</v>
      </c>
      <c r="Z17" s="511">
        <f t="shared" si="6"/>
        <v>3.3500000000000002E-2</v>
      </c>
      <c r="AA17" s="287">
        <f t="shared" si="7"/>
        <v>0</v>
      </c>
      <c r="AB17" s="287">
        <f t="shared" si="8"/>
        <v>0</v>
      </c>
      <c r="AC17" s="287">
        <f t="shared" si="9"/>
        <v>0</v>
      </c>
      <c r="AD17" s="287">
        <f t="shared" si="10"/>
        <v>0</v>
      </c>
      <c r="AE17" s="287">
        <f t="shared" si="11"/>
        <v>0</v>
      </c>
      <c r="AF17" s="287">
        <f t="shared" si="12"/>
        <v>0</v>
      </c>
      <c r="AG17" s="287">
        <f t="shared" ref="AG17:AG58" si="39">+AB17+AG16</f>
        <v>0</v>
      </c>
      <c r="AH17" s="287">
        <f t="shared" ref="AH17:AH58" si="40">+AH16+AC17</f>
        <v>0</v>
      </c>
      <c r="AI17" s="530">
        <f t="shared" si="23"/>
        <v>0</v>
      </c>
      <c r="AJ17" s="530">
        <f t="shared" si="13"/>
        <v>-44998.799999999988</v>
      </c>
      <c r="AK17" s="530"/>
      <c r="AL17" s="287">
        <f t="shared" ref="AL17:AL58" si="41">+Y17-AB17</f>
        <v>275948.79999999999</v>
      </c>
      <c r="AM17" s="428">
        <f t="shared" si="24"/>
        <v>0</v>
      </c>
      <c r="AN17" s="14">
        <f t="shared" si="14"/>
        <v>0</v>
      </c>
      <c r="AO17" s="14">
        <f t="shared" si="25"/>
        <v>45821.24</v>
      </c>
      <c r="AP17" s="14">
        <f t="shared" si="15"/>
        <v>0</v>
      </c>
      <c r="AS17" s="14">
        <f t="shared" si="16"/>
        <v>0</v>
      </c>
      <c r="AT17" s="14">
        <f t="shared" si="26"/>
        <v>0</v>
      </c>
      <c r="AU17" s="287">
        <f t="shared" si="27"/>
        <v>774.97410925925931</v>
      </c>
      <c r="AV17" s="287">
        <f t="shared" si="28"/>
        <v>2317.2068870370372</v>
      </c>
    </row>
    <row r="18" spans="1:48" hidden="1" x14ac:dyDescent="0.25">
      <c r="A18" s="519">
        <f t="shared" si="29"/>
        <v>44499</v>
      </c>
      <c r="B18" s="287">
        <f t="shared" si="17"/>
        <v>185595.15999999997</v>
      </c>
      <c r="C18" s="14">
        <f t="shared" si="0"/>
        <v>786.54</v>
      </c>
      <c r="D18" s="14">
        <f t="shared" si="30"/>
        <v>322.54999999999995</v>
      </c>
      <c r="E18" s="14">
        <f t="shared" si="1"/>
        <v>463.99</v>
      </c>
      <c r="I18" s="287">
        <f t="shared" si="31"/>
        <v>1751.79</v>
      </c>
      <c r="J18" s="287">
        <f t="shared" si="32"/>
        <v>1860.77</v>
      </c>
      <c r="K18" s="287">
        <f t="shared" si="33"/>
        <v>185272.61</v>
      </c>
      <c r="L18" s="428">
        <f t="shared" si="2"/>
        <v>0</v>
      </c>
      <c r="M18" s="428">
        <f t="shared" si="18"/>
        <v>0</v>
      </c>
      <c r="N18" s="287">
        <f t="shared" si="19"/>
        <v>230950</v>
      </c>
      <c r="O18" s="287">
        <f t="shared" si="20"/>
        <v>0</v>
      </c>
      <c r="P18" s="287">
        <f t="shared" si="34"/>
        <v>0</v>
      </c>
      <c r="Q18" s="287">
        <f t="shared" si="21"/>
        <v>0</v>
      </c>
      <c r="R18" s="287">
        <f t="shared" si="3"/>
        <v>0</v>
      </c>
      <c r="S18" s="287">
        <f t="shared" si="4"/>
        <v>0</v>
      </c>
      <c r="T18" s="287">
        <f t="shared" si="5"/>
        <v>0</v>
      </c>
      <c r="U18" s="287">
        <f t="shared" si="35"/>
        <v>0</v>
      </c>
      <c r="V18" s="287">
        <f t="shared" si="36"/>
        <v>0</v>
      </c>
      <c r="W18" s="287">
        <f t="shared" si="37"/>
        <v>230950</v>
      </c>
      <c r="X18" s="519">
        <f t="shared" si="22"/>
        <v>44499</v>
      </c>
      <c r="Y18" s="287">
        <f t="shared" si="38"/>
        <v>275948.79999999999</v>
      </c>
      <c r="Z18" s="511">
        <f t="shared" si="6"/>
        <v>3.3500000000000002E-2</v>
      </c>
      <c r="AA18" s="287">
        <f t="shared" si="7"/>
        <v>0</v>
      </c>
      <c r="AB18" s="287">
        <f t="shared" si="8"/>
        <v>0</v>
      </c>
      <c r="AC18" s="287">
        <f t="shared" si="9"/>
        <v>0</v>
      </c>
      <c r="AD18" s="287">
        <f t="shared" si="10"/>
        <v>0</v>
      </c>
      <c r="AE18" s="287">
        <f t="shared" si="11"/>
        <v>0</v>
      </c>
      <c r="AF18" s="287">
        <f t="shared" si="12"/>
        <v>0</v>
      </c>
      <c r="AG18" s="287">
        <f t="shared" si="39"/>
        <v>0</v>
      </c>
      <c r="AH18" s="287">
        <f t="shared" si="40"/>
        <v>0</v>
      </c>
      <c r="AI18" s="530">
        <f t="shared" si="23"/>
        <v>0</v>
      </c>
      <c r="AJ18" s="530">
        <f t="shared" si="13"/>
        <v>-44998.799999999988</v>
      </c>
      <c r="AK18" s="530"/>
      <c r="AL18" s="287">
        <f t="shared" si="41"/>
        <v>275948.79999999999</v>
      </c>
      <c r="AM18" s="428">
        <f t="shared" si="24"/>
        <v>0</v>
      </c>
      <c r="AN18" s="14">
        <f t="shared" si="14"/>
        <v>0</v>
      </c>
      <c r="AO18" s="14">
        <f t="shared" si="25"/>
        <v>46143.79</v>
      </c>
      <c r="AP18" s="14">
        <f t="shared" si="15"/>
        <v>0</v>
      </c>
      <c r="AS18" s="14">
        <f t="shared" si="16"/>
        <v>0</v>
      </c>
      <c r="AT18" s="14">
        <f t="shared" si="26"/>
        <v>0</v>
      </c>
      <c r="AU18" s="287">
        <f t="shared" si="27"/>
        <v>777.55735629012349</v>
      </c>
      <c r="AV18" s="287">
        <f t="shared" si="28"/>
        <v>3094.7642433271608</v>
      </c>
    </row>
    <row r="19" spans="1:48" hidden="1" x14ac:dyDescent="0.25">
      <c r="A19" s="519">
        <f t="shared" si="29"/>
        <v>44529</v>
      </c>
      <c r="B19" s="287">
        <f t="shared" si="17"/>
        <v>185272.61</v>
      </c>
      <c r="C19" s="14">
        <f t="shared" si="0"/>
        <v>786.54</v>
      </c>
      <c r="D19" s="14">
        <f t="shared" si="30"/>
        <v>323.35999999999996</v>
      </c>
      <c r="E19" s="14">
        <f t="shared" si="1"/>
        <v>463.18</v>
      </c>
      <c r="I19" s="287">
        <f t="shared" si="31"/>
        <v>2075.15</v>
      </c>
      <c r="J19" s="287">
        <f t="shared" si="32"/>
        <v>2323.9499999999998</v>
      </c>
      <c r="K19" s="287">
        <f t="shared" si="33"/>
        <v>184949.25</v>
      </c>
      <c r="L19" s="428">
        <f t="shared" si="2"/>
        <v>0</v>
      </c>
      <c r="M19" s="428">
        <f t="shared" si="18"/>
        <v>0</v>
      </c>
      <c r="N19" s="287">
        <f t="shared" si="19"/>
        <v>230950</v>
      </c>
      <c r="O19" s="287">
        <f t="shared" si="20"/>
        <v>0</v>
      </c>
      <c r="P19" s="287">
        <f t="shared" si="34"/>
        <v>0</v>
      </c>
      <c r="Q19" s="287">
        <f t="shared" si="21"/>
        <v>0</v>
      </c>
      <c r="R19" s="287">
        <f t="shared" si="3"/>
        <v>0</v>
      </c>
      <c r="S19" s="287">
        <f t="shared" si="4"/>
        <v>0</v>
      </c>
      <c r="T19" s="287">
        <f t="shared" si="5"/>
        <v>0</v>
      </c>
      <c r="U19" s="287">
        <f t="shared" si="35"/>
        <v>0</v>
      </c>
      <c r="V19" s="287">
        <f t="shared" si="36"/>
        <v>0</v>
      </c>
      <c r="W19" s="287">
        <f t="shared" si="37"/>
        <v>230950</v>
      </c>
      <c r="X19" s="519">
        <f t="shared" si="22"/>
        <v>44529</v>
      </c>
      <c r="Y19" s="287">
        <f t="shared" si="38"/>
        <v>275948.79999999999</v>
      </c>
      <c r="Z19" s="511">
        <f t="shared" si="6"/>
        <v>3.3500000000000002E-2</v>
      </c>
      <c r="AA19" s="287">
        <f t="shared" si="7"/>
        <v>0</v>
      </c>
      <c r="AB19" s="287">
        <f t="shared" si="8"/>
        <v>0</v>
      </c>
      <c r="AC19" s="287">
        <f t="shared" si="9"/>
        <v>0</v>
      </c>
      <c r="AD19" s="287">
        <f t="shared" si="10"/>
        <v>0</v>
      </c>
      <c r="AE19" s="287">
        <f t="shared" si="11"/>
        <v>0</v>
      </c>
      <c r="AF19" s="287">
        <f t="shared" si="12"/>
        <v>0</v>
      </c>
      <c r="AG19" s="287">
        <f t="shared" si="39"/>
        <v>0</v>
      </c>
      <c r="AH19" s="287">
        <f t="shared" si="40"/>
        <v>0</v>
      </c>
      <c r="AI19" s="530">
        <f t="shared" si="23"/>
        <v>0</v>
      </c>
      <c r="AJ19" s="530">
        <f t="shared" si="13"/>
        <v>-44998.799999999988</v>
      </c>
      <c r="AK19" s="530"/>
      <c r="AL19" s="287">
        <f t="shared" si="41"/>
        <v>275948.79999999999</v>
      </c>
      <c r="AM19" s="428">
        <f t="shared" si="24"/>
        <v>0</v>
      </c>
      <c r="AN19" s="14">
        <f t="shared" si="14"/>
        <v>0</v>
      </c>
      <c r="AO19" s="14">
        <f t="shared" si="25"/>
        <v>46467.15</v>
      </c>
      <c r="AP19" s="14">
        <f t="shared" si="15"/>
        <v>0</v>
      </c>
      <c r="AS19" s="14">
        <f t="shared" si="16"/>
        <v>0</v>
      </c>
      <c r="AT19" s="14">
        <f t="shared" si="26"/>
        <v>0</v>
      </c>
      <c r="AU19" s="287">
        <f t="shared" si="27"/>
        <v>780.14921414442381</v>
      </c>
      <c r="AV19" s="287">
        <f t="shared" si="28"/>
        <v>3874.9134574715845</v>
      </c>
    </row>
    <row r="20" spans="1:48" hidden="1" x14ac:dyDescent="0.25">
      <c r="A20" s="519">
        <f t="shared" si="29"/>
        <v>44559</v>
      </c>
      <c r="B20" s="287">
        <f t="shared" si="17"/>
        <v>184949.25</v>
      </c>
      <c r="C20" s="14">
        <f t="shared" si="0"/>
        <v>786.54</v>
      </c>
      <c r="D20" s="14">
        <f t="shared" si="30"/>
        <v>324.16999999999996</v>
      </c>
      <c r="E20" s="14">
        <f t="shared" si="1"/>
        <v>462.37</v>
      </c>
      <c r="I20" s="287">
        <f t="shared" si="31"/>
        <v>2399.3200000000002</v>
      </c>
      <c r="J20" s="287">
        <f t="shared" si="32"/>
        <v>2786.3199999999997</v>
      </c>
      <c r="K20" s="287">
        <f t="shared" si="33"/>
        <v>184625.08</v>
      </c>
      <c r="L20" s="428">
        <f t="shared" si="2"/>
        <v>0</v>
      </c>
      <c r="M20" s="428">
        <f t="shared" si="18"/>
        <v>0</v>
      </c>
      <c r="N20" s="287">
        <f t="shared" si="19"/>
        <v>230950</v>
      </c>
      <c r="O20" s="287">
        <f t="shared" si="20"/>
        <v>0</v>
      </c>
      <c r="P20" s="287">
        <f t="shared" si="34"/>
        <v>0</v>
      </c>
      <c r="Q20" s="287">
        <f t="shared" si="21"/>
        <v>0</v>
      </c>
      <c r="R20" s="287">
        <f t="shared" si="3"/>
        <v>0</v>
      </c>
      <c r="S20" s="287">
        <f t="shared" si="4"/>
        <v>0</v>
      </c>
      <c r="T20" s="287">
        <f t="shared" si="5"/>
        <v>0</v>
      </c>
      <c r="U20" s="287">
        <f t="shared" si="35"/>
        <v>0</v>
      </c>
      <c r="V20" s="287">
        <f t="shared" si="36"/>
        <v>0</v>
      </c>
      <c r="W20" s="287">
        <f t="shared" si="37"/>
        <v>230950</v>
      </c>
      <c r="X20" s="519">
        <f t="shared" si="22"/>
        <v>44559</v>
      </c>
      <c r="Y20" s="287">
        <f t="shared" si="38"/>
        <v>275948.79999999999</v>
      </c>
      <c r="Z20" s="511">
        <f t="shared" si="6"/>
        <v>3.3500000000000002E-2</v>
      </c>
      <c r="AA20" s="287">
        <f t="shared" si="7"/>
        <v>0</v>
      </c>
      <c r="AB20" s="287">
        <f t="shared" si="8"/>
        <v>0</v>
      </c>
      <c r="AC20" s="287">
        <f t="shared" si="9"/>
        <v>0</v>
      </c>
      <c r="AD20" s="287">
        <f t="shared" si="10"/>
        <v>0</v>
      </c>
      <c r="AE20" s="287">
        <f t="shared" si="11"/>
        <v>0</v>
      </c>
      <c r="AF20" s="287">
        <f t="shared" si="12"/>
        <v>0</v>
      </c>
      <c r="AG20" s="287">
        <f t="shared" si="39"/>
        <v>0</v>
      </c>
      <c r="AH20" s="287">
        <f t="shared" si="40"/>
        <v>0</v>
      </c>
      <c r="AI20" s="530">
        <f t="shared" si="23"/>
        <v>0</v>
      </c>
      <c r="AJ20" s="530">
        <f t="shared" si="13"/>
        <v>-44998.799999999988</v>
      </c>
      <c r="AK20" s="530"/>
      <c r="AL20" s="287">
        <f t="shared" si="41"/>
        <v>275948.79999999999</v>
      </c>
      <c r="AM20" s="428">
        <f t="shared" si="24"/>
        <v>0</v>
      </c>
      <c r="AN20" s="14">
        <f t="shared" si="14"/>
        <v>0</v>
      </c>
      <c r="AO20" s="14">
        <f t="shared" si="25"/>
        <v>46791.32</v>
      </c>
      <c r="AP20" s="14">
        <f t="shared" si="15"/>
        <v>0</v>
      </c>
      <c r="AS20" s="14">
        <f t="shared" si="16"/>
        <v>0</v>
      </c>
      <c r="AT20" s="14">
        <f t="shared" si="26"/>
        <v>0</v>
      </c>
      <c r="AU20" s="287">
        <f t="shared" si="27"/>
        <v>782.74971152490525</v>
      </c>
      <c r="AV20" s="287">
        <f t="shared" si="28"/>
        <v>4657.6631689964897</v>
      </c>
    </row>
    <row r="21" spans="1:48" hidden="1" x14ac:dyDescent="0.25">
      <c r="A21" s="519">
        <f t="shared" si="29"/>
        <v>44589</v>
      </c>
      <c r="B21" s="287">
        <f t="shared" si="17"/>
        <v>184625.08</v>
      </c>
      <c r="C21" s="14">
        <f t="shared" si="0"/>
        <v>786.54</v>
      </c>
      <c r="D21" s="14">
        <f t="shared" si="30"/>
        <v>324.97999999999996</v>
      </c>
      <c r="E21" s="14">
        <f t="shared" si="1"/>
        <v>461.56</v>
      </c>
      <c r="I21" s="287">
        <f t="shared" si="31"/>
        <v>2724.3</v>
      </c>
      <c r="J21" s="287">
        <f t="shared" si="32"/>
        <v>3247.8799999999997</v>
      </c>
      <c r="K21" s="287">
        <f t="shared" si="33"/>
        <v>184300.09999999998</v>
      </c>
      <c r="L21" s="428">
        <f t="shared" si="2"/>
        <v>0</v>
      </c>
      <c r="M21" s="428">
        <f t="shared" si="18"/>
        <v>0</v>
      </c>
      <c r="N21" s="287">
        <f t="shared" si="19"/>
        <v>230950</v>
      </c>
      <c r="O21" s="287">
        <f t="shared" si="20"/>
        <v>0</v>
      </c>
      <c r="P21" s="287">
        <f t="shared" si="34"/>
        <v>0</v>
      </c>
      <c r="Q21" s="287">
        <f t="shared" si="21"/>
        <v>0</v>
      </c>
      <c r="R21" s="287">
        <f t="shared" si="3"/>
        <v>0</v>
      </c>
      <c r="S21" s="287">
        <f t="shared" si="4"/>
        <v>0</v>
      </c>
      <c r="T21" s="287">
        <f t="shared" si="5"/>
        <v>0</v>
      </c>
      <c r="U21" s="287">
        <f t="shared" si="35"/>
        <v>0</v>
      </c>
      <c r="V21" s="287">
        <f t="shared" si="36"/>
        <v>0</v>
      </c>
      <c r="W21" s="287">
        <f t="shared" si="37"/>
        <v>230950</v>
      </c>
      <c r="X21" s="519">
        <f t="shared" si="22"/>
        <v>44589</v>
      </c>
      <c r="Y21" s="287">
        <f t="shared" si="38"/>
        <v>275948.79999999999</v>
      </c>
      <c r="Z21" s="511">
        <f t="shared" si="6"/>
        <v>3.3500000000000002E-2</v>
      </c>
      <c r="AA21" s="287">
        <f t="shared" si="7"/>
        <v>0</v>
      </c>
      <c r="AB21" s="287">
        <f t="shared" si="8"/>
        <v>0</v>
      </c>
      <c r="AC21" s="287">
        <f t="shared" si="9"/>
        <v>0</v>
      </c>
      <c r="AD21" s="287">
        <f t="shared" si="10"/>
        <v>0</v>
      </c>
      <c r="AE21" s="287">
        <f t="shared" si="11"/>
        <v>0</v>
      </c>
      <c r="AF21" s="287">
        <f t="shared" si="12"/>
        <v>0</v>
      </c>
      <c r="AG21" s="287">
        <f t="shared" si="39"/>
        <v>0</v>
      </c>
      <c r="AH21" s="287">
        <f t="shared" si="40"/>
        <v>0</v>
      </c>
      <c r="AI21" s="530">
        <f t="shared" si="23"/>
        <v>0</v>
      </c>
      <c r="AJ21" s="530">
        <f t="shared" si="13"/>
        <v>-44998.799999999988</v>
      </c>
      <c r="AK21" s="530"/>
      <c r="AL21" s="287">
        <f t="shared" si="41"/>
        <v>275948.79999999999</v>
      </c>
      <c r="AM21" s="428">
        <f t="shared" si="24"/>
        <v>0</v>
      </c>
      <c r="AN21" s="14">
        <f t="shared" si="14"/>
        <v>0</v>
      </c>
      <c r="AO21" s="14">
        <f t="shared" si="25"/>
        <v>47116.3</v>
      </c>
      <c r="AP21" s="14">
        <f t="shared" si="15"/>
        <v>0</v>
      </c>
      <c r="AS21" s="14">
        <f t="shared" si="16"/>
        <v>0</v>
      </c>
      <c r="AT21" s="14">
        <f t="shared" si="26"/>
        <v>0</v>
      </c>
      <c r="AU21" s="287">
        <f t="shared" si="27"/>
        <v>785.35887722998825</v>
      </c>
      <c r="AV21" s="287">
        <f t="shared" si="28"/>
        <v>5443.0220462264779</v>
      </c>
    </row>
    <row r="22" spans="1:48" hidden="1" x14ac:dyDescent="0.25">
      <c r="A22" s="519">
        <f t="shared" si="29"/>
        <v>44619</v>
      </c>
      <c r="B22" s="287">
        <f t="shared" si="17"/>
        <v>184300.09999999998</v>
      </c>
      <c r="C22" s="14">
        <f t="shared" si="0"/>
        <v>786.54</v>
      </c>
      <c r="D22" s="14">
        <f t="shared" si="30"/>
        <v>325.78999999999996</v>
      </c>
      <c r="E22" s="14">
        <f t="shared" si="1"/>
        <v>460.75</v>
      </c>
      <c r="I22" s="287">
        <f t="shared" si="31"/>
        <v>3050.09</v>
      </c>
      <c r="J22" s="287">
        <f t="shared" si="32"/>
        <v>3708.6299999999997</v>
      </c>
      <c r="K22" s="287">
        <f t="shared" si="33"/>
        <v>183974.30999999997</v>
      </c>
      <c r="L22" s="428">
        <f t="shared" si="2"/>
        <v>0</v>
      </c>
      <c r="M22" s="428">
        <f t="shared" si="18"/>
        <v>0</v>
      </c>
      <c r="N22" s="287">
        <f t="shared" si="19"/>
        <v>230950</v>
      </c>
      <c r="O22" s="287">
        <f t="shared" si="20"/>
        <v>0</v>
      </c>
      <c r="P22" s="287">
        <f t="shared" si="34"/>
        <v>0</v>
      </c>
      <c r="Q22" s="287">
        <f t="shared" si="21"/>
        <v>0</v>
      </c>
      <c r="R22" s="287">
        <f t="shared" si="3"/>
        <v>0</v>
      </c>
      <c r="S22" s="287">
        <f t="shared" si="4"/>
        <v>0</v>
      </c>
      <c r="T22" s="287">
        <f t="shared" si="5"/>
        <v>0</v>
      </c>
      <c r="U22" s="287">
        <f t="shared" si="35"/>
        <v>0</v>
      </c>
      <c r="V22" s="287">
        <f t="shared" si="36"/>
        <v>0</v>
      </c>
      <c r="W22" s="287">
        <f t="shared" si="37"/>
        <v>230950</v>
      </c>
      <c r="X22" s="519">
        <f t="shared" si="22"/>
        <v>44619</v>
      </c>
      <c r="Y22" s="287">
        <f t="shared" si="38"/>
        <v>275948.79999999999</v>
      </c>
      <c r="Z22" s="511">
        <f t="shared" si="6"/>
        <v>3.3500000000000002E-2</v>
      </c>
      <c r="AA22" s="287">
        <f t="shared" si="7"/>
        <v>0</v>
      </c>
      <c r="AB22" s="287">
        <f t="shared" si="8"/>
        <v>0</v>
      </c>
      <c r="AC22" s="287">
        <f t="shared" si="9"/>
        <v>0</v>
      </c>
      <c r="AD22" s="287">
        <f t="shared" si="10"/>
        <v>0</v>
      </c>
      <c r="AE22" s="287">
        <f t="shared" si="11"/>
        <v>0</v>
      </c>
      <c r="AF22" s="287">
        <f t="shared" si="12"/>
        <v>0</v>
      </c>
      <c r="AG22" s="287">
        <f t="shared" si="39"/>
        <v>0</v>
      </c>
      <c r="AH22" s="287">
        <f t="shared" si="40"/>
        <v>0</v>
      </c>
      <c r="AI22" s="530">
        <f t="shared" si="23"/>
        <v>0</v>
      </c>
      <c r="AJ22" s="530">
        <f t="shared" si="13"/>
        <v>-44998.799999999988</v>
      </c>
      <c r="AK22" s="530"/>
      <c r="AL22" s="287">
        <f t="shared" si="41"/>
        <v>275948.79999999999</v>
      </c>
      <c r="AM22" s="428">
        <f t="shared" si="24"/>
        <v>0</v>
      </c>
      <c r="AN22" s="14">
        <f t="shared" si="14"/>
        <v>0</v>
      </c>
      <c r="AO22" s="14">
        <f t="shared" si="25"/>
        <v>47442.09</v>
      </c>
      <c r="AP22" s="14">
        <f t="shared" si="15"/>
        <v>0</v>
      </c>
      <c r="AS22" s="14">
        <f t="shared" si="16"/>
        <v>0</v>
      </c>
      <c r="AT22" s="14">
        <f t="shared" si="26"/>
        <v>0</v>
      </c>
      <c r="AU22" s="287">
        <f t="shared" si="27"/>
        <v>787.97674015408836</v>
      </c>
      <c r="AV22" s="287">
        <f t="shared" si="28"/>
        <v>6230.9987863805663</v>
      </c>
    </row>
    <row r="23" spans="1:48" hidden="1" x14ac:dyDescent="0.25">
      <c r="A23" s="519">
        <f t="shared" si="29"/>
        <v>44649</v>
      </c>
      <c r="B23" s="287">
        <f t="shared" si="17"/>
        <v>183974.30999999997</v>
      </c>
      <c r="C23" s="14">
        <f t="shared" si="0"/>
        <v>786.54</v>
      </c>
      <c r="D23" s="14">
        <f t="shared" si="30"/>
        <v>326.59999999999997</v>
      </c>
      <c r="E23" s="14">
        <f t="shared" si="1"/>
        <v>459.94</v>
      </c>
      <c r="I23" s="287">
        <f t="shared" si="31"/>
        <v>3376.69</v>
      </c>
      <c r="J23" s="287">
        <f t="shared" si="32"/>
        <v>4168.57</v>
      </c>
      <c r="K23" s="287">
        <f t="shared" si="33"/>
        <v>183647.70999999996</v>
      </c>
      <c r="L23" s="428">
        <f t="shared" si="2"/>
        <v>0</v>
      </c>
      <c r="M23" s="428">
        <f t="shared" si="18"/>
        <v>0</v>
      </c>
      <c r="N23" s="287">
        <f t="shared" si="19"/>
        <v>230950</v>
      </c>
      <c r="O23" s="287">
        <f t="shared" si="20"/>
        <v>0</v>
      </c>
      <c r="P23" s="287">
        <f t="shared" si="34"/>
        <v>0</v>
      </c>
      <c r="Q23" s="287">
        <f t="shared" si="21"/>
        <v>0</v>
      </c>
      <c r="R23" s="287">
        <f t="shared" si="3"/>
        <v>0</v>
      </c>
      <c r="S23" s="287">
        <f t="shared" si="4"/>
        <v>0</v>
      </c>
      <c r="T23" s="287">
        <f t="shared" si="5"/>
        <v>0</v>
      </c>
      <c r="U23" s="287">
        <f t="shared" si="35"/>
        <v>0</v>
      </c>
      <c r="V23" s="287">
        <f t="shared" si="36"/>
        <v>0</v>
      </c>
      <c r="W23" s="287">
        <f t="shared" si="37"/>
        <v>230950</v>
      </c>
      <c r="X23" s="519">
        <f t="shared" si="22"/>
        <v>44649</v>
      </c>
      <c r="Y23" s="287">
        <f t="shared" si="38"/>
        <v>275948.79999999999</v>
      </c>
      <c r="Z23" s="511">
        <f t="shared" si="6"/>
        <v>3.3500000000000002E-2</v>
      </c>
      <c r="AA23" s="287">
        <f t="shared" si="7"/>
        <v>0</v>
      </c>
      <c r="AB23" s="287">
        <f t="shared" si="8"/>
        <v>0</v>
      </c>
      <c r="AC23" s="287">
        <f t="shared" si="9"/>
        <v>0</v>
      </c>
      <c r="AD23" s="287">
        <f t="shared" si="10"/>
        <v>0</v>
      </c>
      <c r="AE23" s="287">
        <f t="shared" si="11"/>
        <v>0</v>
      </c>
      <c r="AF23" s="287">
        <f t="shared" si="12"/>
        <v>0</v>
      </c>
      <c r="AG23" s="287">
        <f t="shared" si="39"/>
        <v>0</v>
      </c>
      <c r="AH23" s="287">
        <f t="shared" si="40"/>
        <v>0</v>
      </c>
      <c r="AI23" s="530">
        <f t="shared" si="23"/>
        <v>0</v>
      </c>
      <c r="AJ23" s="530">
        <f t="shared" si="13"/>
        <v>-44998.799999999988</v>
      </c>
      <c r="AK23" s="530"/>
      <c r="AL23" s="287">
        <f t="shared" si="41"/>
        <v>275948.79999999999</v>
      </c>
      <c r="AM23" s="428">
        <f t="shared" si="24"/>
        <v>0</v>
      </c>
      <c r="AN23" s="14">
        <f t="shared" si="14"/>
        <v>0</v>
      </c>
      <c r="AO23" s="14">
        <f t="shared" si="25"/>
        <v>47768.69</v>
      </c>
      <c r="AP23" s="14">
        <f t="shared" si="15"/>
        <v>0</v>
      </c>
      <c r="AS23" s="14">
        <f t="shared" si="16"/>
        <v>0</v>
      </c>
      <c r="AT23" s="14">
        <f t="shared" si="26"/>
        <v>0</v>
      </c>
      <c r="AU23" s="287">
        <f t="shared" si="27"/>
        <v>790.60332928793525</v>
      </c>
      <c r="AV23" s="287">
        <f t="shared" si="28"/>
        <v>7021.6021156685019</v>
      </c>
    </row>
    <row r="24" spans="1:48" hidden="1" x14ac:dyDescent="0.25">
      <c r="A24" s="519">
        <f t="shared" si="29"/>
        <v>44679</v>
      </c>
      <c r="B24" s="287">
        <f t="shared" si="17"/>
        <v>183647.70999999996</v>
      </c>
      <c r="C24" s="14">
        <f t="shared" si="0"/>
        <v>786.54</v>
      </c>
      <c r="D24" s="14">
        <f t="shared" si="30"/>
        <v>327.41999999999996</v>
      </c>
      <c r="E24" s="14">
        <f t="shared" si="1"/>
        <v>459.12</v>
      </c>
      <c r="I24" s="287">
        <f t="shared" si="31"/>
        <v>3704.11</v>
      </c>
      <c r="J24" s="287">
        <f t="shared" si="32"/>
        <v>4627.6899999999996</v>
      </c>
      <c r="K24" s="287">
        <f t="shared" si="33"/>
        <v>183320.28999999995</v>
      </c>
      <c r="L24" s="428">
        <f t="shared" si="2"/>
        <v>0</v>
      </c>
      <c r="M24" s="428">
        <f t="shared" si="18"/>
        <v>0</v>
      </c>
      <c r="N24" s="287">
        <f t="shared" si="19"/>
        <v>230950</v>
      </c>
      <c r="O24" s="287">
        <f t="shared" si="20"/>
        <v>0</v>
      </c>
      <c r="P24" s="287">
        <f t="shared" si="34"/>
        <v>0</v>
      </c>
      <c r="Q24" s="287">
        <f t="shared" si="21"/>
        <v>0</v>
      </c>
      <c r="R24" s="287">
        <f t="shared" si="3"/>
        <v>0</v>
      </c>
      <c r="S24" s="287">
        <f t="shared" si="4"/>
        <v>0</v>
      </c>
      <c r="T24" s="287">
        <f t="shared" si="5"/>
        <v>0</v>
      </c>
      <c r="U24" s="287">
        <f t="shared" si="35"/>
        <v>0</v>
      </c>
      <c r="V24" s="287">
        <f t="shared" si="36"/>
        <v>0</v>
      </c>
      <c r="W24" s="287">
        <f t="shared" si="37"/>
        <v>230950</v>
      </c>
      <c r="X24" s="519">
        <f t="shared" si="22"/>
        <v>44679</v>
      </c>
      <c r="Y24" s="287">
        <f t="shared" si="38"/>
        <v>275948.79999999999</v>
      </c>
      <c r="Z24" s="511">
        <f t="shared" si="6"/>
        <v>3.3500000000000002E-2</v>
      </c>
      <c r="AA24" s="287">
        <f t="shared" si="7"/>
        <v>0</v>
      </c>
      <c r="AB24" s="287">
        <f t="shared" si="8"/>
        <v>0</v>
      </c>
      <c r="AC24" s="287">
        <f t="shared" si="9"/>
        <v>0</v>
      </c>
      <c r="AD24" s="287">
        <f t="shared" si="10"/>
        <v>0</v>
      </c>
      <c r="AE24" s="287">
        <f t="shared" si="11"/>
        <v>0</v>
      </c>
      <c r="AF24" s="287">
        <f t="shared" si="12"/>
        <v>0</v>
      </c>
      <c r="AG24" s="287">
        <f t="shared" si="39"/>
        <v>0</v>
      </c>
      <c r="AH24" s="287">
        <f t="shared" si="40"/>
        <v>0</v>
      </c>
      <c r="AI24" s="530">
        <f t="shared" si="23"/>
        <v>0</v>
      </c>
      <c r="AJ24" s="530">
        <f t="shared" si="13"/>
        <v>-44998.799999999988</v>
      </c>
      <c r="AK24" s="530"/>
      <c r="AL24" s="287">
        <f t="shared" si="41"/>
        <v>275948.79999999999</v>
      </c>
      <c r="AM24" s="428">
        <f t="shared" si="24"/>
        <v>0</v>
      </c>
      <c r="AN24" s="14">
        <f t="shared" si="14"/>
        <v>0</v>
      </c>
      <c r="AO24" s="14">
        <f t="shared" si="25"/>
        <v>48096.11</v>
      </c>
      <c r="AP24" s="14">
        <f t="shared" si="15"/>
        <v>0</v>
      </c>
      <c r="AS24" s="14">
        <f t="shared" si="16"/>
        <v>0</v>
      </c>
      <c r="AT24" s="14">
        <f t="shared" si="26"/>
        <v>0</v>
      </c>
      <c r="AU24" s="287">
        <f t="shared" si="27"/>
        <v>793.23867371889503</v>
      </c>
      <c r="AV24" s="287">
        <f t="shared" si="28"/>
        <v>7814.8407893873973</v>
      </c>
    </row>
    <row r="25" spans="1:48" hidden="1" x14ac:dyDescent="0.25">
      <c r="A25" s="519">
        <f t="shared" si="29"/>
        <v>44709</v>
      </c>
      <c r="B25" s="287">
        <f t="shared" si="17"/>
        <v>183320.28999999995</v>
      </c>
      <c r="C25" s="14">
        <f t="shared" si="0"/>
        <v>786.54</v>
      </c>
      <c r="D25" s="14">
        <f t="shared" si="30"/>
        <v>328.23999999999995</v>
      </c>
      <c r="E25" s="14">
        <f t="shared" si="1"/>
        <v>458.3</v>
      </c>
      <c r="I25" s="287">
        <f t="shared" si="31"/>
        <v>4032.35</v>
      </c>
      <c r="J25" s="287">
        <f t="shared" si="32"/>
        <v>5085.99</v>
      </c>
      <c r="K25" s="287">
        <f t="shared" si="33"/>
        <v>182992.04999999996</v>
      </c>
      <c r="L25" s="428">
        <f t="shared" si="2"/>
        <v>0</v>
      </c>
      <c r="M25" s="428">
        <f t="shared" si="18"/>
        <v>0</v>
      </c>
      <c r="N25" s="287">
        <f t="shared" si="19"/>
        <v>230950</v>
      </c>
      <c r="O25" s="287">
        <f t="shared" si="20"/>
        <v>0</v>
      </c>
      <c r="P25" s="287">
        <f t="shared" si="34"/>
        <v>0</v>
      </c>
      <c r="Q25" s="287">
        <f t="shared" si="21"/>
        <v>0</v>
      </c>
      <c r="R25" s="287">
        <f t="shared" si="3"/>
        <v>0</v>
      </c>
      <c r="S25" s="287">
        <f t="shared" si="4"/>
        <v>0</v>
      </c>
      <c r="T25" s="287">
        <f t="shared" si="5"/>
        <v>0</v>
      </c>
      <c r="U25" s="287">
        <f t="shared" si="35"/>
        <v>0</v>
      </c>
      <c r="V25" s="287">
        <f t="shared" si="36"/>
        <v>0</v>
      </c>
      <c r="W25" s="287">
        <f t="shared" si="37"/>
        <v>230950</v>
      </c>
      <c r="X25" s="519">
        <f t="shared" si="22"/>
        <v>44709</v>
      </c>
      <c r="Y25" s="287">
        <f t="shared" si="38"/>
        <v>275948.79999999999</v>
      </c>
      <c r="Z25" s="511">
        <f t="shared" si="6"/>
        <v>3.3500000000000002E-2</v>
      </c>
      <c r="AA25" s="287">
        <f t="shared" si="7"/>
        <v>0</v>
      </c>
      <c r="AB25" s="287">
        <f t="shared" si="8"/>
        <v>0</v>
      </c>
      <c r="AC25" s="287">
        <f t="shared" si="9"/>
        <v>0</v>
      </c>
      <c r="AD25" s="287">
        <f t="shared" si="10"/>
        <v>0</v>
      </c>
      <c r="AE25" s="287">
        <f t="shared" si="11"/>
        <v>0</v>
      </c>
      <c r="AF25" s="287">
        <f t="shared" si="12"/>
        <v>0</v>
      </c>
      <c r="AG25" s="287">
        <f t="shared" si="39"/>
        <v>0</v>
      </c>
      <c r="AH25" s="287">
        <f t="shared" si="40"/>
        <v>0</v>
      </c>
      <c r="AI25" s="530">
        <f t="shared" si="23"/>
        <v>0</v>
      </c>
      <c r="AJ25" s="530">
        <f t="shared" si="13"/>
        <v>-44998.799999999988</v>
      </c>
      <c r="AK25" s="530"/>
      <c r="AL25" s="287">
        <f t="shared" si="41"/>
        <v>275948.79999999999</v>
      </c>
      <c r="AM25" s="428">
        <f t="shared" si="24"/>
        <v>0</v>
      </c>
      <c r="AN25" s="14">
        <f t="shared" si="14"/>
        <v>0</v>
      </c>
      <c r="AO25" s="14">
        <f t="shared" si="25"/>
        <v>48424.35</v>
      </c>
      <c r="AP25" s="14">
        <f t="shared" si="15"/>
        <v>0</v>
      </c>
      <c r="AS25" s="14">
        <f t="shared" si="16"/>
        <v>0</v>
      </c>
      <c r="AT25" s="14">
        <f t="shared" si="26"/>
        <v>0</v>
      </c>
      <c r="AU25" s="287">
        <f t="shared" si="27"/>
        <v>795.88280263129138</v>
      </c>
      <c r="AV25" s="287">
        <f t="shared" si="28"/>
        <v>8610.7235920186886</v>
      </c>
    </row>
    <row r="26" spans="1:48" ht="15.75" hidden="1" thickBot="1" x14ac:dyDescent="0.3">
      <c r="A26" s="522">
        <f t="shared" si="29"/>
        <v>44739</v>
      </c>
      <c r="B26" s="348">
        <f t="shared" si="17"/>
        <v>182992.04999999996</v>
      </c>
      <c r="C26" s="21">
        <f t="shared" si="0"/>
        <v>786.54</v>
      </c>
      <c r="D26" s="21">
        <f t="shared" si="30"/>
        <v>329.05999999999995</v>
      </c>
      <c r="E26" s="21">
        <f t="shared" si="1"/>
        <v>457.48</v>
      </c>
      <c r="F26" s="21"/>
      <c r="G26" s="21"/>
      <c r="H26" s="21"/>
      <c r="I26" s="348">
        <f t="shared" si="31"/>
        <v>4361.41</v>
      </c>
      <c r="J26" s="348">
        <f t="shared" si="32"/>
        <v>5543.4699999999993</v>
      </c>
      <c r="K26" s="348">
        <f t="shared" si="33"/>
        <v>182662.98999999996</v>
      </c>
      <c r="L26" s="429">
        <f t="shared" si="2"/>
        <v>0</v>
      </c>
      <c r="M26" s="429">
        <f t="shared" si="18"/>
        <v>0</v>
      </c>
      <c r="N26" s="348">
        <f t="shared" si="19"/>
        <v>230950</v>
      </c>
      <c r="O26" s="348">
        <f t="shared" si="20"/>
        <v>0</v>
      </c>
      <c r="P26" s="348">
        <f t="shared" si="34"/>
        <v>0</v>
      </c>
      <c r="Q26" s="348">
        <f t="shared" si="21"/>
        <v>0</v>
      </c>
      <c r="R26" s="348">
        <f t="shared" si="3"/>
        <v>0</v>
      </c>
      <c r="S26" s="348">
        <f t="shared" si="4"/>
        <v>0</v>
      </c>
      <c r="T26" s="348">
        <f t="shared" si="5"/>
        <v>0</v>
      </c>
      <c r="U26" s="348">
        <f t="shared" si="35"/>
        <v>0</v>
      </c>
      <c r="V26" s="348">
        <f t="shared" si="36"/>
        <v>0</v>
      </c>
      <c r="W26" s="348">
        <f t="shared" si="37"/>
        <v>230950</v>
      </c>
      <c r="X26" s="522">
        <f t="shared" si="22"/>
        <v>44739</v>
      </c>
      <c r="Y26" s="348">
        <f t="shared" si="38"/>
        <v>275948.79999999999</v>
      </c>
      <c r="Z26" s="512">
        <f t="shared" si="6"/>
        <v>3.3500000000000002E-2</v>
      </c>
      <c r="AA26" s="348">
        <f t="shared" si="7"/>
        <v>0</v>
      </c>
      <c r="AB26" s="348">
        <f t="shared" si="8"/>
        <v>0</v>
      </c>
      <c r="AC26" s="348">
        <f t="shared" si="9"/>
        <v>0</v>
      </c>
      <c r="AD26" s="348">
        <f t="shared" si="10"/>
        <v>0</v>
      </c>
      <c r="AE26" s="348">
        <f t="shared" si="11"/>
        <v>0</v>
      </c>
      <c r="AF26" s="348">
        <f t="shared" si="12"/>
        <v>0</v>
      </c>
      <c r="AG26" s="348">
        <f t="shared" si="39"/>
        <v>0</v>
      </c>
      <c r="AH26" s="348">
        <f t="shared" si="40"/>
        <v>0</v>
      </c>
      <c r="AI26" s="531">
        <f t="shared" si="23"/>
        <v>0</v>
      </c>
      <c r="AJ26" s="531">
        <f t="shared" si="13"/>
        <v>-44998.799999999988</v>
      </c>
      <c r="AK26" s="531"/>
      <c r="AL26" s="348">
        <f t="shared" si="41"/>
        <v>275948.79999999999</v>
      </c>
      <c r="AM26" s="429">
        <f t="shared" si="24"/>
        <v>0</v>
      </c>
      <c r="AN26" s="21">
        <f t="shared" si="14"/>
        <v>0</v>
      </c>
      <c r="AO26" s="21">
        <f t="shared" si="25"/>
        <v>48753.41</v>
      </c>
      <c r="AP26" s="21">
        <f t="shared" si="15"/>
        <v>0</v>
      </c>
      <c r="AQ26" s="21"/>
      <c r="AR26" s="23"/>
      <c r="AS26" s="21">
        <f t="shared" si="16"/>
        <v>0</v>
      </c>
      <c r="AT26" s="21">
        <f t="shared" si="26"/>
        <v>0</v>
      </c>
      <c r="AU26" s="348">
        <f t="shared" si="27"/>
        <v>798.53574530672893</v>
      </c>
      <c r="AV26" s="287">
        <f t="shared" si="28"/>
        <v>9409.2593373254167</v>
      </c>
    </row>
    <row r="27" spans="1:48" hidden="1" x14ac:dyDescent="0.25">
      <c r="A27" s="519">
        <f t="shared" si="29"/>
        <v>44769</v>
      </c>
      <c r="B27" s="287">
        <f t="shared" si="17"/>
        <v>182662.98999999996</v>
      </c>
      <c r="C27" s="14">
        <f t="shared" si="0"/>
        <v>786.54</v>
      </c>
      <c r="D27" s="14">
        <f t="shared" si="30"/>
        <v>329.87999999999994</v>
      </c>
      <c r="E27" s="14">
        <f t="shared" si="1"/>
        <v>456.66</v>
      </c>
      <c r="I27" s="287">
        <f t="shared" si="31"/>
        <v>4691.29</v>
      </c>
      <c r="J27" s="287">
        <f t="shared" si="32"/>
        <v>6000.1299999999992</v>
      </c>
      <c r="K27" s="287">
        <f t="shared" si="33"/>
        <v>182333.10999999996</v>
      </c>
      <c r="L27" s="428">
        <f t="shared" si="2"/>
        <v>0</v>
      </c>
      <c r="M27" s="428">
        <f t="shared" si="18"/>
        <v>0</v>
      </c>
      <c r="N27" s="287">
        <f t="shared" si="19"/>
        <v>230950</v>
      </c>
      <c r="O27" s="287">
        <f t="shared" si="20"/>
        <v>0</v>
      </c>
      <c r="P27" s="287">
        <f t="shared" si="34"/>
        <v>0</v>
      </c>
      <c r="Q27" s="287">
        <f t="shared" si="21"/>
        <v>0</v>
      </c>
      <c r="R27" s="287">
        <f t="shared" si="3"/>
        <v>0</v>
      </c>
      <c r="S27" s="287">
        <f t="shared" si="4"/>
        <v>0</v>
      </c>
      <c r="T27" s="287">
        <f t="shared" si="5"/>
        <v>0</v>
      </c>
      <c r="U27" s="287">
        <f t="shared" si="35"/>
        <v>0</v>
      </c>
      <c r="V27" s="287">
        <f t="shared" si="36"/>
        <v>0</v>
      </c>
      <c r="W27" s="287">
        <f t="shared" si="37"/>
        <v>230950</v>
      </c>
      <c r="X27" s="519">
        <f t="shared" si="22"/>
        <v>44769</v>
      </c>
      <c r="Y27" s="287">
        <f t="shared" si="38"/>
        <v>275948.79999999999</v>
      </c>
      <c r="Z27" s="511">
        <f t="shared" si="6"/>
        <v>3.3500000000000002E-2</v>
      </c>
      <c r="AA27" s="287">
        <f t="shared" si="7"/>
        <v>0</v>
      </c>
      <c r="AB27" s="287">
        <f t="shared" si="8"/>
        <v>0</v>
      </c>
      <c r="AC27" s="287">
        <f t="shared" si="9"/>
        <v>0</v>
      </c>
      <c r="AD27" s="287">
        <f t="shared" si="10"/>
        <v>0</v>
      </c>
      <c r="AE27" s="287">
        <f t="shared" si="11"/>
        <v>0</v>
      </c>
      <c r="AF27" s="287">
        <f t="shared" si="12"/>
        <v>0</v>
      </c>
      <c r="AG27" s="287">
        <f t="shared" si="39"/>
        <v>0</v>
      </c>
      <c r="AH27" s="287">
        <f t="shared" si="40"/>
        <v>0</v>
      </c>
      <c r="AI27" s="530">
        <f t="shared" si="23"/>
        <v>0</v>
      </c>
      <c r="AJ27" s="530">
        <f t="shared" si="13"/>
        <v>-44998.799999999988</v>
      </c>
      <c r="AK27" s="530"/>
      <c r="AL27" s="287">
        <f t="shared" si="41"/>
        <v>275948.79999999999</v>
      </c>
      <c r="AM27" s="428">
        <f t="shared" si="24"/>
        <v>0</v>
      </c>
      <c r="AN27" s="14">
        <f t="shared" si="14"/>
        <v>0</v>
      </c>
      <c r="AO27" s="14">
        <f t="shared" si="25"/>
        <v>49083.29</v>
      </c>
      <c r="AP27" s="14">
        <f t="shared" si="15"/>
        <v>0</v>
      </c>
      <c r="AS27" s="14">
        <f t="shared" si="16"/>
        <v>0</v>
      </c>
      <c r="AT27" s="14">
        <f t="shared" si="26"/>
        <v>0</v>
      </c>
      <c r="AU27" s="287">
        <f t="shared" si="27"/>
        <v>801.19753112441811</v>
      </c>
      <c r="AV27" s="287">
        <f t="shared" si="28"/>
        <v>10210.456868449835</v>
      </c>
    </row>
    <row r="28" spans="1:48" hidden="1" x14ac:dyDescent="0.25">
      <c r="A28" s="519">
        <f t="shared" si="29"/>
        <v>44799</v>
      </c>
      <c r="B28" s="287">
        <f t="shared" si="17"/>
        <v>182333.10999999996</v>
      </c>
      <c r="C28" s="14">
        <f t="shared" si="0"/>
        <v>786.54</v>
      </c>
      <c r="D28" s="14">
        <f t="shared" si="30"/>
        <v>330.71</v>
      </c>
      <c r="E28" s="14">
        <f t="shared" si="1"/>
        <v>455.83</v>
      </c>
      <c r="I28" s="287">
        <f t="shared" si="31"/>
        <v>5022</v>
      </c>
      <c r="J28" s="287">
        <f t="shared" si="32"/>
        <v>6455.9599999999991</v>
      </c>
      <c r="K28" s="287">
        <f t="shared" si="33"/>
        <v>182002.39999999997</v>
      </c>
      <c r="L28" s="428">
        <f t="shared" si="2"/>
        <v>0</v>
      </c>
      <c r="M28" s="428">
        <f t="shared" si="18"/>
        <v>0</v>
      </c>
      <c r="N28" s="287">
        <f t="shared" si="19"/>
        <v>230950</v>
      </c>
      <c r="O28" s="287">
        <f t="shared" si="20"/>
        <v>0</v>
      </c>
      <c r="P28" s="287">
        <f t="shared" si="34"/>
        <v>0</v>
      </c>
      <c r="Q28" s="287">
        <f t="shared" si="21"/>
        <v>0</v>
      </c>
      <c r="R28" s="287">
        <f t="shared" si="3"/>
        <v>0</v>
      </c>
      <c r="S28" s="287">
        <f t="shared" si="4"/>
        <v>0</v>
      </c>
      <c r="T28" s="287">
        <f t="shared" si="5"/>
        <v>0</v>
      </c>
      <c r="U28" s="287">
        <f t="shared" si="35"/>
        <v>0</v>
      </c>
      <c r="V28" s="287">
        <f t="shared" si="36"/>
        <v>0</v>
      </c>
      <c r="W28" s="287">
        <f t="shared" si="37"/>
        <v>230950</v>
      </c>
      <c r="X28" s="519">
        <f t="shared" si="22"/>
        <v>44799</v>
      </c>
      <c r="Y28" s="287">
        <f t="shared" si="38"/>
        <v>275948.79999999999</v>
      </c>
      <c r="Z28" s="511">
        <f t="shared" si="6"/>
        <v>3.3500000000000002E-2</v>
      </c>
      <c r="AA28" s="287">
        <f t="shared" si="7"/>
        <v>0</v>
      </c>
      <c r="AB28" s="287">
        <f t="shared" si="8"/>
        <v>0</v>
      </c>
      <c r="AC28" s="287">
        <f t="shared" si="9"/>
        <v>0</v>
      </c>
      <c r="AD28" s="287">
        <f t="shared" si="10"/>
        <v>0</v>
      </c>
      <c r="AE28" s="287">
        <f t="shared" si="11"/>
        <v>0</v>
      </c>
      <c r="AF28" s="287">
        <f t="shared" si="12"/>
        <v>0</v>
      </c>
      <c r="AG28" s="287">
        <f t="shared" si="39"/>
        <v>0</v>
      </c>
      <c r="AH28" s="287">
        <f t="shared" si="40"/>
        <v>0</v>
      </c>
      <c r="AI28" s="530">
        <f t="shared" si="23"/>
        <v>0</v>
      </c>
      <c r="AJ28" s="530">
        <f t="shared" si="13"/>
        <v>-44998.799999999988</v>
      </c>
      <c r="AK28" s="530"/>
      <c r="AL28" s="287">
        <f t="shared" si="41"/>
        <v>275948.79999999999</v>
      </c>
      <c r="AM28" s="428">
        <f t="shared" si="24"/>
        <v>0</v>
      </c>
      <c r="AN28" s="14">
        <f t="shared" si="14"/>
        <v>0</v>
      </c>
      <c r="AO28" s="14">
        <f t="shared" si="25"/>
        <v>49414</v>
      </c>
      <c r="AP28" s="14">
        <f t="shared" si="15"/>
        <v>0</v>
      </c>
      <c r="AS28" s="14">
        <f t="shared" si="16"/>
        <v>0</v>
      </c>
      <c r="AT28" s="14">
        <f t="shared" si="26"/>
        <v>0</v>
      </c>
      <c r="AU28" s="287">
        <f t="shared" si="27"/>
        <v>803.86818956149955</v>
      </c>
      <c r="AV28" s="287">
        <f t="shared" si="28"/>
        <v>11014.325058011334</v>
      </c>
    </row>
    <row r="29" spans="1:48" hidden="1" x14ac:dyDescent="0.25">
      <c r="A29" s="519">
        <f t="shared" si="29"/>
        <v>44829</v>
      </c>
      <c r="B29" s="287">
        <f t="shared" si="17"/>
        <v>182002.39999999997</v>
      </c>
      <c r="C29" s="14">
        <f t="shared" si="0"/>
        <v>786.54</v>
      </c>
      <c r="D29" s="14">
        <f t="shared" si="30"/>
        <v>331.53</v>
      </c>
      <c r="E29" s="14">
        <f t="shared" si="1"/>
        <v>455.01</v>
      </c>
      <c r="I29" s="287">
        <f t="shared" si="31"/>
        <v>5353.53</v>
      </c>
      <c r="J29" s="287">
        <f t="shared" si="32"/>
        <v>6910.9699999999993</v>
      </c>
      <c r="K29" s="287">
        <f t="shared" si="33"/>
        <v>181670.86999999997</v>
      </c>
      <c r="L29" s="428">
        <f t="shared" si="2"/>
        <v>0</v>
      </c>
      <c r="M29" s="428">
        <f t="shared" si="18"/>
        <v>0</v>
      </c>
      <c r="N29" s="287">
        <f t="shared" si="19"/>
        <v>230950</v>
      </c>
      <c r="O29" s="287">
        <f t="shared" si="20"/>
        <v>0</v>
      </c>
      <c r="P29" s="287">
        <f t="shared" si="34"/>
        <v>0</v>
      </c>
      <c r="Q29" s="287">
        <f t="shared" si="21"/>
        <v>0</v>
      </c>
      <c r="R29" s="287">
        <f t="shared" si="3"/>
        <v>0</v>
      </c>
      <c r="S29" s="287">
        <f t="shared" si="4"/>
        <v>0</v>
      </c>
      <c r="T29" s="287">
        <f t="shared" si="5"/>
        <v>0</v>
      </c>
      <c r="U29" s="287">
        <f t="shared" si="35"/>
        <v>0</v>
      </c>
      <c r="V29" s="287">
        <f t="shared" si="36"/>
        <v>0</v>
      </c>
      <c r="W29" s="287">
        <f t="shared" si="37"/>
        <v>230950</v>
      </c>
      <c r="X29" s="519">
        <f t="shared" si="22"/>
        <v>44829</v>
      </c>
      <c r="Y29" s="287">
        <f t="shared" si="38"/>
        <v>275948.79999999999</v>
      </c>
      <c r="Z29" s="511">
        <f t="shared" si="6"/>
        <v>3.3500000000000002E-2</v>
      </c>
      <c r="AA29" s="287">
        <f t="shared" si="7"/>
        <v>0</v>
      </c>
      <c r="AB29" s="287">
        <f t="shared" si="8"/>
        <v>0</v>
      </c>
      <c r="AC29" s="287">
        <f t="shared" si="9"/>
        <v>0</v>
      </c>
      <c r="AD29" s="287">
        <f t="shared" si="10"/>
        <v>0</v>
      </c>
      <c r="AE29" s="287">
        <f t="shared" si="11"/>
        <v>0</v>
      </c>
      <c r="AF29" s="287">
        <f t="shared" si="12"/>
        <v>0</v>
      </c>
      <c r="AG29" s="287">
        <f t="shared" si="39"/>
        <v>0</v>
      </c>
      <c r="AH29" s="287">
        <f t="shared" si="40"/>
        <v>0</v>
      </c>
      <c r="AI29" s="530">
        <f t="shared" si="23"/>
        <v>0</v>
      </c>
      <c r="AJ29" s="530">
        <f t="shared" si="13"/>
        <v>-44998.799999999988</v>
      </c>
      <c r="AK29" s="530"/>
      <c r="AL29" s="287">
        <f t="shared" si="41"/>
        <v>275948.79999999999</v>
      </c>
      <c r="AM29" s="428">
        <f t="shared" si="24"/>
        <v>0</v>
      </c>
      <c r="AN29" s="14">
        <f t="shared" si="14"/>
        <v>0</v>
      </c>
      <c r="AO29" s="14">
        <f t="shared" si="25"/>
        <v>49745.53</v>
      </c>
      <c r="AP29" s="14">
        <f t="shared" si="15"/>
        <v>0</v>
      </c>
      <c r="AS29" s="14">
        <f t="shared" si="16"/>
        <v>0</v>
      </c>
      <c r="AT29" s="14">
        <f t="shared" si="26"/>
        <v>0</v>
      </c>
      <c r="AU29" s="287">
        <f t="shared" si="27"/>
        <v>806.54775019337114</v>
      </c>
      <c r="AV29" s="287">
        <f t="shared" si="28"/>
        <v>11820.872808204706</v>
      </c>
    </row>
    <row r="30" spans="1:48" hidden="1" x14ac:dyDescent="0.25">
      <c r="A30" s="519">
        <f t="shared" si="29"/>
        <v>44859</v>
      </c>
      <c r="B30" s="287">
        <f t="shared" si="17"/>
        <v>181670.86999999997</v>
      </c>
      <c r="C30" s="14">
        <f t="shared" si="0"/>
        <v>786.54</v>
      </c>
      <c r="D30" s="14">
        <f t="shared" si="30"/>
        <v>332.35999999999996</v>
      </c>
      <c r="E30" s="14">
        <f t="shared" si="1"/>
        <v>454.18</v>
      </c>
      <c r="I30" s="287">
        <f t="shared" si="31"/>
        <v>5685.8899999999994</v>
      </c>
      <c r="J30" s="287">
        <f t="shared" si="32"/>
        <v>7365.15</v>
      </c>
      <c r="K30" s="287">
        <f t="shared" si="33"/>
        <v>181338.50999999998</v>
      </c>
      <c r="L30" s="428">
        <f t="shared" si="2"/>
        <v>0</v>
      </c>
      <c r="M30" s="428">
        <f t="shared" si="18"/>
        <v>0</v>
      </c>
      <c r="N30" s="287">
        <f t="shared" si="19"/>
        <v>230950</v>
      </c>
      <c r="O30" s="287">
        <f t="shared" si="20"/>
        <v>0</v>
      </c>
      <c r="P30" s="287">
        <f t="shared" si="34"/>
        <v>0</v>
      </c>
      <c r="Q30" s="287">
        <f t="shared" si="21"/>
        <v>0</v>
      </c>
      <c r="R30" s="287">
        <f t="shared" si="3"/>
        <v>0</v>
      </c>
      <c r="S30" s="287">
        <f t="shared" si="4"/>
        <v>0</v>
      </c>
      <c r="T30" s="287">
        <f t="shared" si="5"/>
        <v>0</v>
      </c>
      <c r="U30" s="287">
        <f t="shared" si="35"/>
        <v>0</v>
      </c>
      <c r="V30" s="287">
        <f t="shared" si="36"/>
        <v>0</v>
      </c>
      <c r="W30" s="287">
        <f t="shared" si="37"/>
        <v>230950</v>
      </c>
      <c r="X30" s="519">
        <f t="shared" si="22"/>
        <v>44859</v>
      </c>
      <c r="Y30" s="287">
        <f t="shared" si="38"/>
        <v>275948.79999999999</v>
      </c>
      <c r="Z30" s="511">
        <f t="shared" si="6"/>
        <v>3.3500000000000002E-2</v>
      </c>
      <c r="AA30" s="287">
        <f t="shared" si="7"/>
        <v>0</v>
      </c>
      <c r="AB30" s="287">
        <f t="shared" si="8"/>
        <v>0</v>
      </c>
      <c r="AC30" s="287">
        <f t="shared" si="9"/>
        <v>0</v>
      </c>
      <c r="AD30" s="287">
        <f t="shared" si="10"/>
        <v>0</v>
      </c>
      <c r="AE30" s="287">
        <f t="shared" si="11"/>
        <v>0</v>
      </c>
      <c r="AF30" s="287">
        <f t="shared" si="12"/>
        <v>0</v>
      </c>
      <c r="AG30" s="287">
        <f t="shared" si="39"/>
        <v>0</v>
      </c>
      <c r="AH30" s="287">
        <f t="shared" si="40"/>
        <v>0</v>
      </c>
      <c r="AI30" s="530">
        <f t="shared" si="23"/>
        <v>0</v>
      </c>
      <c r="AJ30" s="530">
        <f t="shared" si="13"/>
        <v>-44998.799999999988</v>
      </c>
      <c r="AK30" s="530"/>
      <c r="AL30" s="287">
        <f t="shared" si="41"/>
        <v>275948.79999999999</v>
      </c>
      <c r="AM30" s="428">
        <f t="shared" si="24"/>
        <v>0</v>
      </c>
      <c r="AN30" s="14">
        <f t="shared" si="14"/>
        <v>0</v>
      </c>
      <c r="AO30" s="14">
        <f t="shared" si="25"/>
        <v>50077.89</v>
      </c>
      <c r="AP30" s="14">
        <f t="shared" si="15"/>
        <v>0</v>
      </c>
      <c r="AS30" s="14">
        <f t="shared" si="16"/>
        <v>0</v>
      </c>
      <c r="AT30" s="14">
        <f t="shared" si="26"/>
        <v>0</v>
      </c>
      <c r="AU30" s="287">
        <f t="shared" si="27"/>
        <v>809.23624269401569</v>
      </c>
      <c r="AV30" s="287">
        <f t="shared" si="28"/>
        <v>12630.109050898722</v>
      </c>
    </row>
    <row r="31" spans="1:48" hidden="1" x14ac:dyDescent="0.25">
      <c r="A31" s="519">
        <f t="shared" si="29"/>
        <v>44889</v>
      </c>
      <c r="B31" s="287">
        <f t="shared" si="17"/>
        <v>181338.50999999998</v>
      </c>
      <c r="C31" s="14">
        <f t="shared" si="0"/>
        <v>786.54</v>
      </c>
      <c r="D31" s="14">
        <f t="shared" si="30"/>
        <v>333.18999999999994</v>
      </c>
      <c r="E31" s="14">
        <f t="shared" si="1"/>
        <v>453.35</v>
      </c>
      <c r="I31" s="287">
        <f t="shared" si="31"/>
        <v>6019.079999999999</v>
      </c>
      <c r="J31" s="287">
        <f t="shared" si="32"/>
        <v>7818.5</v>
      </c>
      <c r="K31" s="287">
        <f t="shared" si="33"/>
        <v>181005.31999999998</v>
      </c>
      <c r="L31" s="428">
        <f t="shared" si="2"/>
        <v>0</v>
      </c>
      <c r="M31" s="428">
        <f t="shared" si="18"/>
        <v>0</v>
      </c>
      <c r="N31" s="287">
        <f t="shared" si="19"/>
        <v>230950</v>
      </c>
      <c r="O31" s="287">
        <f t="shared" si="20"/>
        <v>0</v>
      </c>
      <c r="P31" s="287">
        <f t="shared" si="34"/>
        <v>0</v>
      </c>
      <c r="Q31" s="287">
        <f t="shared" si="21"/>
        <v>0</v>
      </c>
      <c r="R31" s="287">
        <f t="shared" si="3"/>
        <v>0</v>
      </c>
      <c r="S31" s="287">
        <f t="shared" si="4"/>
        <v>0</v>
      </c>
      <c r="T31" s="287">
        <f t="shared" si="5"/>
        <v>0</v>
      </c>
      <c r="U31" s="287">
        <f t="shared" si="35"/>
        <v>0</v>
      </c>
      <c r="V31" s="287">
        <f t="shared" si="36"/>
        <v>0</v>
      </c>
      <c r="W31" s="287">
        <f t="shared" si="37"/>
        <v>230950</v>
      </c>
      <c r="X31" s="519">
        <f t="shared" si="22"/>
        <v>44889</v>
      </c>
      <c r="Y31" s="287">
        <f t="shared" si="38"/>
        <v>275948.79999999999</v>
      </c>
      <c r="Z31" s="511">
        <f t="shared" si="6"/>
        <v>3.3500000000000002E-2</v>
      </c>
      <c r="AA31" s="287">
        <f t="shared" si="7"/>
        <v>0</v>
      </c>
      <c r="AB31" s="287">
        <f t="shared" si="8"/>
        <v>0</v>
      </c>
      <c r="AC31" s="287">
        <f t="shared" si="9"/>
        <v>0</v>
      </c>
      <c r="AD31" s="287">
        <f t="shared" si="10"/>
        <v>0</v>
      </c>
      <c r="AE31" s="287">
        <f t="shared" si="11"/>
        <v>0</v>
      </c>
      <c r="AF31" s="287">
        <f t="shared" si="12"/>
        <v>0</v>
      </c>
      <c r="AG31" s="287">
        <f t="shared" si="39"/>
        <v>0</v>
      </c>
      <c r="AH31" s="287">
        <f t="shared" si="40"/>
        <v>0</v>
      </c>
      <c r="AI31" s="530">
        <f t="shared" si="23"/>
        <v>0</v>
      </c>
      <c r="AJ31" s="530">
        <f t="shared" si="13"/>
        <v>-44998.799999999988</v>
      </c>
      <c r="AK31" s="530"/>
      <c r="AL31" s="287">
        <f t="shared" si="41"/>
        <v>275948.79999999999</v>
      </c>
      <c r="AM31" s="428">
        <f t="shared" si="24"/>
        <v>0</v>
      </c>
      <c r="AN31" s="14">
        <f t="shared" si="14"/>
        <v>0</v>
      </c>
      <c r="AO31" s="14">
        <f t="shared" si="25"/>
        <v>50411.08</v>
      </c>
      <c r="AP31" s="14">
        <f t="shared" si="15"/>
        <v>0</v>
      </c>
      <c r="AS31" s="14">
        <f t="shared" si="16"/>
        <v>0</v>
      </c>
      <c r="AT31" s="14">
        <f t="shared" si="26"/>
        <v>0</v>
      </c>
      <c r="AU31" s="287">
        <f t="shared" si="27"/>
        <v>811.93369683632909</v>
      </c>
      <c r="AV31" s="287">
        <f t="shared" si="28"/>
        <v>13442.042747735051</v>
      </c>
    </row>
    <row r="32" spans="1:48" hidden="1" x14ac:dyDescent="0.25">
      <c r="A32" s="519">
        <f t="shared" si="29"/>
        <v>44919</v>
      </c>
      <c r="B32" s="287">
        <f t="shared" si="17"/>
        <v>181005.31999999998</v>
      </c>
      <c r="C32" s="14">
        <f t="shared" si="0"/>
        <v>786.54</v>
      </c>
      <c r="D32" s="14">
        <f t="shared" si="30"/>
        <v>334.03</v>
      </c>
      <c r="E32" s="14">
        <f t="shared" si="1"/>
        <v>452.51</v>
      </c>
      <c r="I32" s="287">
        <f t="shared" ref="I32:I61" si="42">$D32+$I31</f>
        <v>6353.1099999999988</v>
      </c>
      <c r="J32" s="287">
        <f t="shared" ref="J32:J61" si="43">$E32+$J31</f>
        <v>8271.01</v>
      </c>
      <c r="K32" s="287">
        <f t="shared" ref="K32:K61" si="44">+B32-D32</f>
        <v>180671.28999999998</v>
      </c>
      <c r="L32" s="428">
        <f t="shared" si="2"/>
        <v>0</v>
      </c>
      <c r="M32" s="428">
        <f t="shared" si="18"/>
        <v>0</v>
      </c>
      <c r="N32" s="287">
        <f t="shared" si="19"/>
        <v>230950</v>
      </c>
      <c r="O32" s="287">
        <f t="shared" si="20"/>
        <v>0</v>
      </c>
      <c r="P32" s="287">
        <f t="shared" si="34"/>
        <v>0</v>
      </c>
      <c r="Q32" s="287">
        <f t="shared" si="21"/>
        <v>0</v>
      </c>
      <c r="R32" s="287">
        <f t="shared" si="3"/>
        <v>0</v>
      </c>
      <c r="S32" s="287">
        <f t="shared" si="4"/>
        <v>0</v>
      </c>
      <c r="T32" s="287">
        <f t="shared" si="5"/>
        <v>0</v>
      </c>
      <c r="U32" s="287">
        <f t="shared" si="35"/>
        <v>0</v>
      </c>
      <c r="V32" s="287">
        <f t="shared" si="36"/>
        <v>0</v>
      </c>
      <c r="W32" s="287">
        <f t="shared" si="37"/>
        <v>230950</v>
      </c>
      <c r="X32" s="519">
        <f t="shared" si="22"/>
        <v>44919</v>
      </c>
      <c r="Y32" s="287">
        <f t="shared" si="38"/>
        <v>275948.79999999999</v>
      </c>
      <c r="Z32" s="511">
        <f t="shared" si="6"/>
        <v>3.3500000000000002E-2</v>
      </c>
      <c r="AA32" s="287">
        <f t="shared" si="7"/>
        <v>0</v>
      </c>
      <c r="AB32" s="287">
        <f t="shared" si="8"/>
        <v>0</v>
      </c>
      <c r="AC32" s="287">
        <f t="shared" si="9"/>
        <v>0</v>
      </c>
      <c r="AD32" s="287">
        <f t="shared" si="10"/>
        <v>0</v>
      </c>
      <c r="AE32" s="287">
        <f t="shared" si="11"/>
        <v>0</v>
      </c>
      <c r="AF32" s="287">
        <f t="shared" si="12"/>
        <v>0</v>
      </c>
      <c r="AG32" s="287">
        <f t="shared" si="39"/>
        <v>0</v>
      </c>
      <c r="AH32" s="287">
        <f t="shared" si="40"/>
        <v>0</v>
      </c>
      <c r="AI32" s="530">
        <f t="shared" si="23"/>
        <v>0</v>
      </c>
      <c r="AJ32" s="530">
        <f t="shared" si="13"/>
        <v>-44998.799999999988</v>
      </c>
      <c r="AK32" s="530"/>
      <c r="AL32" s="287">
        <f t="shared" si="41"/>
        <v>275948.79999999999</v>
      </c>
      <c r="AM32" s="428">
        <f t="shared" si="24"/>
        <v>0</v>
      </c>
      <c r="AN32" s="14">
        <f t="shared" si="14"/>
        <v>0</v>
      </c>
      <c r="AO32" s="14">
        <f t="shared" si="25"/>
        <v>50745.11</v>
      </c>
      <c r="AP32" s="14">
        <f t="shared" si="15"/>
        <v>0</v>
      </c>
      <c r="AS32" s="14">
        <f t="shared" si="16"/>
        <v>0</v>
      </c>
      <c r="AT32" s="14">
        <f t="shared" si="26"/>
        <v>0</v>
      </c>
      <c r="AU32" s="287">
        <f t="shared" si="27"/>
        <v>814.6401424924502</v>
      </c>
      <c r="AV32" s="287">
        <f t="shared" si="28"/>
        <v>14256.682890227501</v>
      </c>
    </row>
    <row r="33" spans="1:48" hidden="1" x14ac:dyDescent="0.25">
      <c r="A33" s="519">
        <f t="shared" si="29"/>
        <v>44949</v>
      </c>
      <c r="B33" s="287">
        <f t="shared" si="17"/>
        <v>180671.28999999998</v>
      </c>
      <c r="C33" s="14">
        <f t="shared" si="0"/>
        <v>786.54</v>
      </c>
      <c r="D33" s="14">
        <f t="shared" si="30"/>
        <v>334.85999999999996</v>
      </c>
      <c r="E33" s="14">
        <f t="shared" si="1"/>
        <v>451.68</v>
      </c>
      <c r="I33" s="287">
        <f t="shared" si="42"/>
        <v>6687.9699999999984</v>
      </c>
      <c r="J33" s="287">
        <f t="shared" si="43"/>
        <v>8722.69</v>
      </c>
      <c r="K33" s="287">
        <f t="shared" si="44"/>
        <v>180336.43</v>
      </c>
      <c r="L33" s="428">
        <f t="shared" si="2"/>
        <v>0</v>
      </c>
      <c r="M33" s="428">
        <f t="shared" si="18"/>
        <v>0</v>
      </c>
      <c r="N33" s="287">
        <f t="shared" si="19"/>
        <v>230950</v>
      </c>
      <c r="O33" s="287">
        <f t="shared" si="20"/>
        <v>0</v>
      </c>
      <c r="P33" s="287">
        <f t="shared" si="34"/>
        <v>0</v>
      </c>
      <c r="Q33" s="287">
        <f t="shared" si="21"/>
        <v>0</v>
      </c>
      <c r="R33" s="287">
        <f t="shared" si="3"/>
        <v>0</v>
      </c>
      <c r="S33" s="287">
        <f t="shared" si="4"/>
        <v>0</v>
      </c>
      <c r="T33" s="287">
        <f t="shared" si="5"/>
        <v>0</v>
      </c>
      <c r="U33" s="287">
        <f t="shared" si="35"/>
        <v>0</v>
      </c>
      <c r="V33" s="287">
        <f t="shared" si="36"/>
        <v>0</v>
      </c>
      <c r="W33" s="287">
        <f t="shared" si="37"/>
        <v>230950</v>
      </c>
      <c r="X33" s="519">
        <f t="shared" si="22"/>
        <v>44949</v>
      </c>
      <c r="Y33" s="287">
        <f t="shared" si="38"/>
        <v>275948.79999999999</v>
      </c>
      <c r="Z33" s="511">
        <f t="shared" si="6"/>
        <v>3.3500000000000002E-2</v>
      </c>
      <c r="AA33" s="287">
        <f t="shared" si="7"/>
        <v>0</v>
      </c>
      <c r="AB33" s="287">
        <f t="shared" si="8"/>
        <v>0</v>
      </c>
      <c r="AC33" s="287">
        <f t="shared" si="9"/>
        <v>0</v>
      </c>
      <c r="AD33" s="287">
        <f t="shared" si="10"/>
        <v>0</v>
      </c>
      <c r="AE33" s="287">
        <f t="shared" si="11"/>
        <v>0</v>
      </c>
      <c r="AF33" s="287">
        <f t="shared" si="12"/>
        <v>0</v>
      </c>
      <c r="AG33" s="287">
        <f t="shared" si="39"/>
        <v>0</v>
      </c>
      <c r="AH33" s="287">
        <f t="shared" si="40"/>
        <v>0</v>
      </c>
      <c r="AI33" s="530">
        <f t="shared" si="23"/>
        <v>0</v>
      </c>
      <c r="AJ33" s="530">
        <f t="shared" si="13"/>
        <v>-44998.799999999988</v>
      </c>
      <c r="AK33" s="530"/>
      <c r="AL33" s="287">
        <f t="shared" si="41"/>
        <v>275948.79999999999</v>
      </c>
      <c r="AM33" s="428">
        <f t="shared" si="24"/>
        <v>0</v>
      </c>
      <c r="AN33" s="14">
        <f t="shared" si="14"/>
        <v>0</v>
      </c>
      <c r="AO33" s="14">
        <f t="shared" si="25"/>
        <v>51079.97</v>
      </c>
      <c r="AP33" s="14">
        <f t="shared" si="15"/>
        <v>0</v>
      </c>
      <c r="AS33" s="14">
        <f t="shared" si="16"/>
        <v>0</v>
      </c>
      <c r="AT33" s="14">
        <f t="shared" si="26"/>
        <v>0</v>
      </c>
      <c r="AU33" s="287">
        <f t="shared" si="27"/>
        <v>817.35560963409171</v>
      </c>
      <c r="AV33" s="287">
        <f t="shared" si="28"/>
        <v>15074.038499861592</v>
      </c>
    </row>
    <row r="34" spans="1:48" hidden="1" x14ac:dyDescent="0.25">
      <c r="A34" s="519">
        <f t="shared" si="29"/>
        <v>44979</v>
      </c>
      <c r="B34" s="287">
        <f t="shared" si="17"/>
        <v>180336.43</v>
      </c>
      <c r="C34" s="14">
        <f t="shared" si="0"/>
        <v>786.54</v>
      </c>
      <c r="D34" s="14">
        <f t="shared" si="30"/>
        <v>335.7</v>
      </c>
      <c r="E34" s="14">
        <f t="shared" si="1"/>
        <v>450.84</v>
      </c>
      <c r="I34" s="287">
        <f t="shared" si="42"/>
        <v>7023.6699999999983</v>
      </c>
      <c r="J34" s="287">
        <f t="shared" si="43"/>
        <v>9173.5300000000007</v>
      </c>
      <c r="K34" s="287">
        <f t="shared" si="44"/>
        <v>180000.72999999998</v>
      </c>
      <c r="L34" s="428">
        <f t="shared" si="2"/>
        <v>0</v>
      </c>
      <c r="M34" s="428">
        <f t="shared" si="18"/>
        <v>0</v>
      </c>
      <c r="N34" s="287">
        <f t="shared" si="19"/>
        <v>230950</v>
      </c>
      <c r="O34" s="287">
        <f t="shared" si="20"/>
        <v>0</v>
      </c>
      <c r="P34" s="287">
        <f t="shared" si="34"/>
        <v>0</v>
      </c>
      <c r="Q34" s="287">
        <f t="shared" si="21"/>
        <v>0</v>
      </c>
      <c r="R34" s="287">
        <f t="shared" si="3"/>
        <v>0</v>
      </c>
      <c r="S34" s="287">
        <f t="shared" si="4"/>
        <v>0</v>
      </c>
      <c r="T34" s="287">
        <f t="shared" si="5"/>
        <v>0</v>
      </c>
      <c r="U34" s="287">
        <f t="shared" si="35"/>
        <v>0</v>
      </c>
      <c r="V34" s="287">
        <f t="shared" si="36"/>
        <v>0</v>
      </c>
      <c r="W34" s="287">
        <f t="shared" si="37"/>
        <v>230950</v>
      </c>
      <c r="X34" s="519">
        <f t="shared" si="22"/>
        <v>44979</v>
      </c>
      <c r="Y34" s="287">
        <f t="shared" si="38"/>
        <v>275948.79999999999</v>
      </c>
      <c r="Z34" s="511">
        <f t="shared" si="6"/>
        <v>3.3500000000000002E-2</v>
      </c>
      <c r="AA34" s="287">
        <f t="shared" si="7"/>
        <v>0</v>
      </c>
      <c r="AB34" s="287">
        <f t="shared" si="8"/>
        <v>0</v>
      </c>
      <c r="AC34" s="287">
        <f t="shared" si="9"/>
        <v>0</v>
      </c>
      <c r="AD34" s="287">
        <f t="shared" si="10"/>
        <v>0</v>
      </c>
      <c r="AE34" s="287">
        <f t="shared" si="11"/>
        <v>0</v>
      </c>
      <c r="AF34" s="287">
        <f t="shared" si="12"/>
        <v>0</v>
      </c>
      <c r="AG34" s="287">
        <f t="shared" si="39"/>
        <v>0</v>
      </c>
      <c r="AH34" s="287">
        <f t="shared" si="40"/>
        <v>0</v>
      </c>
      <c r="AI34" s="530">
        <f t="shared" si="23"/>
        <v>0</v>
      </c>
      <c r="AJ34" s="530">
        <f t="shared" si="13"/>
        <v>-44998.799999999988</v>
      </c>
      <c r="AK34" s="530"/>
      <c r="AL34" s="287">
        <f t="shared" si="41"/>
        <v>275948.79999999999</v>
      </c>
      <c r="AM34" s="428">
        <f t="shared" si="24"/>
        <v>0</v>
      </c>
      <c r="AN34" s="14">
        <f t="shared" si="14"/>
        <v>0</v>
      </c>
      <c r="AO34" s="14">
        <f t="shared" si="25"/>
        <v>51415.67</v>
      </c>
      <c r="AP34" s="14">
        <f t="shared" si="15"/>
        <v>0</v>
      </c>
      <c r="AS34" s="14">
        <f t="shared" si="16"/>
        <v>0</v>
      </c>
      <c r="AT34" s="14">
        <f t="shared" si="26"/>
        <v>0</v>
      </c>
      <c r="AU34" s="287">
        <f t="shared" si="27"/>
        <v>820.08012833287205</v>
      </c>
      <c r="AV34" s="287">
        <f t="shared" si="28"/>
        <v>15894.118628194465</v>
      </c>
    </row>
    <row r="35" spans="1:48" hidden="1" x14ac:dyDescent="0.25">
      <c r="A35" s="519">
        <f t="shared" si="29"/>
        <v>45009</v>
      </c>
      <c r="B35" s="287">
        <f t="shared" si="17"/>
        <v>180000.72999999998</v>
      </c>
      <c r="C35" s="14">
        <f t="shared" si="0"/>
        <v>786.54</v>
      </c>
      <c r="D35" s="14">
        <f t="shared" si="30"/>
        <v>336.53999999999996</v>
      </c>
      <c r="E35" s="14">
        <f t="shared" si="1"/>
        <v>450</v>
      </c>
      <c r="I35" s="287">
        <f t="shared" si="42"/>
        <v>7360.2099999999982</v>
      </c>
      <c r="J35" s="287">
        <f t="shared" si="43"/>
        <v>9623.5300000000007</v>
      </c>
      <c r="K35" s="287">
        <f t="shared" si="44"/>
        <v>179664.18999999997</v>
      </c>
      <c r="L35" s="428">
        <f t="shared" si="2"/>
        <v>0</v>
      </c>
      <c r="M35" s="428">
        <f t="shared" si="18"/>
        <v>0</v>
      </c>
      <c r="N35" s="287">
        <f t="shared" si="19"/>
        <v>230950</v>
      </c>
      <c r="O35" s="287">
        <f t="shared" si="20"/>
        <v>0</v>
      </c>
      <c r="P35" s="287">
        <f t="shared" si="34"/>
        <v>0</v>
      </c>
      <c r="Q35" s="287">
        <f t="shared" si="21"/>
        <v>0</v>
      </c>
      <c r="R35" s="287">
        <f t="shared" si="3"/>
        <v>0</v>
      </c>
      <c r="S35" s="287">
        <f t="shared" si="4"/>
        <v>0</v>
      </c>
      <c r="T35" s="287">
        <f t="shared" si="5"/>
        <v>0</v>
      </c>
      <c r="U35" s="287">
        <f t="shared" si="35"/>
        <v>0</v>
      </c>
      <c r="V35" s="287">
        <f t="shared" si="36"/>
        <v>0</v>
      </c>
      <c r="W35" s="287">
        <f t="shared" si="37"/>
        <v>230950</v>
      </c>
      <c r="X35" s="519">
        <f t="shared" si="22"/>
        <v>45009</v>
      </c>
      <c r="Y35" s="287">
        <f t="shared" si="38"/>
        <v>275948.79999999999</v>
      </c>
      <c r="Z35" s="511">
        <f t="shared" si="6"/>
        <v>3.3500000000000002E-2</v>
      </c>
      <c r="AA35" s="287">
        <f t="shared" si="7"/>
        <v>0</v>
      </c>
      <c r="AB35" s="287">
        <f t="shared" si="8"/>
        <v>0</v>
      </c>
      <c r="AC35" s="287">
        <f t="shared" si="9"/>
        <v>0</v>
      </c>
      <c r="AD35" s="287">
        <f t="shared" si="10"/>
        <v>0</v>
      </c>
      <c r="AE35" s="287">
        <f t="shared" si="11"/>
        <v>0</v>
      </c>
      <c r="AF35" s="287">
        <f t="shared" si="12"/>
        <v>0</v>
      </c>
      <c r="AG35" s="287">
        <f t="shared" si="39"/>
        <v>0</v>
      </c>
      <c r="AH35" s="287">
        <f t="shared" si="40"/>
        <v>0</v>
      </c>
      <c r="AI35" s="530">
        <f t="shared" si="23"/>
        <v>0</v>
      </c>
      <c r="AJ35" s="530">
        <f t="shared" si="13"/>
        <v>-44998.799999999988</v>
      </c>
      <c r="AK35" s="530"/>
      <c r="AL35" s="287">
        <f t="shared" si="41"/>
        <v>275948.79999999999</v>
      </c>
      <c r="AM35" s="428">
        <f t="shared" si="24"/>
        <v>0</v>
      </c>
      <c r="AN35" s="14">
        <f t="shared" si="14"/>
        <v>0</v>
      </c>
      <c r="AO35" s="14">
        <f t="shared" si="25"/>
        <v>51752.21</v>
      </c>
      <c r="AP35" s="14">
        <f t="shared" si="15"/>
        <v>0</v>
      </c>
      <c r="AS35" s="14">
        <f t="shared" si="16"/>
        <v>0</v>
      </c>
      <c r="AT35" s="14">
        <f t="shared" si="26"/>
        <v>0</v>
      </c>
      <c r="AU35" s="287">
        <f t="shared" si="27"/>
        <v>822.81372876064825</v>
      </c>
      <c r="AV35" s="287">
        <f t="shared" si="28"/>
        <v>16716.932356955112</v>
      </c>
    </row>
    <row r="36" spans="1:48" hidden="1" x14ac:dyDescent="0.25">
      <c r="A36" s="519">
        <f t="shared" si="29"/>
        <v>45039</v>
      </c>
      <c r="B36" s="287">
        <f t="shared" si="17"/>
        <v>179664.18999999997</v>
      </c>
      <c r="C36" s="14">
        <f t="shared" si="0"/>
        <v>786.54</v>
      </c>
      <c r="D36" s="14">
        <f t="shared" si="30"/>
        <v>337.37999999999994</v>
      </c>
      <c r="E36" s="14">
        <f t="shared" si="1"/>
        <v>449.16</v>
      </c>
      <c r="I36" s="287">
        <f t="shared" si="42"/>
        <v>7697.5899999999983</v>
      </c>
      <c r="J36" s="287">
        <f t="shared" si="43"/>
        <v>10072.69</v>
      </c>
      <c r="K36" s="287">
        <f t="shared" si="44"/>
        <v>179326.80999999997</v>
      </c>
      <c r="L36" s="428">
        <f t="shared" si="2"/>
        <v>0</v>
      </c>
      <c r="M36" s="428">
        <f t="shared" si="18"/>
        <v>0</v>
      </c>
      <c r="N36" s="287">
        <f t="shared" si="19"/>
        <v>230950</v>
      </c>
      <c r="O36" s="287">
        <f t="shared" si="20"/>
        <v>0</v>
      </c>
      <c r="P36" s="287">
        <f t="shared" si="34"/>
        <v>0</v>
      </c>
      <c r="Q36" s="287">
        <f t="shared" si="21"/>
        <v>0</v>
      </c>
      <c r="R36" s="287">
        <f t="shared" si="3"/>
        <v>0</v>
      </c>
      <c r="S36" s="287">
        <f t="shared" si="4"/>
        <v>0</v>
      </c>
      <c r="T36" s="287">
        <f t="shared" si="5"/>
        <v>0</v>
      </c>
      <c r="U36" s="287">
        <f t="shared" si="35"/>
        <v>0</v>
      </c>
      <c r="V36" s="287">
        <f t="shared" si="36"/>
        <v>0</v>
      </c>
      <c r="W36" s="287">
        <f t="shared" si="37"/>
        <v>230950</v>
      </c>
      <c r="X36" s="519">
        <f t="shared" si="22"/>
        <v>45039</v>
      </c>
      <c r="Y36" s="287">
        <f t="shared" si="38"/>
        <v>275948.79999999999</v>
      </c>
      <c r="Z36" s="511">
        <f t="shared" si="6"/>
        <v>3.3500000000000002E-2</v>
      </c>
      <c r="AA36" s="287">
        <f t="shared" si="7"/>
        <v>0</v>
      </c>
      <c r="AB36" s="287">
        <f t="shared" si="8"/>
        <v>0</v>
      </c>
      <c r="AC36" s="287">
        <f t="shared" si="9"/>
        <v>0</v>
      </c>
      <c r="AD36" s="287">
        <f t="shared" si="10"/>
        <v>0</v>
      </c>
      <c r="AE36" s="287">
        <f t="shared" si="11"/>
        <v>0</v>
      </c>
      <c r="AF36" s="287">
        <f t="shared" si="12"/>
        <v>0</v>
      </c>
      <c r="AG36" s="287">
        <f t="shared" si="39"/>
        <v>0</v>
      </c>
      <c r="AH36" s="287">
        <f t="shared" si="40"/>
        <v>0</v>
      </c>
      <c r="AI36" s="530">
        <f t="shared" si="23"/>
        <v>0</v>
      </c>
      <c r="AJ36" s="530">
        <f t="shared" si="13"/>
        <v>-44998.799999999988</v>
      </c>
      <c r="AK36" s="530"/>
      <c r="AL36" s="287">
        <f t="shared" si="41"/>
        <v>275948.79999999999</v>
      </c>
      <c r="AM36" s="428">
        <f t="shared" si="24"/>
        <v>0</v>
      </c>
      <c r="AN36" s="14">
        <f t="shared" si="14"/>
        <v>0</v>
      </c>
      <c r="AO36" s="14">
        <f t="shared" si="25"/>
        <v>52089.59</v>
      </c>
      <c r="AP36" s="14">
        <f t="shared" si="15"/>
        <v>0</v>
      </c>
      <c r="AS36" s="14">
        <f t="shared" si="16"/>
        <v>0</v>
      </c>
      <c r="AT36" s="14">
        <f t="shared" si="26"/>
        <v>0</v>
      </c>
      <c r="AU36" s="287">
        <f t="shared" si="27"/>
        <v>825.55644118985037</v>
      </c>
      <c r="AV36" s="287">
        <f t="shared" si="28"/>
        <v>17542.488798144965</v>
      </c>
    </row>
    <row r="37" spans="1:48" hidden="1" x14ac:dyDescent="0.25">
      <c r="A37" s="519">
        <f t="shared" si="29"/>
        <v>45069</v>
      </c>
      <c r="B37" s="287">
        <f t="shared" si="17"/>
        <v>179326.80999999997</v>
      </c>
      <c r="C37" s="14">
        <f t="shared" si="0"/>
        <v>786.54</v>
      </c>
      <c r="D37" s="14">
        <f t="shared" si="30"/>
        <v>338.21999999999997</v>
      </c>
      <c r="E37" s="14">
        <f t="shared" si="1"/>
        <v>448.32</v>
      </c>
      <c r="I37" s="287">
        <f t="shared" si="42"/>
        <v>8035.8099999999986</v>
      </c>
      <c r="J37" s="287">
        <f t="shared" si="43"/>
        <v>10521.01</v>
      </c>
      <c r="K37" s="287">
        <f t="shared" si="44"/>
        <v>178988.58999999997</v>
      </c>
      <c r="L37" s="428">
        <f t="shared" si="2"/>
        <v>0</v>
      </c>
      <c r="M37" s="428">
        <f t="shared" si="18"/>
        <v>0</v>
      </c>
      <c r="N37" s="287">
        <f t="shared" si="19"/>
        <v>230950</v>
      </c>
      <c r="O37" s="287">
        <f t="shared" si="20"/>
        <v>0</v>
      </c>
      <c r="P37" s="287">
        <f t="shared" si="34"/>
        <v>0</v>
      </c>
      <c r="Q37" s="287">
        <f t="shared" si="21"/>
        <v>0</v>
      </c>
      <c r="R37" s="287">
        <f t="shared" si="3"/>
        <v>0</v>
      </c>
      <c r="S37" s="287">
        <f t="shared" si="4"/>
        <v>0</v>
      </c>
      <c r="T37" s="287">
        <f t="shared" si="5"/>
        <v>0</v>
      </c>
      <c r="U37" s="287">
        <f t="shared" si="35"/>
        <v>0</v>
      </c>
      <c r="V37" s="287">
        <f t="shared" si="36"/>
        <v>0</v>
      </c>
      <c r="W37" s="287">
        <f t="shared" si="37"/>
        <v>230950</v>
      </c>
      <c r="X37" s="519">
        <f t="shared" si="22"/>
        <v>45069</v>
      </c>
      <c r="Y37" s="287">
        <f t="shared" si="38"/>
        <v>275948.79999999999</v>
      </c>
      <c r="Z37" s="511">
        <f t="shared" si="6"/>
        <v>3.3500000000000002E-2</v>
      </c>
      <c r="AA37" s="287">
        <f t="shared" si="7"/>
        <v>0</v>
      </c>
      <c r="AB37" s="287">
        <f t="shared" si="8"/>
        <v>0</v>
      </c>
      <c r="AC37" s="287">
        <f t="shared" si="9"/>
        <v>0</v>
      </c>
      <c r="AD37" s="287">
        <f t="shared" si="10"/>
        <v>0</v>
      </c>
      <c r="AE37" s="287">
        <f t="shared" si="11"/>
        <v>0</v>
      </c>
      <c r="AF37" s="287">
        <f t="shared" si="12"/>
        <v>0</v>
      </c>
      <c r="AG37" s="287">
        <f t="shared" si="39"/>
        <v>0</v>
      </c>
      <c r="AH37" s="287">
        <f t="shared" si="40"/>
        <v>0</v>
      </c>
      <c r="AI37" s="530">
        <f t="shared" si="23"/>
        <v>0</v>
      </c>
      <c r="AJ37" s="530">
        <f t="shared" si="13"/>
        <v>-44998.799999999988</v>
      </c>
      <c r="AK37" s="530"/>
      <c r="AL37" s="287">
        <f t="shared" si="41"/>
        <v>275948.79999999999</v>
      </c>
      <c r="AM37" s="428">
        <f t="shared" si="24"/>
        <v>0</v>
      </c>
      <c r="AN37" s="14">
        <f t="shared" si="14"/>
        <v>0</v>
      </c>
      <c r="AO37" s="14">
        <f t="shared" si="25"/>
        <v>52427.81</v>
      </c>
      <c r="AP37" s="14">
        <f t="shared" si="15"/>
        <v>0</v>
      </c>
      <c r="AS37" s="14">
        <f t="shared" si="16"/>
        <v>0</v>
      </c>
      <c r="AT37" s="14">
        <f t="shared" si="26"/>
        <v>0</v>
      </c>
      <c r="AU37" s="287">
        <f t="shared" si="27"/>
        <v>828.30829599381661</v>
      </c>
      <c r="AV37" s="287">
        <f t="shared" si="28"/>
        <v>18370.797094138783</v>
      </c>
    </row>
    <row r="38" spans="1:48" ht="15.75" hidden="1" thickBot="1" x14ac:dyDescent="0.3">
      <c r="A38" s="522">
        <f t="shared" si="29"/>
        <v>45099</v>
      </c>
      <c r="B38" s="348">
        <f t="shared" si="17"/>
        <v>178988.58999999997</v>
      </c>
      <c r="C38" s="21">
        <f t="shared" si="0"/>
        <v>786.54</v>
      </c>
      <c r="D38" s="21">
        <f t="shared" si="30"/>
        <v>339.06999999999994</v>
      </c>
      <c r="E38" s="21">
        <f t="shared" si="1"/>
        <v>447.47</v>
      </c>
      <c r="F38" s="21"/>
      <c r="G38" s="21"/>
      <c r="H38" s="21"/>
      <c r="I38" s="348">
        <f t="shared" si="42"/>
        <v>8374.8799999999992</v>
      </c>
      <c r="J38" s="348">
        <f t="shared" si="43"/>
        <v>10968.48</v>
      </c>
      <c r="K38" s="348">
        <f t="shared" si="44"/>
        <v>178649.51999999996</v>
      </c>
      <c r="L38" s="429">
        <f t="shared" si="2"/>
        <v>0</v>
      </c>
      <c r="M38" s="429">
        <f t="shared" si="18"/>
        <v>0</v>
      </c>
      <c r="N38" s="348">
        <f t="shared" si="19"/>
        <v>230950</v>
      </c>
      <c r="O38" s="348">
        <f t="shared" si="20"/>
        <v>0</v>
      </c>
      <c r="P38" s="348">
        <f t="shared" si="34"/>
        <v>0</v>
      </c>
      <c r="Q38" s="348">
        <f t="shared" si="21"/>
        <v>0</v>
      </c>
      <c r="R38" s="348">
        <f t="shared" si="3"/>
        <v>0</v>
      </c>
      <c r="S38" s="348">
        <f t="shared" si="4"/>
        <v>0</v>
      </c>
      <c r="T38" s="348">
        <f t="shared" si="5"/>
        <v>0</v>
      </c>
      <c r="U38" s="348">
        <f t="shared" si="35"/>
        <v>0</v>
      </c>
      <c r="V38" s="348">
        <f t="shared" si="36"/>
        <v>0</v>
      </c>
      <c r="W38" s="348">
        <f t="shared" si="37"/>
        <v>230950</v>
      </c>
      <c r="X38" s="522">
        <f t="shared" si="22"/>
        <v>45099</v>
      </c>
      <c r="Y38" s="348">
        <f t="shared" si="38"/>
        <v>275948.79999999999</v>
      </c>
      <c r="Z38" s="512">
        <f t="shared" si="6"/>
        <v>3.3500000000000002E-2</v>
      </c>
      <c r="AA38" s="348">
        <f t="shared" si="7"/>
        <v>0</v>
      </c>
      <c r="AB38" s="348">
        <f t="shared" si="8"/>
        <v>0</v>
      </c>
      <c r="AC38" s="348">
        <f t="shared" si="9"/>
        <v>0</v>
      </c>
      <c r="AD38" s="348">
        <f t="shared" si="10"/>
        <v>0</v>
      </c>
      <c r="AE38" s="348">
        <f t="shared" si="11"/>
        <v>0</v>
      </c>
      <c r="AF38" s="348">
        <f t="shared" si="12"/>
        <v>0</v>
      </c>
      <c r="AG38" s="348">
        <f t="shared" si="39"/>
        <v>0</v>
      </c>
      <c r="AH38" s="348">
        <f t="shared" si="40"/>
        <v>0</v>
      </c>
      <c r="AI38" s="531">
        <f t="shared" si="23"/>
        <v>0</v>
      </c>
      <c r="AJ38" s="531">
        <f t="shared" si="13"/>
        <v>-44998.799999999988</v>
      </c>
      <c r="AK38" s="531"/>
      <c r="AL38" s="348">
        <f t="shared" si="41"/>
        <v>275948.79999999999</v>
      </c>
      <c r="AM38" s="429">
        <f t="shared" si="24"/>
        <v>0</v>
      </c>
      <c r="AN38" s="21">
        <f t="shared" si="14"/>
        <v>0</v>
      </c>
      <c r="AO38" s="21">
        <f t="shared" si="25"/>
        <v>52766.879999999997</v>
      </c>
      <c r="AP38" s="21">
        <f t="shared" si="15"/>
        <v>0</v>
      </c>
      <c r="AQ38" s="21"/>
      <c r="AR38" s="23"/>
      <c r="AS38" s="21">
        <f t="shared" si="16"/>
        <v>0</v>
      </c>
      <c r="AT38" s="21">
        <f t="shared" si="26"/>
        <v>0</v>
      </c>
      <c r="AU38" s="348">
        <f t="shared" si="27"/>
        <v>831.06932364712929</v>
      </c>
      <c r="AV38" s="348">
        <f t="shared" si="28"/>
        <v>19201.866417785914</v>
      </c>
    </row>
    <row r="39" spans="1:48" hidden="1" x14ac:dyDescent="0.25">
      <c r="A39" s="519">
        <f t="shared" si="29"/>
        <v>45129</v>
      </c>
      <c r="B39" s="287">
        <f t="shared" si="17"/>
        <v>178649.51999999996</v>
      </c>
      <c r="C39" s="14">
        <f t="shared" si="0"/>
        <v>786.54</v>
      </c>
      <c r="D39" s="14">
        <f t="shared" si="30"/>
        <v>339.91999999999996</v>
      </c>
      <c r="E39" s="14">
        <f t="shared" si="1"/>
        <v>446.62</v>
      </c>
      <c r="I39" s="287">
        <f t="shared" si="42"/>
        <v>8714.7999999999993</v>
      </c>
      <c r="J39" s="287">
        <f t="shared" si="43"/>
        <v>11415.1</v>
      </c>
      <c r="K39" s="287">
        <f t="shared" si="44"/>
        <v>178309.59999999995</v>
      </c>
      <c r="L39" s="428">
        <f t="shared" si="2"/>
        <v>0</v>
      </c>
      <c r="M39" s="428">
        <f t="shared" si="18"/>
        <v>0</v>
      </c>
      <c r="N39" s="287">
        <f t="shared" si="19"/>
        <v>230950</v>
      </c>
      <c r="O39" s="287">
        <f t="shared" si="20"/>
        <v>0</v>
      </c>
      <c r="P39" s="287">
        <f t="shared" si="34"/>
        <v>0</v>
      </c>
      <c r="Q39" s="287">
        <f t="shared" si="21"/>
        <v>0</v>
      </c>
      <c r="R39" s="287">
        <f t="shared" si="3"/>
        <v>0</v>
      </c>
      <c r="S39" s="287">
        <f t="shared" si="4"/>
        <v>0</v>
      </c>
      <c r="T39" s="287">
        <f t="shared" si="5"/>
        <v>0</v>
      </c>
      <c r="U39" s="287">
        <f t="shared" si="35"/>
        <v>0</v>
      </c>
      <c r="V39" s="287">
        <f t="shared" si="36"/>
        <v>0</v>
      </c>
      <c r="W39" s="287">
        <f t="shared" si="37"/>
        <v>230950</v>
      </c>
      <c r="X39" s="519">
        <f t="shared" si="22"/>
        <v>45129</v>
      </c>
      <c r="Y39" s="287">
        <f t="shared" si="38"/>
        <v>275948.79999999999</v>
      </c>
      <c r="Z39" s="511">
        <f t="shared" si="6"/>
        <v>3.3500000000000002E-2</v>
      </c>
      <c r="AA39" s="287">
        <f t="shared" si="7"/>
        <v>0</v>
      </c>
      <c r="AB39" s="287">
        <f t="shared" si="8"/>
        <v>0</v>
      </c>
      <c r="AC39" s="287">
        <f t="shared" si="9"/>
        <v>0</v>
      </c>
      <c r="AD39" s="287">
        <f t="shared" si="10"/>
        <v>0</v>
      </c>
      <c r="AE39" s="287">
        <f t="shared" si="11"/>
        <v>0</v>
      </c>
      <c r="AF39" s="287">
        <f t="shared" si="12"/>
        <v>0</v>
      </c>
      <c r="AG39" s="287">
        <f t="shared" si="39"/>
        <v>0</v>
      </c>
      <c r="AH39" s="287">
        <f t="shared" si="40"/>
        <v>0</v>
      </c>
      <c r="AI39" s="530">
        <f t="shared" si="23"/>
        <v>0</v>
      </c>
      <c r="AJ39" s="530">
        <f t="shared" si="13"/>
        <v>-44998.799999999988</v>
      </c>
      <c r="AK39" s="530"/>
      <c r="AL39" s="287">
        <f t="shared" si="41"/>
        <v>275948.79999999999</v>
      </c>
      <c r="AM39" s="428">
        <f t="shared" si="24"/>
        <v>0</v>
      </c>
      <c r="AN39" s="14">
        <f t="shared" si="14"/>
        <v>0</v>
      </c>
      <c r="AO39" s="14">
        <f t="shared" si="25"/>
        <v>53106.8</v>
      </c>
      <c r="AP39" s="14">
        <f t="shared" si="15"/>
        <v>0</v>
      </c>
      <c r="AS39" s="14">
        <f t="shared" si="16"/>
        <v>0</v>
      </c>
      <c r="AT39" s="14">
        <f t="shared" si="26"/>
        <v>0</v>
      </c>
      <c r="AU39" s="287">
        <f t="shared" si="27"/>
        <v>833.83955472595301</v>
      </c>
      <c r="AV39" s="287">
        <f t="shared" si="28"/>
        <v>20035.705972511867</v>
      </c>
    </row>
    <row r="40" spans="1:48" hidden="1" x14ac:dyDescent="0.25">
      <c r="A40" s="519">
        <f t="shared" si="29"/>
        <v>45159</v>
      </c>
      <c r="B40" s="287">
        <f t="shared" si="17"/>
        <v>178309.59999999995</v>
      </c>
      <c r="C40" s="14">
        <f t="shared" si="0"/>
        <v>786.54</v>
      </c>
      <c r="D40" s="14">
        <f t="shared" si="30"/>
        <v>340.77</v>
      </c>
      <c r="E40" s="14">
        <f t="shared" si="1"/>
        <v>445.77</v>
      </c>
      <c r="I40" s="287">
        <f t="shared" si="42"/>
        <v>9055.57</v>
      </c>
      <c r="J40" s="287">
        <f t="shared" si="43"/>
        <v>11860.87</v>
      </c>
      <c r="K40" s="287">
        <f t="shared" si="44"/>
        <v>177968.82999999996</v>
      </c>
      <c r="L40" s="428">
        <f t="shared" si="2"/>
        <v>0</v>
      </c>
      <c r="M40" s="428">
        <f t="shared" si="18"/>
        <v>0</v>
      </c>
      <c r="N40" s="287">
        <f t="shared" si="19"/>
        <v>230950</v>
      </c>
      <c r="O40" s="287">
        <f t="shared" si="20"/>
        <v>0</v>
      </c>
      <c r="P40" s="287">
        <f t="shared" si="34"/>
        <v>0</v>
      </c>
      <c r="Q40" s="287">
        <f t="shared" si="21"/>
        <v>0</v>
      </c>
      <c r="R40" s="287">
        <f t="shared" si="3"/>
        <v>0</v>
      </c>
      <c r="S40" s="287">
        <f t="shared" si="4"/>
        <v>0</v>
      </c>
      <c r="T40" s="287">
        <f t="shared" si="5"/>
        <v>0</v>
      </c>
      <c r="U40" s="287">
        <f t="shared" si="35"/>
        <v>0</v>
      </c>
      <c r="V40" s="287">
        <f t="shared" si="36"/>
        <v>0</v>
      </c>
      <c r="W40" s="287">
        <f t="shared" si="37"/>
        <v>230950</v>
      </c>
      <c r="X40" s="519">
        <f t="shared" si="22"/>
        <v>45159</v>
      </c>
      <c r="Y40" s="287">
        <f t="shared" si="38"/>
        <v>275948.79999999999</v>
      </c>
      <c r="Z40" s="511">
        <f t="shared" si="6"/>
        <v>3.3500000000000002E-2</v>
      </c>
      <c r="AA40" s="287">
        <f t="shared" si="7"/>
        <v>0</v>
      </c>
      <c r="AB40" s="287">
        <f t="shared" si="8"/>
        <v>0</v>
      </c>
      <c r="AC40" s="287">
        <f t="shared" si="9"/>
        <v>0</v>
      </c>
      <c r="AD40" s="287">
        <f t="shared" si="10"/>
        <v>0</v>
      </c>
      <c r="AE40" s="287">
        <f t="shared" si="11"/>
        <v>0</v>
      </c>
      <c r="AF40" s="287">
        <f t="shared" si="12"/>
        <v>0</v>
      </c>
      <c r="AG40" s="287">
        <f t="shared" si="39"/>
        <v>0</v>
      </c>
      <c r="AH40" s="287">
        <f t="shared" si="40"/>
        <v>0</v>
      </c>
      <c r="AI40" s="530">
        <f t="shared" si="23"/>
        <v>0</v>
      </c>
      <c r="AJ40" s="530">
        <f t="shared" si="13"/>
        <v>-44998.799999999988</v>
      </c>
      <c r="AK40" s="530"/>
      <c r="AL40" s="287">
        <f t="shared" si="41"/>
        <v>275948.79999999999</v>
      </c>
      <c r="AM40" s="428">
        <f t="shared" si="24"/>
        <v>0</v>
      </c>
      <c r="AN40" s="14">
        <f t="shared" si="14"/>
        <v>0</v>
      </c>
      <c r="AO40" s="14">
        <f t="shared" si="25"/>
        <v>53447.57</v>
      </c>
      <c r="AP40" s="14">
        <f t="shared" si="15"/>
        <v>0</v>
      </c>
      <c r="AS40" s="14">
        <f t="shared" si="16"/>
        <v>0</v>
      </c>
      <c r="AT40" s="14">
        <f t="shared" si="26"/>
        <v>0</v>
      </c>
      <c r="AU40" s="287">
        <f t="shared" si="27"/>
        <v>836.61901990837293</v>
      </c>
      <c r="AV40" s="287">
        <f t="shared" si="28"/>
        <v>20872.324992420239</v>
      </c>
    </row>
    <row r="41" spans="1:48" hidden="1" x14ac:dyDescent="0.25">
      <c r="A41" s="519">
        <f t="shared" si="29"/>
        <v>45189</v>
      </c>
      <c r="B41" s="287">
        <f t="shared" si="17"/>
        <v>177968.82999999996</v>
      </c>
      <c r="C41" s="14">
        <f t="shared" si="0"/>
        <v>786.54</v>
      </c>
      <c r="D41" s="14">
        <f t="shared" si="30"/>
        <v>341.61999999999995</v>
      </c>
      <c r="E41" s="14">
        <f t="shared" si="1"/>
        <v>444.92</v>
      </c>
      <c r="I41" s="287">
        <f t="shared" si="42"/>
        <v>9397.19</v>
      </c>
      <c r="J41" s="287">
        <f t="shared" si="43"/>
        <v>12305.79</v>
      </c>
      <c r="K41" s="287">
        <f t="shared" si="44"/>
        <v>177627.20999999996</v>
      </c>
      <c r="L41" s="428">
        <f t="shared" si="2"/>
        <v>0</v>
      </c>
      <c r="M41" s="428">
        <f t="shared" si="18"/>
        <v>0</v>
      </c>
      <c r="N41" s="287">
        <f t="shared" si="19"/>
        <v>230950</v>
      </c>
      <c r="O41" s="287">
        <f t="shared" si="20"/>
        <v>0</v>
      </c>
      <c r="P41" s="287">
        <f t="shared" si="34"/>
        <v>0</v>
      </c>
      <c r="Q41" s="287">
        <f t="shared" si="21"/>
        <v>0</v>
      </c>
      <c r="R41" s="287">
        <f t="shared" si="3"/>
        <v>0</v>
      </c>
      <c r="S41" s="287">
        <f t="shared" si="4"/>
        <v>0</v>
      </c>
      <c r="T41" s="287">
        <f t="shared" si="5"/>
        <v>0</v>
      </c>
      <c r="U41" s="287">
        <f t="shared" si="35"/>
        <v>0</v>
      </c>
      <c r="V41" s="287">
        <f t="shared" si="36"/>
        <v>0</v>
      </c>
      <c r="W41" s="287">
        <f t="shared" si="37"/>
        <v>230950</v>
      </c>
      <c r="X41" s="519">
        <f t="shared" si="22"/>
        <v>45189</v>
      </c>
      <c r="Y41" s="287">
        <f t="shared" si="38"/>
        <v>275948.79999999999</v>
      </c>
      <c r="Z41" s="511">
        <f t="shared" si="6"/>
        <v>3.3500000000000002E-2</v>
      </c>
      <c r="AA41" s="287">
        <f t="shared" si="7"/>
        <v>0</v>
      </c>
      <c r="AB41" s="287">
        <f t="shared" si="8"/>
        <v>0</v>
      </c>
      <c r="AC41" s="287">
        <f t="shared" si="9"/>
        <v>0</v>
      </c>
      <c r="AD41" s="287">
        <f t="shared" si="10"/>
        <v>0</v>
      </c>
      <c r="AE41" s="287">
        <f t="shared" si="11"/>
        <v>0</v>
      </c>
      <c r="AF41" s="287">
        <f t="shared" si="12"/>
        <v>0</v>
      </c>
      <c r="AG41" s="287">
        <f t="shared" si="39"/>
        <v>0</v>
      </c>
      <c r="AH41" s="287">
        <f t="shared" si="40"/>
        <v>0</v>
      </c>
      <c r="AI41" s="530">
        <f t="shared" si="23"/>
        <v>0</v>
      </c>
      <c r="AJ41" s="530">
        <f t="shared" si="13"/>
        <v>-44998.799999999988</v>
      </c>
      <c r="AK41" s="530"/>
      <c r="AL41" s="287">
        <f t="shared" si="41"/>
        <v>275948.79999999999</v>
      </c>
      <c r="AM41" s="428">
        <f t="shared" si="24"/>
        <v>0</v>
      </c>
      <c r="AN41" s="14">
        <f t="shared" si="14"/>
        <v>0</v>
      </c>
      <c r="AO41" s="14">
        <f t="shared" si="25"/>
        <v>53789.19</v>
      </c>
      <c r="AP41" s="14">
        <f t="shared" si="15"/>
        <v>0</v>
      </c>
      <c r="AS41" s="14">
        <f t="shared" si="16"/>
        <v>0</v>
      </c>
      <c r="AT41" s="14">
        <f t="shared" si="26"/>
        <v>0</v>
      </c>
      <c r="AU41" s="287">
        <f t="shared" si="27"/>
        <v>839.40774997473409</v>
      </c>
      <c r="AV41" s="287">
        <f t="shared" si="28"/>
        <v>21711.732742394972</v>
      </c>
    </row>
    <row r="42" spans="1:48" hidden="1" x14ac:dyDescent="0.25">
      <c r="A42" s="519">
        <f t="shared" si="29"/>
        <v>45219</v>
      </c>
      <c r="B42" s="287">
        <f t="shared" si="17"/>
        <v>177627.20999999996</v>
      </c>
      <c r="C42" s="14">
        <f t="shared" si="0"/>
        <v>786.54</v>
      </c>
      <c r="D42" s="14">
        <f t="shared" si="30"/>
        <v>342.46999999999997</v>
      </c>
      <c r="E42" s="14">
        <f t="shared" si="1"/>
        <v>444.07</v>
      </c>
      <c r="I42" s="287">
        <f t="shared" si="42"/>
        <v>9739.66</v>
      </c>
      <c r="J42" s="287">
        <f t="shared" si="43"/>
        <v>12749.86</v>
      </c>
      <c r="K42" s="287">
        <f t="shared" si="44"/>
        <v>177284.73999999996</v>
      </c>
      <c r="L42" s="428">
        <f t="shared" si="2"/>
        <v>0</v>
      </c>
      <c r="M42" s="428">
        <f t="shared" si="18"/>
        <v>0</v>
      </c>
      <c r="N42" s="287">
        <f t="shared" si="19"/>
        <v>230950</v>
      </c>
      <c r="O42" s="287">
        <f t="shared" si="20"/>
        <v>0</v>
      </c>
      <c r="P42" s="287">
        <f t="shared" si="34"/>
        <v>0</v>
      </c>
      <c r="Q42" s="287">
        <f t="shared" si="21"/>
        <v>0</v>
      </c>
      <c r="R42" s="287">
        <f t="shared" si="3"/>
        <v>0</v>
      </c>
      <c r="S42" s="287">
        <f t="shared" si="4"/>
        <v>0</v>
      </c>
      <c r="T42" s="287">
        <f t="shared" si="5"/>
        <v>0</v>
      </c>
      <c r="U42" s="287">
        <f t="shared" si="35"/>
        <v>0</v>
      </c>
      <c r="V42" s="287">
        <f t="shared" si="36"/>
        <v>0</v>
      </c>
      <c r="W42" s="287">
        <f t="shared" si="37"/>
        <v>230950</v>
      </c>
      <c r="X42" s="519">
        <f t="shared" si="22"/>
        <v>45219</v>
      </c>
      <c r="Y42" s="287">
        <f t="shared" si="38"/>
        <v>275948.79999999999</v>
      </c>
      <c r="Z42" s="511">
        <f t="shared" si="6"/>
        <v>3.3500000000000002E-2</v>
      </c>
      <c r="AA42" s="287">
        <f t="shared" si="7"/>
        <v>0</v>
      </c>
      <c r="AB42" s="287">
        <f t="shared" si="8"/>
        <v>0</v>
      </c>
      <c r="AC42" s="287">
        <f t="shared" si="9"/>
        <v>0</v>
      </c>
      <c r="AD42" s="287">
        <f t="shared" si="10"/>
        <v>0</v>
      </c>
      <c r="AE42" s="287">
        <f t="shared" si="11"/>
        <v>0</v>
      </c>
      <c r="AF42" s="287">
        <f t="shared" si="12"/>
        <v>0</v>
      </c>
      <c r="AG42" s="287">
        <f t="shared" si="39"/>
        <v>0</v>
      </c>
      <c r="AH42" s="287">
        <f t="shared" si="40"/>
        <v>0</v>
      </c>
      <c r="AI42" s="530">
        <f t="shared" si="23"/>
        <v>0</v>
      </c>
      <c r="AJ42" s="530">
        <f t="shared" si="13"/>
        <v>-44998.799999999988</v>
      </c>
      <c r="AK42" s="530"/>
      <c r="AL42" s="287">
        <f t="shared" si="41"/>
        <v>275948.79999999999</v>
      </c>
      <c r="AM42" s="428">
        <f t="shared" si="24"/>
        <v>0</v>
      </c>
      <c r="AN42" s="14">
        <f t="shared" si="14"/>
        <v>0</v>
      </c>
      <c r="AO42" s="14">
        <f t="shared" si="25"/>
        <v>54131.66</v>
      </c>
      <c r="AP42" s="14">
        <f t="shared" si="15"/>
        <v>0</v>
      </c>
      <c r="AS42" s="14">
        <f t="shared" si="16"/>
        <v>0</v>
      </c>
      <c r="AT42" s="14">
        <f t="shared" si="26"/>
        <v>0</v>
      </c>
      <c r="AU42" s="287">
        <f t="shared" si="27"/>
        <v>842.20577580798317</v>
      </c>
      <c r="AV42" s="287">
        <f t="shared" si="28"/>
        <v>22553.938518202955</v>
      </c>
    </row>
    <row r="43" spans="1:48" hidden="1" x14ac:dyDescent="0.25">
      <c r="A43" s="519">
        <f t="shared" si="29"/>
        <v>45249</v>
      </c>
      <c r="B43" s="287">
        <f t="shared" si="17"/>
        <v>177284.73999999996</v>
      </c>
      <c r="C43" s="14">
        <f t="shared" si="0"/>
        <v>786.54</v>
      </c>
      <c r="D43" s="14">
        <f t="shared" si="30"/>
        <v>343.33</v>
      </c>
      <c r="E43" s="14">
        <f t="shared" si="1"/>
        <v>443.21</v>
      </c>
      <c r="I43" s="287">
        <f t="shared" si="42"/>
        <v>10082.99</v>
      </c>
      <c r="J43" s="287">
        <f t="shared" si="43"/>
        <v>13193.07</v>
      </c>
      <c r="K43" s="287">
        <f t="shared" si="44"/>
        <v>176941.40999999997</v>
      </c>
      <c r="L43" s="428">
        <f t="shared" si="2"/>
        <v>0</v>
      </c>
      <c r="M43" s="428">
        <f t="shared" si="18"/>
        <v>0</v>
      </c>
      <c r="N43" s="287">
        <f t="shared" si="19"/>
        <v>230950</v>
      </c>
      <c r="O43" s="287">
        <f t="shared" si="20"/>
        <v>0</v>
      </c>
      <c r="P43" s="287">
        <f t="shared" si="34"/>
        <v>0</v>
      </c>
      <c r="Q43" s="287">
        <f t="shared" si="21"/>
        <v>0</v>
      </c>
      <c r="R43" s="287">
        <f t="shared" si="3"/>
        <v>0</v>
      </c>
      <c r="S43" s="287">
        <f t="shared" si="4"/>
        <v>0</v>
      </c>
      <c r="T43" s="287">
        <f t="shared" si="5"/>
        <v>0</v>
      </c>
      <c r="U43" s="287">
        <f t="shared" si="35"/>
        <v>0</v>
      </c>
      <c r="V43" s="287">
        <f t="shared" si="36"/>
        <v>0</v>
      </c>
      <c r="W43" s="287">
        <f t="shared" si="37"/>
        <v>230950</v>
      </c>
      <c r="X43" s="519">
        <f t="shared" si="22"/>
        <v>45249</v>
      </c>
      <c r="Y43" s="287">
        <f t="shared" si="38"/>
        <v>275948.79999999999</v>
      </c>
      <c r="Z43" s="511">
        <f t="shared" si="6"/>
        <v>3.3500000000000002E-2</v>
      </c>
      <c r="AA43" s="287">
        <f t="shared" si="7"/>
        <v>0</v>
      </c>
      <c r="AB43" s="287">
        <f t="shared" si="8"/>
        <v>0</v>
      </c>
      <c r="AC43" s="287">
        <f t="shared" si="9"/>
        <v>0</v>
      </c>
      <c r="AD43" s="287">
        <f t="shared" si="10"/>
        <v>0</v>
      </c>
      <c r="AE43" s="287">
        <f t="shared" si="11"/>
        <v>0</v>
      </c>
      <c r="AF43" s="287">
        <f t="shared" si="12"/>
        <v>0</v>
      </c>
      <c r="AG43" s="287">
        <f t="shared" si="39"/>
        <v>0</v>
      </c>
      <c r="AH43" s="287">
        <f t="shared" si="40"/>
        <v>0</v>
      </c>
      <c r="AI43" s="530">
        <f t="shared" si="23"/>
        <v>0</v>
      </c>
      <c r="AJ43" s="530">
        <f t="shared" si="13"/>
        <v>-44998.799999999988</v>
      </c>
      <c r="AK43" s="530"/>
      <c r="AL43" s="287">
        <f t="shared" si="41"/>
        <v>275948.79999999999</v>
      </c>
      <c r="AM43" s="428">
        <f t="shared" si="24"/>
        <v>0</v>
      </c>
      <c r="AN43" s="14">
        <f t="shared" si="14"/>
        <v>0</v>
      </c>
      <c r="AO43" s="14">
        <f t="shared" si="25"/>
        <v>54474.99</v>
      </c>
      <c r="AP43" s="14">
        <f t="shared" si="15"/>
        <v>0</v>
      </c>
      <c r="AS43" s="14">
        <f t="shared" si="16"/>
        <v>0</v>
      </c>
      <c r="AT43" s="14">
        <f t="shared" si="26"/>
        <v>0</v>
      </c>
      <c r="AU43" s="287">
        <f t="shared" si="27"/>
        <v>845.01312839400987</v>
      </c>
      <c r="AV43" s="287">
        <f t="shared" si="28"/>
        <v>23398.951646596965</v>
      </c>
    </row>
    <row r="44" spans="1:48" hidden="1" x14ac:dyDescent="0.25">
      <c r="A44" s="519">
        <f t="shared" si="29"/>
        <v>45279</v>
      </c>
      <c r="B44" s="287">
        <f t="shared" si="17"/>
        <v>176941.40999999997</v>
      </c>
      <c r="C44" s="14">
        <f t="shared" si="0"/>
        <v>786.54</v>
      </c>
      <c r="D44" s="14">
        <f t="shared" si="30"/>
        <v>344.18999999999994</v>
      </c>
      <c r="E44" s="14">
        <f t="shared" si="1"/>
        <v>442.35</v>
      </c>
      <c r="I44" s="287">
        <f t="shared" si="42"/>
        <v>10427.18</v>
      </c>
      <c r="J44" s="287">
        <f t="shared" si="43"/>
        <v>13635.42</v>
      </c>
      <c r="K44" s="287">
        <f t="shared" si="44"/>
        <v>176597.21999999997</v>
      </c>
      <c r="L44" s="428">
        <f t="shared" si="2"/>
        <v>0</v>
      </c>
      <c r="M44" s="428">
        <f t="shared" si="18"/>
        <v>0</v>
      </c>
      <c r="N44" s="287">
        <f t="shared" si="19"/>
        <v>230950</v>
      </c>
      <c r="O44" s="287">
        <f t="shared" si="20"/>
        <v>0</v>
      </c>
      <c r="P44" s="287">
        <f t="shared" si="34"/>
        <v>0</v>
      </c>
      <c r="Q44" s="287">
        <f t="shared" si="21"/>
        <v>0</v>
      </c>
      <c r="R44" s="287">
        <f t="shared" si="3"/>
        <v>0</v>
      </c>
      <c r="S44" s="287">
        <f t="shared" si="4"/>
        <v>0</v>
      </c>
      <c r="T44" s="287">
        <f t="shared" si="5"/>
        <v>0</v>
      </c>
      <c r="U44" s="287">
        <f t="shared" si="35"/>
        <v>0</v>
      </c>
      <c r="V44" s="287">
        <f t="shared" si="36"/>
        <v>0</v>
      </c>
      <c r="W44" s="287">
        <f t="shared" si="37"/>
        <v>230950</v>
      </c>
      <c r="X44" s="519">
        <f t="shared" si="22"/>
        <v>45279</v>
      </c>
      <c r="Y44" s="287">
        <f t="shared" si="38"/>
        <v>275948.79999999999</v>
      </c>
      <c r="Z44" s="511">
        <f t="shared" si="6"/>
        <v>3.3500000000000002E-2</v>
      </c>
      <c r="AA44" s="287">
        <f t="shared" si="7"/>
        <v>0</v>
      </c>
      <c r="AB44" s="287">
        <f t="shared" si="8"/>
        <v>0</v>
      </c>
      <c r="AC44" s="287">
        <f t="shared" si="9"/>
        <v>0</v>
      </c>
      <c r="AD44" s="287">
        <f t="shared" si="10"/>
        <v>0</v>
      </c>
      <c r="AE44" s="287">
        <f t="shared" si="11"/>
        <v>0</v>
      </c>
      <c r="AF44" s="287">
        <f t="shared" si="12"/>
        <v>0</v>
      </c>
      <c r="AG44" s="287">
        <f t="shared" si="39"/>
        <v>0</v>
      </c>
      <c r="AH44" s="287">
        <f t="shared" si="40"/>
        <v>0</v>
      </c>
      <c r="AI44" s="530">
        <f t="shared" si="23"/>
        <v>0</v>
      </c>
      <c r="AJ44" s="530">
        <f t="shared" si="13"/>
        <v>-44998.799999999988</v>
      </c>
      <c r="AK44" s="530"/>
      <c r="AL44" s="287">
        <f t="shared" si="41"/>
        <v>275948.79999999999</v>
      </c>
      <c r="AM44" s="428">
        <f t="shared" si="24"/>
        <v>0</v>
      </c>
      <c r="AN44" s="14">
        <f t="shared" si="14"/>
        <v>0</v>
      </c>
      <c r="AO44" s="14">
        <f t="shared" si="25"/>
        <v>54819.18</v>
      </c>
      <c r="AP44" s="14">
        <f t="shared" si="15"/>
        <v>0</v>
      </c>
      <c r="AS44" s="14">
        <f t="shared" si="16"/>
        <v>0</v>
      </c>
      <c r="AT44" s="14">
        <f t="shared" si="26"/>
        <v>0</v>
      </c>
      <c r="AU44" s="287">
        <f t="shared" si="27"/>
        <v>847.82983882198994</v>
      </c>
      <c r="AV44" s="287">
        <f t="shared" si="28"/>
        <v>24246.781485418953</v>
      </c>
    </row>
    <row r="45" spans="1:48" hidden="1" x14ac:dyDescent="0.25">
      <c r="A45" s="519">
        <f t="shared" si="29"/>
        <v>45309</v>
      </c>
      <c r="B45" s="287">
        <f t="shared" si="17"/>
        <v>176597.21999999997</v>
      </c>
      <c r="C45" s="14">
        <f t="shared" si="0"/>
        <v>786.54</v>
      </c>
      <c r="D45" s="14">
        <f t="shared" si="30"/>
        <v>345.04999999999995</v>
      </c>
      <c r="E45" s="14">
        <f t="shared" si="1"/>
        <v>441.49</v>
      </c>
      <c r="I45" s="287">
        <f t="shared" si="42"/>
        <v>10772.23</v>
      </c>
      <c r="J45" s="287">
        <f t="shared" si="43"/>
        <v>14076.91</v>
      </c>
      <c r="K45" s="287">
        <f t="shared" si="44"/>
        <v>176252.16999999998</v>
      </c>
      <c r="L45" s="428">
        <f t="shared" si="2"/>
        <v>0</v>
      </c>
      <c r="M45" s="428">
        <f t="shared" si="18"/>
        <v>0</v>
      </c>
      <c r="N45" s="287">
        <f t="shared" si="19"/>
        <v>230950</v>
      </c>
      <c r="O45" s="287">
        <f t="shared" si="20"/>
        <v>0</v>
      </c>
      <c r="P45" s="287">
        <f t="shared" si="34"/>
        <v>0</v>
      </c>
      <c r="Q45" s="287">
        <f t="shared" si="21"/>
        <v>0</v>
      </c>
      <c r="R45" s="287">
        <f t="shared" si="3"/>
        <v>0</v>
      </c>
      <c r="S45" s="287">
        <f t="shared" si="4"/>
        <v>0</v>
      </c>
      <c r="T45" s="287">
        <f t="shared" si="5"/>
        <v>0</v>
      </c>
      <c r="U45" s="287">
        <f t="shared" si="35"/>
        <v>0</v>
      </c>
      <c r="V45" s="287">
        <f t="shared" si="36"/>
        <v>0</v>
      </c>
      <c r="W45" s="287">
        <f t="shared" si="37"/>
        <v>230950</v>
      </c>
      <c r="X45" s="519">
        <f t="shared" si="22"/>
        <v>45309</v>
      </c>
      <c r="Y45" s="287">
        <f t="shared" si="38"/>
        <v>275948.79999999999</v>
      </c>
      <c r="Z45" s="511">
        <f t="shared" si="6"/>
        <v>3.3500000000000002E-2</v>
      </c>
      <c r="AA45" s="287">
        <f t="shared" si="7"/>
        <v>0</v>
      </c>
      <c r="AB45" s="287">
        <f t="shared" si="8"/>
        <v>0</v>
      </c>
      <c r="AC45" s="287">
        <f t="shared" si="9"/>
        <v>0</v>
      </c>
      <c r="AD45" s="287">
        <f t="shared" si="10"/>
        <v>0</v>
      </c>
      <c r="AE45" s="287">
        <f t="shared" si="11"/>
        <v>0</v>
      </c>
      <c r="AF45" s="287">
        <f t="shared" si="12"/>
        <v>0</v>
      </c>
      <c r="AG45" s="287">
        <f t="shared" si="39"/>
        <v>0</v>
      </c>
      <c r="AH45" s="287">
        <f t="shared" si="40"/>
        <v>0</v>
      </c>
      <c r="AI45" s="530">
        <f t="shared" si="23"/>
        <v>0</v>
      </c>
      <c r="AJ45" s="530">
        <f t="shared" si="13"/>
        <v>-44998.799999999988</v>
      </c>
      <c r="AK45" s="530"/>
      <c r="AL45" s="287">
        <f t="shared" si="41"/>
        <v>275948.79999999999</v>
      </c>
      <c r="AM45" s="428">
        <f t="shared" si="24"/>
        <v>0</v>
      </c>
      <c r="AN45" s="14">
        <f t="shared" si="14"/>
        <v>0</v>
      </c>
      <c r="AO45" s="14">
        <f t="shared" ref="AO45:AO108" si="45">IF(W45&lt;=0,0,+$AA$5-$C$2+I45-U45)</f>
        <v>100163.02999999998</v>
      </c>
      <c r="AP45" s="14">
        <f t="shared" si="15"/>
        <v>0</v>
      </c>
      <c r="AS45" s="14">
        <f t="shared" si="16"/>
        <v>0</v>
      </c>
      <c r="AT45" s="14">
        <f t="shared" si="26"/>
        <v>0</v>
      </c>
      <c r="AU45" s="287">
        <f t="shared" si="27"/>
        <v>850.65593828472993</v>
      </c>
      <c r="AV45" s="287">
        <f t="shared" si="28"/>
        <v>25097.437423703683</v>
      </c>
    </row>
    <row r="46" spans="1:48" hidden="1" x14ac:dyDescent="0.25">
      <c r="A46" s="519">
        <f t="shared" si="29"/>
        <v>45339</v>
      </c>
      <c r="B46" s="287">
        <f t="shared" si="17"/>
        <v>176252.16999999998</v>
      </c>
      <c r="C46" s="14">
        <f t="shared" si="0"/>
        <v>786.54</v>
      </c>
      <c r="D46" s="14">
        <f t="shared" si="30"/>
        <v>345.90999999999997</v>
      </c>
      <c r="E46" s="14">
        <f t="shared" si="1"/>
        <v>440.63</v>
      </c>
      <c r="I46" s="287">
        <f t="shared" si="42"/>
        <v>11118.14</v>
      </c>
      <c r="J46" s="287">
        <f t="shared" si="43"/>
        <v>14517.539999999999</v>
      </c>
      <c r="K46" s="287">
        <f t="shared" si="44"/>
        <v>175906.25999999998</v>
      </c>
      <c r="L46" s="428">
        <f t="shared" si="2"/>
        <v>0</v>
      </c>
      <c r="M46" s="428">
        <f t="shared" si="18"/>
        <v>0</v>
      </c>
      <c r="N46" s="287">
        <f t="shared" si="19"/>
        <v>230950</v>
      </c>
      <c r="O46" s="287">
        <f t="shared" si="20"/>
        <v>0</v>
      </c>
      <c r="P46" s="287">
        <f t="shared" si="34"/>
        <v>0</v>
      </c>
      <c r="Q46" s="287">
        <f t="shared" si="21"/>
        <v>0</v>
      </c>
      <c r="R46" s="287">
        <f t="shared" si="3"/>
        <v>0</v>
      </c>
      <c r="S46" s="287">
        <f t="shared" si="4"/>
        <v>0</v>
      </c>
      <c r="T46" s="287">
        <f t="shared" si="5"/>
        <v>0</v>
      </c>
      <c r="U46" s="287">
        <f t="shared" si="35"/>
        <v>0</v>
      </c>
      <c r="V46" s="287">
        <f t="shared" si="36"/>
        <v>0</v>
      </c>
      <c r="W46" s="287">
        <f t="shared" si="37"/>
        <v>230950</v>
      </c>
      <c r="X46" s="519">
        <f t="shared" si="22"/>
        <v>45339</v>
      </c>
      <c r="Y46" s="287">
        <f t="shared" si="38"/>
        <v>275948.79999999999</v>
      </c>
      <c r="Z46" s="511">
        <f t="shared" si="6"/>
        <v>3.3500000000000002E-2</v>
      </c>
      <c r="AA46" s="287">
        <f t="shared" si="7"/>
        <v>0</v>
      </c>
      <c r="AB46" s="287">
        <f t="shared" si="8"/>
        <v>0</v>
      </c>
      <c r="AC46" s="287">
        <f t="shared" si="9"/>
        <v>0</v>
      </c>
      <c r="AD46" s="287">
        <f t="shared" si="10"/>
        <v>0</v>
      </c>
      <c r="AE46" s="287">
        <f t="shared" si="11"/>
        <v>0</v>
      </c>
      <c r="AF46" s="287">
        <f t="shared" si="12"/>
        <v>0</v>
      </c>
      <c r="AG46" s="287">
        <f t="shared" si="39"/>
        <v>0</v>
      </c>
      <c r="AH46" s="287">
        <f t="shared" si="40"/>
        <v>0</v>
      </c>
      <c r="AI46" s="530">
        <f t="shared" si="23"/>
        <v>0</v>
      </c>
      <c r="AJ46" s="530">
        <f t="shared" si="13"/>
        <v>-44998.799999999988</v>
      </c>
      <c r="AK46" s="530"/>
      <c r="AL46" s="287">
        <f t="shared" si="41"/>
        <v>275948.79999999999</v>
      </c>
      <c r="AM46" s="428">
        <f t="shared" si="24"/>
        <v>0</v>
      </c>
      <c r="AN46" s="14">
        <f t="shared" si="14"/>
        <v>0</v>
      </c>
      <c r="AO46" s="14">
        <f t="shared" si="45"/>
        <v>100508.93999999999</v>
      </c>
      <c r="AP46" s="14">
        <f t="shared" si="15"/>
        <v>0</v>
      </c>
      <c r="AS46" s="14">
        <f t="shared" si="16"/>
        <v>0</v>
      </c>
      <c r="AT46" s="14">
        <f t="shared" si="26"/>
        <v>0</v>
      </c>
      <c r="AU46" s="287">
        <f t="shared" si="27"/>
        <v>853.49145807901232</v>
      </c>
      <c r="AV46" s="287">
        <f t="shared" si="28"/>
        <v>25950.928881782696</v>
      </c>
    </row>
    <row r="47" spans="1:48" hidden="1" x14ac:dyDescent="0.25">
      <c r="A47" s="519">
        <f t="shared" si="29"/>
        <v>45369</v>
      </c>
      <c r="B47" s="287">
        <f t="shared" si="17"/>
        <v>175906.25999999998</v>
      </c>
      <c r="C47" s="14">
        <f t="shared" si="0"/>
        <v>786.54</v>
      </c>
      <c r="D47" s="14">
        <f t="shared" si="30"/>
        <v>346.77</v>
      </c>
      <c r="E47" s="14">
        <f t="shared" si="1"/>
        <v>439.77</v>
      </c>
      <c r="I47" s="287">
        <f t="shared" si="42"/>
        <v>11464.91</v>
      </c>
      <c r="J47" s="287">
        <f t="shared" si="43"/>
        <v>14957.31</v>
      </c>
      <c r="K47" s="287">
        <f t="shared" si="44"/>
        <v>175559.49</v>
      </c>
      <c r="L47" s="428">
        <f t="shared" si="2"/>
        <v>0</v>
      </c>
      <c r="M47" s="428">
        <f t="shared" si="18"/>
        <v>0</v>
      </c>
      <c r="N47" s="287">
        <f t="shared" si="19"/>
        <v>230950</v>
      </c>
      <c r="O47" s="287">
        <f t="shared" si="20"/>
        <v>0</v>
      </c>
      <c r="P47" s="287">
        <f t="shared" si="34"/>
        <v>0</v>
      </c>
      <c r="Q47" s="287">
        <f t="shared" si="21"/>
        <v>0</v>
      </c>
      <c r="R47" s="287">
        <f t="shared" si="3"/>
        <v>0</v>
      </c>
      <c r="S47" s="287">
        <f t="shared" si="4"/>
        <v>0</v>
      </c>
      <c r="T47" s="287">
        <f t="shared" si="5"/>
        <v>0</v>
      </c>
      <c r="U47" s="287">
        <f t="shared" si="35"/>
        <v>0</v>
      </c>
      <c r="V47" s="287">
        <f t="shared" si="36"/>
        <v>0</v>
      </c>
      <c r="W47" s="287">
        <f t="shared" si="37"/>
        <v>230950</v>
      </c>
      <c r="X47" s="519">
        <f t="shared" si="22"/>
        <v>45369</v>
      </c>
      <c r="Y47" s="287">
        <f t="shared" si="38"/>
        <v>275948.79999999999</v>
      </c>
      <c r="Z47" s="511">
        <f t="shared" si="6"/>
        <v>3.3500000000000002E-2</v>
      </c>
      <c r="AA47" s="287">
        <f t="shared" si="7"/>
        <v>0</v>
      </c>
      <c r="AB47" s="287">
        <f t="shared" si="8"/>
        <v>0</v>
      </c>
      <c r="AC47" s="287">
        <f t="shared" si="9"/>
        <v>0</v>
      </c>
      <c r="AD47" s="287">
        <f t="shared" si="10"/>
        <v>0</v>
      </c>
      <c r="AE47" s="287">
        <f t="shared" si="11"/>
        <v>0</v>
      </c>
      <c r="AF47" s="287">
        <f t="shared" si="12"/>
        <v>0</v>
      </c>
      <c r="AG47" s="287">
        <f t="shared" si="39"/>
        <v>0</v>
      </c>
      <c r="AH47" s="287">
        <f t="shared" si="40"/>
        <v>0</v>
      </c>
      <c r="AI47" s="530">
        <f t="shared" si="23"/>
        <v>0</v>
      </c>
      <c r="AJ47" s="530">
        <f t="shared" si="13"/>
        <v>-44998.799999999988</v>
      </c>
      <c r="AK47" s="530"/>
      <c r="AL47" s="287">
        <f t="shared" si="41"/>
        <v>275948.79999999999</v>
      </c>
      <c r="AM47" s="428">
        <f t="shared" si="24"/>
        <v>0</v>
      </c>
      <c r="AN47" s="14">
        <f t="shared" si="14"/>
        <v>0</v>
      </c>
      <c r="AO47" s="14">
        <f t="shared" si="45"/>
        <v>100855.70999999999</v>
      </c>
      <c r="AP47" s="14">
        <f t="shared" si="15"/>
        <v>0</v>
      </c>
      <c r="AS47" s="14">
        <f t="shared" si="16"/>
        <v>0</v>
      </c>
      <c r="AT47" s="14">
        <f t="shared" si="26"/>
        <v>0</v>
      </c>
      <c r="AU47" s="287">
        <f t="shared" si="27"/>
        <v>856.33642960594227</v>
      </c>
      <c r="AV47" s="287">
        <f t="shared" si="28"/>
        <v>26807.265311388637</v>
      </c>
    </row>
    <row r="48" spans="1:48" hidden="1" x14ac:dyDescent="0.25">
      <c r="A48" s="519">
        <f t="shared" si="29"/>
        <v>45399</v>
      </c>
      <c r="B48" s="287">
        <f t="shared" si="17"/>
        <v>175559.49</v>
      </c>
      <c r="C48" s="14">
        <f t="shared" si="0"/>
        <v>786.54</v>
      </c>
      <c r="D48" s="14">
        <f t="shared" si="30"/>
        <v>347.64</v>
      </c>
      <c r="E48" s="14">
        <f t="shared" si="1"/>
        <v>438.9</v>
      </c>
      <c r="I48" s="287">
        <f t="shared" si="42"/>
        <v>11812.55</v>
      </c>
      <c r="J48" s="287">
        <f t="shared" si="43"/>
        <v>15396.21</v>
      </c>
      <c r="K48" s="287">
        <f t="shared" si="44"/>
        <v>175211.84999999998</v>
      </c>
      <c r="L48" s="428">
        <f t="shared" si="2"/>
        <v>0</v>
      </c>
      <c r="M48" s="428">
        <f t="shared" si="18"/>
        <v>0</v>
      </c>
      <c r="N48" s="287">
        <f t="shared" si="19"/>
        <v>230950</v>
      </c>
      <c r="O48" s="287">
        <f t="shared" si="20"/>
        <v>0</v>
      </c>
      <c r="P48" s="287">
        <f t="shared" si="34"/>
        <v>0</v>
      </c>
      <c r="Q48" s="287">
        <f t="shared" si="21"/>
        <v>0</v>
      </c>
      <c r="R48" s="287">
        <f t="shared" si="3"/>
        <v>0</v>
      </c>
      <c r="S48" s="287">
        <f t="shared" si="4"/>
        <v>0</v>
      </c>
      <c r="T48" s="287">
        <f t="shared" si="5"/>
        <v>0</v>
      </c>
      <c r="U48" s="287">
        <f t="shared" si="35"/>
        <v>0</v>
      </c>
      <c r="V48" s="287">
        <f t="shared" si="36"/>
        <v>0</v>
      </c>
      <c r="W48" s="287">
        <f t="shared" si="37"/>
        <v>230950</v>
      </c>
      <c r="X48" s="519">
        <f t="shared" si="22"/>
        <v>45399</v>
      </c>
      <c r="Y48" s="287">
        <f t="shared" si="38"/>
        <v>275948.79999999999</v>
      </c>
      <c r="Z48" s="511">
        <f t="shared" si="6"/>
        <v>3.3500000000000002E-2</v>
      </c>
      <c r="AA48" s="287">
        <f t="shared" si="7"/>
        <v>0</v>
      </c>
      <c r="AB48" s="287">
        <f t="shared" si="8"/>
        <v>0</v>
      </c>
      <c r="AC48" s="287">
        <f t="shared" si="9"/>
        <v>0</v>
      </c>
      <c r="AD48" s="287">
        <f t="shared" si="10"/>
        <v>0</v>
      </c>
      <c r="AE48" s="287">
        <f t="shared" si="11"/>
        <v>0</v>
      </c>
      <c r="AF48" s="287">
        <f t="shared" si="12"/>
        <v>0</v>
      </c>
      <c r="AG48" s="287">
        <f t="shared" si="39"/>
        <v>0</v>
      </c>
      <c r="AH48" s="287">
        <f t="shared" si="40"/>
        <v>0</v>
      </c>
      <c r="AI48" s="530">
        <f t="shared" si="23"/>
        <v>0</v>
      </c>
      <c r="AJ48" s="530">
        <f t="shared" si="13"/>
        <v>-44998.799999999988</v>
      </c>
      <c r="AK48" s="530"/>
      <c r="AL48" s="287">
        <f t="shared" si="41"/>
        <v>275948.79999999999</v>
      </c>
      <c r="AM48" s="428">
        <f t="shared" si="24"/>
        <v>0</v>
      </c>
      <c r="AN48" s="14">
        <f t="shared" si="14"/>
        <v>0</v>
      </c>
      <c r="AO48" s="14">
        <f t="shared" si="45"/>
        <v>101203.34999999999</v>
      </c>
      <c r="AP48" s="14">
        <f t="shared" si="15"/>
        <v>0</v>
      </c>
      <c r="AS48" s="14">
        <f t="shared" si="16"/>
        <v>0</v>
      </c>
      <c r="AT48" s="14">
        <f t="shared" si="26"/>
        <v>0</v>
      </c>
      <c r="AU48" s="287">
        <f t="shared" si="27"/>
        <v>859.19088437129551</v>
      </c>
      <c r="AV48" s="287">
        <f t="shared" si="28"/>
        <v>27666.456195759933</v>
      </c>
    </row>
    <row r="49" spans="1:50" hidden="1" x14ac:dyDescent="0.25">
      <c r="A49" s="519">
        <f t="shared" si="29"/>
        <v>45429</v>
      </c>
      <c r="B49" s="287">
        <f t="shared" si="17"/>
        <v>175211.84999999998</v>
      </c>
      <c r="C49" s="14">
        <f t="shared" si="0"/>
        <v>786.54</v>
      </c>
      <c r="D49" s="14">
        <f t="shared" si="30"/>
        <v>348.51</v>
      </c>
      <c r="E49" s="14">
        <f t="shared" si="1"/>
        <v>438.03</v>
      </c>
      <c r="I49" s="287">
        <f t="shared" si="42"/>
        <v>12161.06</v>
      </c>
      <c r="J49" s="287">
        <f t="shared" si="43"/>
        <v>15834.24</v>
      </c>
      <c r="K49" s="287">
        <f t="shared" si="44"/>
        <v>174863.33999999997</v>
      </c>
      <c r="L49" s="428">
        <f t="shared" si="2"/>
        <v>0</v>
      </c>
      <c r="M49" s="428">
        <f t="shared" si="18"/>
        <v>0</v>
      </c>
      <c r="N49" s="287">
        <f t="shared" si="19"/>
        <v>230950</v>
      </c>
      <c r="O49" s="287">
        <f t="shared" si="20"/>
        <v>0</v>
      </c>
      <c r="P49" s="287">
        <f t="shared" si="34"/>
        <v>0</v>
      </c>
      <c r="Q49" s="287">
        <f t="shared" si="21"/>
        <v>0</v>
      </c>
      <c r="R49" s="287">
        <f t="shared" si="3"/>
        <v>0</v>
      </c>
      <c r="S49" s="287">
        <f t="shared" si="4"/>
        <v>0</v>
      </c>
      <c r="T49" s="287">
        <f t="shared" si="5"/>
        <v>0</v>
      </c>
      <c r="U49" s="287">
        <f t="shared" si="35"/>
        <v>0</v>
      </c>
      <c r="V49" s="287">
        <f t="shared" si="36"/>
        <v>0</v>
      </c>
      <c r="W49" s="287">
        <f t="shared" si="37"/>
        <v>230950</v>
      </c>
      <c r="X49" s="519">
        <f t="shared" si="22"/>
        <v>45429</v>
      </c>
      <c r="Y49" s="287">
        <f t="shared" si="38"/>
        <v>275948.79999999999</v>
      </c>
      <c r="Z49" s="511">
        <f t="shared" si="6"/>
        <v>3.3500000000000002E-2</v>
      </c>
      <c r="AA49" s="287">
        <f t="shared" si="7"/>
        <v>0</v>
      </c>
      <c r="AB49" s="287">
        <f t="shared" si="8"/>
        <v>0</v>
      </c>
      <c r="AC49" s="287">
        <f t="shared" si="9"/>
        <v>0</v>
      </c>
      <c r="AD49" s="287">
        <f t="shared" si="10"/>
        <v>0</v>
      </c>
      <c r="AE49" s="287">
        <f t="shared" si="11"/>
        <v>0</v>
      </c>
      <c r="AF49" s="287">
        <f t="shared" si="12"/>
        <v>0</v>
      </c>
      <c r="AG49" s="287">
        <f t="shared" si="39"/>
        <v>0</v>
      </c>
      <c r="AH49" s="287">
        <f t="shared" si="40"/>
        <v>0</v>
      </c>
      <c r="AI49" s="530">
        <f t="shared" si="23"/>
        <v>0</v>
      </c>
      <c r="AJ49" s="530">
        <f t="shared" si="13"/>
        <v>-44998.799999999988</v>
      </c>
      <c r="AK49" s="530"/>
      <c r="AL49" s="287">
        <f t="shared" si="41"/>
        <v>275948.79999999999</v>
      </c>
      <c r="AM49" s="428">
        <f t="shared" si="24"/>
        <v>0</v>
      </c>
      <c r="AN49" s="14">
        <f t="shared" si="14"/>
        <v>0</v>
      </c>
      <c r="AO49" s="14">
        <f t="shared" si="45"/>
        <v>101551.85999999999</v>
      </c>
      <c r="AP49" s="14">
        <f t="shared" si="15"/>
        <v>0</v>
      </c>
      <c r="AS49" s="14">
        <f t="shared" si="16"/>
        <v>0</v>
      </c>
      <c r="AT49" s="14">
        <f t="shared" si="26"/>
        <v>0</v>
      </c>
      <c r="AU49" s="287">
        <f t="shared" si="27"/>
        <v>862.05485398586643</v>
      </c>
      <c r="AV49" s="287">
        <f t="shared" si="28"/>
        <v>28528.511049745801</v>
      </c>
    </row>
    <row r="50" spans="1:50" ht="15.75" hidden="1" thickBot="1" x14ac:dyDescent="0.3">
      <c r="A50" s="522">
        <f t="shared" si="29"/>
        <v>45459</v>
      </c>
      <c r="B50" s="348">
        <f t="shared" si="17"/>
        <v>174863.33999999997</v>
      </c>
      <c r="C50" s="21">
        <f t="shared" si="0"/>
        <v>786.54</v>
      </c>
      <c r="D50" s="21">
        <f t="shared" si="30"/>
        <v>349.37999999999994</v>
      </c>
      <c r="E50" s="21">
        <f t="shared" si="1"/>
        <v>437.16</v>
      </c>
      <c r="F50" s="21"/>
      <c r="G50" s="21"/>
      <c r="H50" s="21"/>
      <c r="I50" s="348">
        <f t="shared" si="42"/>
        <v>12510.439999999999</v>
      </c>
      <c r="J50" s="348">
        <f t="shared" si="43"/>
        <v>16271.4</v>
      </c>
      <c r="K50" s="348">
        <f t="shared" si="44"/>
        <v>174513.95999999996</v>
      </c>
      <c r="L50" s="429">
        <f t="shared" si="2"/>
        <v>0</v>
      </c>
      <c r="M50" s="429">
        <f t="shared" si="18"/>
        <v>0</v>
      </c>
      <c r="N50" s="348">
        <f t="shared" si="19"/>
        <v>230950</v>
      </c>
      <c r="O50" s="348">
        <f t="shared" si="20"/>
        <v>0</v>
      </c>
      <c r="P50" s="348">
        <f t="shared" si="34"/>
        <v>0</v>
      </c>
      <c r="Q50" s="348">
        <f t="shared" si="21"/>
        <v>0</v>
      </c>
      <c r="R50" s="348">
        <f t="shared" si="3"/>
        <v>0</v>
      </c>
      <c r="S50" s="348">
        <f t="shared" si="4"/>
        <v>0</v>
      </c>
      <c r="T50" s="348">
        <f t="shared" si="5"/>
        <v>0</v>
      </c>
      <c r="U50" s="348">
        <f t="shared" si="35"/>
        <v>0</v>
      </c>
      <c r="V50" s="348">
        <f t="shared" si="36"/>
        <v>0</v>
      </c>
      <c r="W50" s="348">
        <f t="shared" si="37"/>
        <v>230950</v>
      </c>
      <c r="X50" s="522">
        <f t="shared" si="22"/>
        <v>45459</v>
      </c>
      <c r="Y50" s="348">
        <f t="shared" si="38"/>
        <v>275948.79999999999</v>
      </c>
      <c r="Z50" s="512">
        <f t="shared" si="6"/>
        <v>3.3500000000000002E-2</v>
      </c>
      <c r="AA50" s="348">
        <f t="shared" si="7"/>
        <v>0</v>
      </c>
      <c r="AB50" s="348">
        <f t="shared" si="8"/>
        <v>0</v>
      </c>
      <c r="AC50" s="348">
        <f t="shared" si="9"/>
        <v>0</v>
      </c>
      <c r="AD50" s="348">
        <f t="shared" si="10"/>
        <v>0</v>
      </c>
      <c r="AE50" s="348">
        <f t="shared" si="11"/>
        <v>0</v>
      </c>
      <c r="AF50" s="348">
        <f t="shared" si="12"/>
        <v>0</v>
      </c>
      <c r="AG50" s="348">
        <f t="shared" si="39"/>
        <v>0</v>
      </c>
      <c r="AH50" s="348">
        <f t="shared" si="40"/>
        <v>0</v>
      </c>
      <c r="AI50" s="531">
        <f t="shared" si="23"/>
        <v>0</v>
      </c>
      <c r="AJ50" s="531">
        <f t="shared" si="13"/>
        <v>-44998.799999999988</v>
      </c>
      <c r="AK50" s="531"/>
      <c r="AL50" s="348">
        <f t="shared" si="41"/>
        <v>275948.79999999999</v>
      </c>
      <c r="AM50" s="429">
        <f t="shared" si="24"/>
        <v>0</v>
      </c>
      <c r="AN50" s="21">
        <f t="shared" si="14"/>
        <v>0</v>
      </c>
      <c r="AO50" s="21">
        <f t="shared" si="45"/>
        <v>101901.23999999999</v>
      </c>
      <c r="AP50" s="21">
        <f t="shared" si="15"/>
        <v>0</v>
      </c>
      <c r="AQ50" s="21"/>
      <c r="AR50" s="23"/>
      <c r="AS50" s="21">
        <f t="shared" si="16"/>
        <v>0</v>
      </c>
      <c r="AT50" s="21">
        <f t="shared" si="26"/>
        <v>0</v>
      </c>
      <c r="AU50" s="348">
        <f t="shared" si="27"/>
        <v>864.92837016581927</v>
      </c>
      <c r="AV50" s="348">
        <f t="shared" si="28"/>
        <v>29393.439419911621</v>
      </c>
    </row>
    <row r="51" spans="1:50" hidden="1" x14ac:dyDescent="0.25">
      <c r="A51" s="519">
        <f t="shared" si="29"/>
        <v>45489</v>
      </c>
      <c r="B51" s="287">
        <f t="shared" si="17"/>
        <v>174513.95999999996</v>
      </c>
      <c r="C51" s="14">
        <f t="shared" si="0"/>
        <v>786.54</v>
      </c>
      <c r="D51" s="14">
        <f t="shared" si="30"/>
        <v>350.26</v>
      </c>
      <c r="E51" s="14">
        <f t="shared" si="1"/>
        <v>436.28</v>
      </c>
      <c r="I51" s="287">
        <f t="shared" si="42"/>
        <v>12860.699999999999</v>
      </c>
      <c r="J51" s="287">
        <f t="shared" si="43"/>
        <v>16707.68</v>
      </c>
      <c r="K51" s="287">
        <f t="shared" si="44"/>
        <v>174163.69999999995</v>
      </c>
      <c r="L51" s="428">
        <f t="shared" si="2"/>
        <v>0</v>
      </c>
      <c r="M51" s="428">
        <f t="shared" si="18"/>
        <v>0</v>
      </c>
      <c r="N51" s="287">
        <f t="shared" si="19"/>
        <v>230950</v>
      </c>
      <c r="O51" s="287">
        <f t="shared" si="20"/>
        <v>0</v>
      </c>
      <c r="P51" s="287">
        <f t="shared" si="34"/>
        <v>0</v>
      </c>
      <c r="Q51" s="287">
        <f t="shared" si="21"/>
        <v>0</v>
      </c>
      <c r="R51" s="287">
        <f t="shared" si="3"/>
        <v>0</v>
      </c>
      <c r="S51" s="287">
        <f t="shared" si="4"/>
        <v>0</v>
      </c>
      <c r="T51" s="287">
        <f t="shared" si="5"/>
        <v>0</v>
      </c>
      <c r="U51" s="287">
        <f t="shared" si="35"/>
        <v>0</v>
      </c>
      <c r="V51" s="287">
        <f t="shared" si="36"/>
        <v>0</v>
      </c>
      <c r="W51" s="287">
        <f t="shared" si="37"/>
        <v>230950</v>
      </c>
      <c r="X51" s="519">
        <f t="shared" si="22"/>
        <v>45489</v>
      </c>
      <c r="Y51" s="287">
        <f t="shared" si="38"/>
        <v>275948.79999999999</v>
      </c>
      <c r="Z51" s="511">
        <f t="shared" si="6"/>
        <v>3.3500000000000002E-2</v>
      </c>
      <c r="AA51" s="287">
        <f t="shared" si="7"/>
        <v>0</v>
      </c>
      <c r="AB51" s="287">
        <f t="shared" si="8"/>
        <v>0</v>
      </c>
      <c r="AC51" s="287">
        <f t="shared" si="9"/>
        <v>0</v>
      </c>
      <c r="AD51" s="287">
        <f t="shared" si="10"/>
        <v>0</v>
      </c>
      <c r="AE51" s="287">
        <f t="shared" si="11"/>
        <v>0</v>
      </c>
      <c r="AF51" s="287">
        <f t="shared" si="12"/>
        <v>0</v>
      </c>
      <c r="AG51" s="287">
        <f t="shared" si="39"/>
        <v>0</v>
      </c>
      <c r="AH51" s="287">
        <f t="shared" si="40"/>
        <v>0</v>
      </c>
      <c r="AI51" s="530">
        <f t="shared" si="23"/>
        <v>0</v>
      </c>
      <c r="AJ51" s="530">
        <f t="shared" si="13"/>
        <v>-44998.799999999988</v>
      </c>
      <c r="AK51" s="530"/>
      <c r="AL51" s="287">
        <f t="shared" si="41"/>
        <v>275948.79999999999</v>
      </c>
      <c r="AM51" s="428">
        <f t="shared" si="24"/>
        <v>0</v>
      </c>
      <c r="AN51" s="14">
        <f t="shared" si="14"/>
        <v>0</v>
      </c>
      <c r="AO51" s="14">
        <f t="shared" si="45"/>
        <v>102251.49999999999</v>
      </c>
      <c r="AP51" s="14">
        <f t="shared" si="15"/>
        <v>0</v>
      </c>
      <c r="AS51" s="14">
        <f t="shared" si="16"/>
        <v>0</v>
      </c>
      <c r="AT51" s="14">
        <f t="shared" si="26"/>
        <v>0</v>
      </c>
      <c r="AU51" s="287">
        <f t="shared" si="27"/>
        <v>867.81146473303886</v>
      </c>
      <c r="AV51" s="287">
        <f t="shared" si="28"/>
        <v>30261.250884644662</v>
      </c>
    </row>
    <row r="52" spans="1:50" hidden="1" x14ac:dyDescent="0.25">
      <c r="A52" s="519">
        <f t="shared" si="29"/>
        <v>45519</v>
      </c>
      <c r="B52" s="287">
        <f t="shared" si="17"/>
        <v>174163.69999999995</v>
      </c>
      <c r="C52" s="14">
        <f t="shared" si="0"/>
        <v>786.54</v>
      </c>
      <c r="D52" s="14">
        <f t="shared" si="30"/>
        <v>351.12999999999994</v>
      </c>
      <c r="E52" s="14">
        <f t="shared" si="1"/>
        <v>435.41</v>
      </c>
      <c r="I52" s="287">
        <f t="shared" si="42"/>
        <v>13211.829999999998</v>
      </c>
      <c r="J52" s="287">
        <f t="shared" si="43"/>
        <v>17143.09</v>
      </c>
      <c r="K52" s="287">
        <f t="shared" si="44"/>
        <v>173812.56999999995</v>
      </c>
      <c r="L52" s="428">
        <f t="shared" si="2"/>
        <v>0</v>
      </c>
      <c r="M52" s="428">
        <f t="shared" si="18"/>
        <v>0</v>
      </c>
      <c r="N52" s="287">
        <f t="shared" si="19"/>
        <v>230950</v>
      </c>
      <c r="O52" s="287">
        <f t="shared" si="20"/>
        <v>0</v>
      </c>
      <c r="P52" s="287">
        <f t="shared" si="34"/>
        <v>0</v>
      </c>
      <c r="Q52" s="287">
        <f t="shared" si="21"/>
        <v>0</v>
      </c>
      <c r="R52" s="287">
        <f t="shared" si="3"/>
        <v>0</v>
      </c>
      <c r="S52" s="287">
        <f t="shared" si="4"/>
        <v>0</v>
      </c>
      <c r="T52" s="287">
        <f t="shared" si="5"/>
        <v>0</v>
      </c>
      <c r="U52" s="287">
        <f t="shared" si="35"/>
        <v>0</v>
      </c>
      <c r="V52" s="287">
        <f t="shared" si="36"/>
        <v>0</v>
      </c>
      <c r="W52" s="287">
        <f t="shared" si="37"/>
        <v>230950</v>
      </c>
      <c r="X52" s="519">
        <f t="shared" si="22"/>
        <v>45519</v>
      </c>
      <c r="Y52" s="287">
        <f t="shared" si="38"/>
        <v>275948.79999999999</v>
      </c>
      <c r="Z52" s="511">
        <f t="shared" si="6"/>
        <v>3.3500000000000002E-2</v>
      </c>
      <c r="AA52" s="287">
        <f t="shared" si="7"/>
        <v>0</v>
      </c>
      <c r="AB52" s="287">
        <f t="shared" si="8"/>
        <v>0</v>
      </c>
      <c r="AC52" s="287">
        <f t="shared" si="9"/>
        <v>0</v>
      </c>
      <c r="AD52" s="287">
        <f t="shared" si="10"/>
        <v>0</v>
      </c>
      <c r="AE52" s="287">
        <f t="shared" si="11"/>
        <v>0</v>
      </c>
      <c r="AF52" s="287">
        <f t="shared" si="12"/>
        <v>0</v>
      </c>
      <c r="AG52" s="287">
        <f t="shared" si="39"/>
        <v>0</v>
      </c>
      <c r="AH52" s="287">
        <f t="shared" si="40"/>
        <v>0</v>
      </c>
      <c r="AI52" s="530">
        <f t="shared" si="23"/>
        <v>0</v>
      </c>
      <c r="AJ52" s="530">
        <f t="shared" si="13"/>
        <v>-44998.799999999988</v>
      </c>
      <c r="AK52" s="530"/>
      <c r="AL52" s="287">
        <f t="shared" si="41"/>
        <v>275948.79999999999</v>
      </c>
      <c r="AM52" s="428">
        <f t="shared" si="24"/>
        <v>0</v>
      </c>
      <c r="AN52" s="14">
        <f t="shared" si="14"/>
        <v>0</v>
      </c>
      <c r="AO52" s="14">
        <f t="shared" si="45"/>
        <v>102602.62999999999</v>
      </c>
      <c r="AP52" s="14">
        <f t="shared" si="15"/>
        <v>0</v>
      </c>
      <c r="AS52" s="14">
        <f t="shared" si="16"/>
        <v>0</v>
      </c>
      <c r="AT52" s="14">
        <f t="shared" si="26"/>
        <v>0</v>
      </c>
      <c r="AU52" s="287">
        <f t="shared" si="27"/>
        <v>870.7041696154821</v>
      </c>
      <c r="AV52" s="287">
        <f t="shared" si="28"/>
        <v>31131.955054260143</v>
      </c>
    </row>
    <row r="53" spans="1:50" hidden="1" x14ac:dyDescent="0.25">
      <c r="A53" s="519">
        <f t="shared" si="29"/>
        <v>45549</v>
      </c>
      <c r="B53" s="287">
        <f t="shared" si="17"/>
        <v>173812.56999999995</v>
      </c>
      <c r="C53" s="14">
        <f t="shared" si="0"/>
        <v>786.54</v>
      </c>
      <c r="D53" s="14">
        <f t="shared" si="30"/>
        <v>352.01</v>
      </c>
      <c r="E53" s="14">
        <f t="shared" si="1"/>
        <v>434.53</v>
      </c>
      <c r="I53" s="287">
        <f t="shared" si="42"/>
        <v>13563.839999999998</v>
      </c>
      <c r="J53" s="287">
        <f t="shared" si="43"/>
        <v>17577.62</v>
      </c>
      <c r="K53" s="287">
        <f t="shared" si="44"/>
        <v>173460.55999999994</v>
      </c>
      <c r="L53" s="428">
        <f t="shared" si="2"/>
        <v>0</v>
      </c>
      <c r="M53" s="428">
        <f t="shared" si="18"/>
        <v>0</v>
      </c>
      <c r="N53" s="287">
        <f t="shared" si="19"/>
        <v>230950</v>
      </c>
      <c r="O53" s="287">
        <f t="shared" si="20"/>
        <v>0</v>
      </c>
      <c r="P53" s="287">
        <f t="shared" si="34"/>
        <v>0</v>
      </c>
      <c r="Q53" s="287">
        <f t="shared" si="21"/>
        <v>0</v>
      </c>
      <c r="R53" s="287">
        <f t="shared" si="3"/>
        <v>0</v>
      </c>
      <c r="S53" s="287">
        <f t="shared" si="4"/>
        <v>0</v>
      </c>
      <c r="T53" s="287">
        <f t="shared" si="5"/>
        <v>0</v>
      </c>
      <c r="U53" s="287">
        <f t="shared" si="35"/>
        <v>0</v>
      </c>
      <c r="V53" s="287">
        <f t="shared" si="36"/>
        <v>0</v>
      </c>
      <c r="W53" s="287">
        <f t="shared" si="37"/>
        <v>230950</v>
      </c>
      <c r="X53" s="519">
        <f t="shared" si="22"/>
        <v>45549</v>
      </c>
      <c r="Y53" s="287">
        <f t="shared" si="38"/>
        <v>275948.79999999999</v>
      </c>
      <c r="Z53" s="511">
        <f t="shared" si="6"/>
        <v>3.3500000000000002E-2</v>
      </c>
      <c r="AA53" s="287">
        <f t="shared" si="7"/>
        <v>0</v>
      </c>
      <c r="AB53" s="287">
        <f t="shared" si="8"/>
        <v>0</v>
      </c>
      <c r="AC53" s="287">
        <f t="shared" si="9"/>
        <v>0</v>
      </c>
      <c r="AD53" s="287">
        <f t="shared" si="10"/>
        <v>0</v>
      </c>
      <c r="AE53" s="287">
        <f t="shared" si="11"/>
        <v>0</v>
      </c>
      <c r="AF53" s="287">
        <f t="shared" si="12"/>
        <v>0</v>
      </c>
      <c r="AG53" s="287">
        <f t="shared" si="39"/>
        <v>0</v>
      </c>
      <c r="AH53" s="287">
        <f t="shared" si="40"/>
        <v>0</v>
      </c>
      <c r="AI53" s="530">
        <f t="shared" si="23"/>
        <v>0</v>
      </c>
      <c r="AJ53" s="530">
        <f t="shared" si="13"/>
        <v>-44998.799999999988</v>
      </c>
      <c r="AK53" s="530"/>
      <c r="AL53" s="287">
        <f t="shared" si="41"/>
        <v>275948.79999999999</v>
      </c>
      <c r="AM53" s="428">
        <f t="shared" si="24"/>
        <v>0</v>
      </c>
      <c r="AN53" s="14">
        <f t="shared" si="14"/>
        <v>0</v>
      </c>
      <c r="AO53" s="14">
        <f t="shared" si="45"/>
        <v>102954.63999999998</v>
      </c>
      <c r="AP53" s="14">
        <f t="shared" si="15"/>
        <v>0</v>
      </c>
      <c r="AS53" s="14">
        <f t="shared" si="16"/>
        <v>0</v>
      </c>
      <c r="AT53" s="14">
        <f t="shared" si="26"/>
        <v>0</v>
      </c>
      <c r="AU53" s="287">
        <f t="shared" si="27"/>
        <v>873.60651684753384</v>
      </c>
      <c r="AV53" s="287">
        <f t="shared" si="28"/>
        <v>32005.561571107675</v>
      </c>
    </row>
    <row r="54" spans="1:50" hidden="1" x14ac:dyDescent="0.25">
      <c r="A54" s="519">
        <f t="shared" si="29"/>
        <v>45579</v>
      </c>
      <c r="B54" s="287">
        <f t="shared" si="17"/>
        <v>173460.55999999994</v>
      </c>
      <c r="C54" s="14">
        <f t="shared" si="0"/>
        <v>786.54</v>
      </c>
      <c r="D54" s="14">
        <f t="shared" si="30"/>
        <v>352.89</v>
      </c>
      <c r="E54" s="14">
        <f t="shared" si="1"/>
        <v>433.65</v>
      </c>
      <c r="I54" s="287">
        <f t="shared" si="42"/>
        <v>13916.729999999998</v>
      </c>
      <c r="J54" s="287">
        <f t="shared" si="43"/>
        <v>18011.27</v>
      </c>
      <c r="K54" s="287">
        <f t="shared" si="44"/>
        <v>173107.66999999993</v>
      </c>
      <c r="L54" s="428">
        <f t="shared" si="2"/>
        <v>0</v>
      </c>
      <c r="M54" s="428">
        <f t="shared" si="18"/>
        <v>0</v>
      </c>
      <c r="N54" s="287">
        <f t="shared" si="19"/>
        <v>230950</v>
      </c>
      <c r="O54" s="287">
        <f t="shared" si="20"/>
        <v>0</v>
      </c>
      <c r="P54" s="287">
        <f t="shared" si="34"/>
        <v>0</v>
      </c>
      <c r="Q54" s="287">
        <f t="shared" si="21"/>
        <v>0</v>
      </c>
      <c r="R54" s="287">
        <f t="shared" si="3"/>
        <v>0</v>
      </c>
      <c r="S54" s="287">
        <f t="shared" si="4"/>
        <v>0</v>
      </c>
      <c r="T54" s="287">
        <f t="shared" si="5"/>
        <v>0</v>
      </c>
      <c r="U54" s="287">
        <f t="shared" si="35"/>
        <v>0</v>
      </c>
      <c r="V54" s="287">
        <f t="shared" si="36"/>
        <v>0</v>
      </c>
      <c r="W54" s="287">
        <f t="shared" si="37"/>
        <v>230950</v>
      </c>
      <c r="X54" s="519">
        <f t="shared" si="22"/>
        <v>45579</v>
      </c>
      <c r="Y54" s="287">
        <f t="shared" si="38"/>
        <v>275948.79999999999</v>
      </c>
      <c r="Z54" s="511">
        <f t="shared" si="6"/>
        <v>3.3500000000000002E-2</v>
      </c>
      <c r="AA54" s="287">
        <f t="shared" si="7"/>
        <v>0</v>
      </c>
      <c r="AB54" s="287">
        <f t="shared" si="8"/>
        <v>0</v>
      </c>
      <c r="AC54" s="287">
        <f t="shared" si="9"/>
        <v>0</v>
      </c>
      <c r="AD54" s="287">
        <f t="shared" si="10"/>
        <v>0</v>
      </c>
      <c r="AE54" s="287">
        <f t="shared" si="11"/>
        <v>0</v>
      </c>
      <c r="AF54" s="287">
        <f t="shared" si="12"/>
        <v>0</v>
      </c>
      <c r="AG54" s="287">
        <f t="shared" si="39"/>
        <v>0</v>
      </c>
      <c r="AH54" s="287">
        <f t="shared" si="40"/>
        <v>0</v>
      </c>
      <c r="AI54" s="530">
        <f t="shared" si="23"/>
        <v>0</v>
      </c>
      <c r="AJ54" s="530">
        <f t="shared" si="13"/>
        <v>-44998.799999999988</v>
      </c>
      <c r="AK54" s="530"/>
      <c r="AL54" s="287">
        <f t="shared" si="41"/>
        <v>275948.79999999999</v>
      </c>
      <c r="AM54" s="428">
        <f t="shared" si="24"/>
        <v>0</v>
      </c>
      <c r="AN54" s="14">
        <f t="shared" si="14"/>
        <v>0</v>
      </c>
      <c r="AO54" s="14">
        <f t="shared" si="45"/>
        <v>103307.52999999998</v>
      </c>
      <c r="AP54" s="14">
        <f t="shared" si="15"/>
        <v>0</v>
      </c>
      <c r="AS54" s="14">
        <f t="shared" si="16"/>
        <v>0</v>
      </c>
      <c r="AT54" s="14">
        <f t="shared" si="26"/>
        <v>0</v>
      </c>
      <c r="AU54" s="287">
        <f t="shared" si="27"/>
        <v>876.51853857035883</v>
      </c>
      <c r="AV54" s="287">
        <f t="shared" si="28"/>
        <v>32882.080109678034</v>
      </c>
    </row>
    <row r="55" spans="1:50" hidden="1" x14ac:dyDescent="0.25">
      <c r="A55" s="519">
        <f t="shared" si="29"/>
        <v>45609</v>
      </c>
      <c r="B55" s="287">
        <f t="shared" si="17"/>
        <v>173107.66999999993</v>
      </c>
      <c r="C55" s="14">
        <f t="shared" si="0"/>
        <v>786.54</v>
      </c>
      <c r="D55" s="14">
        <f t="shared" si="30"/>
        <v>353.77</v>
      </c>
      <c r="E55" s="14">
        <f t="shared" si="1"/>
        <v>432.77</v>
      </c>
      <c r="I55" s="287">
        <f t="shared" si="42"/>
        <v>14270.499999999998</v>
      </c>
      <c r="J55" s="287">
        <f t="shared" si="43"/>
        <v>18444.04</v>
      </c>
      <c r="K55" s="287">
        <f t="shared" si="44"/>
        <v>172753.89999999994</v>
      </c>
      <c r="L55" s="428">
        <f t="shared" si="2"/>
        <v>0</v>
      </c>
      <c r="M55" s="428">
        <f t="shared" si="18"/>
        <v>0</v>
      </c>
      <c r="N55" s="287">
        <f t="shared" si="19"/>
        <v>230950</v>
      </c>
      <c r="O55" s="287">
        <f t="shared" si="20"/>
        <v>0</v>
      </c>
      <c r="P55" s="287">
        <f t="shared" si="34"/>
        <v>0</v>
      </c>
      <c r="Q55" s="287">
        <f t="shared" si="21"/>
        <v>0</v>
      </c>
      <c r="R55" s="287">
        <f t="shared" si="3"/>
        <v>0</v>
      </c>
      <c r="S55" s="287">
        <f t="shared" si="4"/>
        <v>0</v>
      </c>
      <c r="T55" s="287">
        <f t="shared" si="5"/>
        <v>0</v>
      </c>
      <c r="U55" s="287">
        <f t="shared" si="35"/>
        <v>0</v>
      </c>
      <c r="V55" s="287">
        <f t="shared" si="36"/>
        <v>0</v>
      </c>
      <c r="W55" s="287">
        <f t="shared" si="37"/>
        <v>230950</v>
      </c>
      <c r="X55" s="519">
        <f t="shared" si="22"/>
        <v>45609</v>
      </c>
      <c r="Y55" s="287">
        <f t="shared" si="38"/>
        <v>275948.79999999999</v>
      </c>
      <c r="Z55" s="511">
        <f t="shared" si="6"/>
        <v>3.3500000000000002E-2</v>
      </c>
      <c r="AA55" s="287">
        <f t="shared" si="7"/>
        <v>0</v>
      </c>
      <c r="AB55" s="287">
        <f t="shared" si="8"/>
        <v>0</v>
      </c>
      <c r="AC55" s="287">
        <f t="shared" si="9"/>
        <v>0</v>
      </c>
      <c r="AD55" s="287">
        <f t="shared" si="10"/>
        <v>0</v>
      </c>
      <c r="AE55" s="287">
        <f t="shared" si="11"/>
        <v>0</v>
      </c>
      <c r="AF55" s="287">
        <f t="shared" si="12"/>
        <v>0</v>
      </c>
      <c r="AG55" s="287">
        <f t="shared" si="39"/>
        <v>0</v>
      </c>
      <c r="AH55" s="287">
        <f t="shared" si="40"/>
        <v>0</v>
      </c>
      <c r="AI55" s="530">
        <f t="shared" si="23"/>
        <v>0</v>
      </c>
      <c r="AJ55" s="530">
        <f t="shared" si="13"/>
        <v>-44998.799999999988</v>
      </c>
      <c r="AK55" s="530"/>
      <c r="AL55" s="287">
        <f t="shared" si="41"/>
        <v>275948.79999999999</v>
      </c>
      <c r="AM55" s="428">
        <f t="shared" si="24"/>
        <v>0</v>
      </c>
      <c r="AN55" s="14">
        <f t="shared" si="14"/>
        <v>0</v>
      </c>
      <c r="AO55" s="14">
        <f t="shared" si="45"/>
        <v>103661.29999999999</v>
      </c>
      <c r="AP55" s="14">
        <f t="shared" si="15"/>
        <v>0</v>
      </c>
      <c r="AS55" s="14">
        <f t="shared" si="16"/>
        <v>0</v>
      </c>
      <c r="AT55" s="14">
        <f t="shared" si="26"/>
        <v>0</v>
      </c>
      <c r="AU55" s="287">
        <f t="shared" si="27"/>
        <v>879.44026703226018</v>
      </c>
      <c r="AV55" s="287">
        <f t="shared" si="28"/>
        <v>33761.520376710294</v>
      </c>
    </row>
    <row r="56" spans="1:50" hidden="1" x14ac:dyDescent="0.25">
      <c r="A56" s="519">
        <f t="shared" si="29"/>
        <v>45639</v>
      </c>
      <c r="B56" s="287">
        <f t="shared" si="17"/>
        <v>172753.89999999994</v>
      </c>
      <c r="C56" s="14">
        <f t="shared" si="0"/>
        <v>786.54</v>
      </c>
      <c r="D56" s="14">
        <f t="shared" si="30"/>
        <v>354.65999999999997</v>
      </c>
      <c r="E56" s="14">
        <f t="shared" si="1"/>
        <v>431.88</v>
      </c>
      <c r="I56" s="287">
        <f t="shared" si="42"/>
        <v>14625.159999999998</v>
      </c>
      <c r="J56" s="287">
        <f t="shared" si="43"/>
        <v>18875.920000000002</v>
      </c>
      <c r="K56" s="287">
        <f t="shared" si="44"/>
        <v>172399.23999999993</v>
      </c>
      <c r="L56" s="428">
        <f t="shared" si="2"/>
        <v>0</v>
      </c>
      <c r="M56" s="428">
        <f t="shared" si="18"/>
        <v>0</v>
      </c>
      <c r="N56" s="287">
        <f t="shared" si="19"/>
        <v>230950</v>
      </c>
      <c r="O56" s="287">
        <f t="shared" si="20"/>
        <v>0</v>
      </c>
      <c r="P56" s="287">
        <f t="shared" si="34"/>
        <v>0</v>
      </c>
      <c r="Q56" s="287">
        <f t="shared" si="21"/>
        <v>0</v>
      </c>
      <c r="R56" s="287">
        <f t="shared" si="3"/>
        <v>0</v>
      </c>
      <c r="S56" s="287">
        <f t="shared" si="4"/>
        <v>0</v>
      </c>
      <c r="T56" s="287">
        <f t="shared" si="5"/>
        <v>0</v>
      </c>
      <c r="U56" s="287">
        <f t="shared" si="35"/>
        <v>0</v>
      </c>
      <c r="V56" s="287">
        <f t="shared" si="36"/>
        <v>0</v>
      </c>
      <c r="W56" s="287">
        <f t="shared" si="37"/>
        <v>230950</v>
      </c>
      <c r="X56" s="519">
        <f t="shared" si="22"/>
        <v>45639</v>
      </c>
      <c r="Y56" s="287">
        <f t="shared" si="38"/>
        <v>275948.79999999999</v>
      </c>
      <c r="Z56" s="511">
        <f t="shared" si="6"/>
        <v>3.3500000000000002E-2</v>
      </c>
      <c r="AA56" s="287">
        <f t="shared" si="7"/>
        <v>0</v>
      </c>
      <c r="AB56" s="287">
        <f t="shared" si="8"/>
        <v>0</v>
      </c>
      <c r="AC56" s="287">
        <f t="shared" si="9"/>
        <v>0</v>
      </c>
      <c r="AD56" s="287">
        <f t="shared" si="10"/>
        <v>0</v>
      </c>
      <c r="AE56" s="287">
        <f t="shared" si="11"/>
        <v>0</v>
      </c>
      <c r="AF56" s="287">
        <f t="shared" si="12"/>
        <v>0</v>
      </c>
      <c r="AG56" s="287">
        <f t="shared" si="39"/>
        <v>0</v>
      </c>
      <c r="AH56" s="287">
        <f t="shared" si="40"/>
        <v>0</v>
      </c>
      <c r="AI56" s="530">
        <f t="shared" si="23"/>
        <v>0</v>
      </c>
      <c r="AJ56" s="530">
        <f t="shared" si="13"/>
        <v>-44998.799999999988</v>
      </c>
      <c r="AK56" s="530"/>
      <c r="AL56" s="287">
        <f t="shared" si="41"/>
        <v>275948.79999999999</v>
      </c>
      <c r="AM56" s="428">
        <f t="shared" si="24"/>
        <v>0</v>
      </c>
      <c r="AN56" s="14">
        <f t="shared" si="14"/>
        <v>0</v>
      </c>
      <c r="AO56" s="14">
        <f t="shared" si="45"/>
        <v>104015.95999999999</v>
      </c>
      <c r="AP56" s="14">
        <f t="shared" si="15"/>
        <v>0</v>
      </c>
      <c r="AS56" s="14">
        <f t="shared" si="16"/>
        <v>0</v>
      </c>
      <c r="AT56" s="14">
        <f t="shared" si="26"/>
        <v>0</v>
      </c>
      <c r="AU56" s="287">
        <f t="shared" si="27"/>
        <v>882.37173458903419</v>
      </c>
      <c r="AV56" s="287">
        <f t="shared" si="28"/>
        <v>34643.892111299327</v>
      </c>
    </row>
    <row r="57" spans="1:50" hidden="1" x14ac:dyDescent="0.25">
      <c r="A57" s="519">
        <f t="shared" si="29"/>
        <v>45669</v>
      </c>
      <c r="B57" s="287">
        <f t="shared" si="17"/>
        <v>172399.23999999993</v>
      </c>
      <c r="C57" s="14">
        <f t="shared" si="0"/>
        <v>786.54</v>
      </c>
      <c r="D57" s="14">
        <f t="shared" si="30"/>
        <v>355.53999999999996</v>
      </c>
      <c r="E57" s="14">
        <f t="shared" si="1"/>
        <v>431</v>
      </c>
      <c r="F57" s="14">
        <f>IF(C57=0,0,$T$8)</f>
        <v>134.16999999999999</v>
      </c>
      <c r="G57" s="14">
        <f>IF(D57=0,0,$T$9)</f>
        <v>188.55</v>
      </c>
      <c r="H57" s="14">
        <f>SUM(D57:G57)</f>
        <v>1109.26</v>
      </c>
      <c r="I57" s="287">
        <f t="shared" si="42"/>
        <v>14980.699999999997</v>
      </c>
      <c r="J57" s="287">
        <f t="shared" si="43"/>
        <v>19306.920000000002</v>
      </c>
      <c r="K57" s="287">
        <f t="shared" si="44"/>
        <v>172043.69999999992</v>
      </c>
      <c r="L57" s="428">
        <f t="shared" si="2"/>
        <v>0</v>
      </c>
      <c r="M57" s="428">
        <f t="shared" si="18"/>
        <v>0</v>
      </c>
      <c r="N57" s="287">
        <f t="shared" si="19"/>
        <v>230950</v>
      </c>
      <c r="O57" s="287">
        <f t="shared" si="20"/>
        <v>0</v>
      </c>
      <c r="P57" s="287">
        <f t="shared" si="34"/>
        <v>0</v>
      </c>
      <c r="Q57" s="287">
        <f t="shared" si="21"/>
        <v>0</v>
      </c>
      <c r="R57" s="287">
        <f t="shared" si="3"/>
        <v>0</v>
      </c>
      <c r="S57" s="287">
        <f t="shared" si="4"/>
        <v>0</v>
      </c>
      <c r="T57" s="287">
        <f t="shared" si="5"/>
        <v>0</v>
      </c>
      <c r="U57" s="287">
        <f t="shared" si="35"/>
        <v>0</v>
      </c>
      <c r="V57" s="287">
        <f t="shared" si="36"/>
        <v>0</v>
      </c>
      <c r="W57" s="287">
        <f t="shared" si="37"/>
        <v>230950</v>
      </c>
      <c r="X57" s="519">
        <f t="shared" si="22"/>
        <v>45669</v>
      </c>
      <c r="Y57" s="287">
        <f t="shared" si="38"/>
        <v>275948.79999999999</v>
      </c>
      <c r="Z57" s="511">
        <f t="shared" si="6"/>
        <v>3.3500000000000002E-2</v>
      </c>
      <c r="AA57" s="287">
        <f t="shared" si="7"/>
        <v>0</v>
      </c>
      <c r="AB57" s="287">
        <f t="shared" si="8"/>
        <v>0</v>
      </c>
      <c r="AC57" s="287">
        <f t="shared" si="9"/>
        <v>0</v>
      </c>
      <c r="AD57" s="287">
        <f t="shared" si="10"/>
        <v>0</v>
      </c>
      <c r="AE57" s="287">
        <f t="shared" si="11"/>
        <v>0</v>
      </c>
      <c r="AF57" s="287">
        <f t="shared" si="12"/>
        <v>0</v>
      </c>
      <c r="AG57" s="287">
        <f t="shared" si="39"/>
        <v>0</v>
      </c>
      <c r="AH57" s="287">
        <f t="shared" si="40"/>
        <v>0</v>
      </c>
      <c r="AI57" s="530">
        <f t="shared" si="23"/>
        <v>0</v>
      </c>
      <c r="AJ57" s="530">
        <f t="shared" si="13"/>
        <v>-44998.799999999988</v>
      </c>
      <c r="AK57" s="530"/>
      <c r="AL57" s="287">
        <f t="shared" si="41"/>
        <v>275948.79999999999</v>
      </c>
      <c r="AM57" s="428">
        <f t="shared" si="24"/>
        <v>0</v>
      </c>
      <c r="AN57" s="14">
        <f t="shared" si="14"/>
        <v>0</v>
      </c>
      <c r="AO57" s="14">
        <f t="shared" si="45"/>
        <v>104371.49999999999</v>
      </c>
      <c r="AP57" s="14">
        <f t="shared" si="15"/>
        <v>0</v>
      </c>
      <c r="AS57" s="14">
        <f t="shared" si="16"/>
        <v>0</v>
      </c>
      <c r="AT57" s="14">
        <f t="shared" si="26"/>
        <v>0</v>
      </c>
      <c r="AU57" s="287">
        <f t="shared" si="27"/>
        <v>885.31297370433106</v>
      </c>
      <c r="AV57" s="287">
        <f t="shared" si="28"/>
        <v>35529.205085003661</v>
      </c>
    </row>
    <row r="58" spans="1:50" x14ac:dyDescent="0.25">
      <c r="A58" s="519">
        <f t="shared" si="29"/>
        <v>45699</v>
      </c>
      <c r="B58" s="287">
        <f t="shared" si="17"/>
        <v>172043.69999999992</v>
      </c>
      <c r="C58" s="14">
        <f t="shared" si="0"/>
        <v>786.54</v>
      </c>
      <c r="D58" s="14">
        <f t="shared" si="30"/>
        <v>356.42999999999995</v>
      </c>
      <c r="E58" s="14">
        <f t="shared" si="1"/>
        <v>430.11</v>
      </c>
      <c r="F58" s="14">
        <f t="shared" ref="F58:F122" si="46">+F57</f>
        <v>134.16999999999999</v>
      </c>
      <c r="G58" s="14">
        <f t="shared" ref="G58:G121" si="47">+G57</f>
        <v>188.55</v>
      </c>
      <c r="H58" s="14">
        <f>+H57</f>
        <v>1109.26</v>
      </c>
      <c r="I58" s="287">
        <f t="shared" si="42"/>
        <v>15337.129999999997</v>
      </c>
      <c r="J58" s="287">
        <f t="shared" si="43"/>
        <v>19737.030000000002</v>
      </c>
      <c r="K58" s="287">
        <f t="shared" si="44"/>
        <v>171687.26999999993</v>
      </c>
      <c r="L58" s="428">
        <f t="shared" si="2"/>
        <v>0</v>
      </c>
      <c r="M58" s="428">
        <f t="shared" si="18"/>
        <v>0</v>
      </c>
      <c r="N58" s="287">
        <f t="shared" si="19"/>
        <v>230950</v>
      </c>
      <c r="O58" s="287">
        <f>IF($O$9&lt;=$A58,IF(+$W57&lt;=0,0,$O$8),0)</f>
        <v>0</v>
      </c>
      <c r="P58" s="287">
        <f t="shared" si="34"/>
        <v>0</v>
      </c>
      <c r="Q58" s="287">
        <f t="shared" si="21"/>
        <v>0</v>
      </c>
      <c r="R58" s="287">
        <f t="shared" si="3"/>
        <v>0</v>
      </c>
      <c r="S58" s="287">
        <f t="shared" si="4"/>
        <v>0</v>
      </c>
      <c r="T58" s="287">
        <f>SUM(P58:S58)</f>
        <v>0</v>
      </c>
      <c r="U58" s="287">
        <f t="shared" si="35"/>
        <v>0</v>
      </c>
      <c r="V58" s="287">
        <f t="shared" si="36"/>
        <v>0</v>
      </c>
      <c r="W58" s="287">
        <f t="shared" si="37"/>
        <v>230950</v>
      </c>
      <c r="X58" s="519">
        <f t="shared" si="22"/>
        <v>45699</v>
      </c>
      <c r="Y58" s="287">
        <f t="shared" si="38"/>
        <v>275948.79999999999</v>
      </c>
      <c r="Z58" s="511">
        <f t="shared" si="6"/>
        <v>3.3500000000000002E-2</v>
      </c>
      <c r="AA58" s="287">
        <f t="shared" si="7"/>
        <v>0</v>
      </c>
      <c r="AB58" s="287">
        <f t="shared" si="8"/>
        <v>0</v>
      </c>
      <c r="AC58" s="287">
        <f t="shared" si="9"/>
        <v>0</v>
      </c>
      <c r="AD58" s="287">
        <f t="shared" si="10"/>
        <v>0</v>
      </c>
      <c r="AE58" s="287">
        <f t="shared" si="11"/>
        <v>0</v>
      </c>
      <c r="AF58" s="287">
        <f t="shared" si="12"/>
        <v>0</v>
      </c>
      <c r="AG58" s="287">
        <f t="shared" si="39"/>
        <v>0</v>
      </c>
      <c r="AH58" s="287">
        <f t="shared" si="40"/>
        <v>0</v>
      </c>
      <c r="AI58" s="530">
        <f t="shared" si="23"/>
        <v>0</v>
      </c>
      <c r="AJ58" s="530">
        <f t="shared" si="13"/>
        <v>-44998.799999999988</v>
      </c>
      <c r="AK58" s="530"/>
      <c r="AL58" s="287">
        <f t="shared" si="41"/>
        <v>275948.79999999999</v>
      </c>
      <c r="AM58" s="428">
        <f t="shared" si="24"/>
        <v>0</v>
      </c>
      <c r="AN58" s="14">
        <f t="shared" si="14"/>
        <v>0</v>
      </c>
      <c r="AO58" s="14">
        <f t="shared" si="45"/>
        <v>104727.93</v>
      </c>
      <c r="AP58" s="14">
        <f t="shared" si="15"/>
        <v>0</v>
      </c>
      <c r="AS58" s="14">
        <f t="shared" si="16"/>
        <v>0</v>
      </c>
      <c r="AT58" s="14">
        <f t="shared" si="26"/>
        <v>0</v>
      </c>
      <c r="AU58" s="287">
        <f t="shared" si="27"/>
        <v>888.26401695001221</v>
      </c>
      <c r="AV58" s="287">
        <f t="shared" si="28"/>
        <v>36417.469101953677</v>
      </c>
    </row>
    <row r="59" spans="1:50" x14ac:dyDescent="0.25">
      <c r="A59" s="519">
        <f t="shared" si="29"/>
        <v>45729</v>
      </c>
      <c r="B59" s="287">
        <f t="shared" si="17"/>
        <v>171687.26999999993</v>
      </c>
      <c r="C59" s="14">
        <f t="shared" si="0"/>
        <v>786.54</v>
      </c>
      <c r="D59" s="14">
        <f t="shared" si="30"/>
        <v>357.31999999999994</v>
      </c>
      <c r="E59" s="14">
        <f t="shared" si="1"/>
        <v>429.22</v>
      </c>
      <c r="F59" s="14">
        <f t="shared" si="46"/>
        <v>134.16999999999999</v>
      </c>
      <c r="G59" s="14">
        <f t="shared" si="47"/>
        <v>188.55</v>
      </c>
      <c r="H59" s="14">
        <f t="shared" ref="H59:H121" si="48">SUM(D59:G59)</f>
        <v>1109.26</v>
      </c>
      <c r="I59" s="287">
        <f t="shared" si="42"/>
        <v>15694.449999999997</v>
      </c>
      <c r="J59" s="287">
        <f t="shared" si="43"/>
        <v>20166.250000000004</v>
      </c>
      <c r="K59" s="287">
        <f t="shared" si="44"/>
        <v>171329.94999999992</v>
      </c>
      <c r="L59" s="428">
        <f t="shared" si="2"/>
        <v>0</v>
      </c>
      <c r="M59" s="428">
        <f t="shared" si="18"/>
        <v>0</v>
      </c>
      <c r="N59" s="287">
        <f t="shared" si="19"/>
        <v>230950</v>
      </c>
      <c r="O59" s="287">
        <f>IF($O$9&lt;=A59,IF(+$W58&lt;=0,0,$O$8),0)</f>
        <v>1536.52</v>
      </c>
      <c r="P59" s="287">
        <f t="shared" si="34"/>
        <v>189.30999999999995</v>
      </c>
      <c r="Q59" s="287">
        <f t="shared" si="21"/>
        <v>1347.21</v>
      </c>
      <c r="R59" s="287">
        <f t="shared" si="3"/>
        <v>134.16999999999999</v>
      </c>
      <c r="S59" s="287">
        <f t="shared" si="4"/>
        <v>188.55</v>
      </c>
      <c r="T59" s="287">
        <f>SUM(P59:S59)</f>
        <v>1859.24</v>
      </c>
      <c r="U59" s="287">
        <f t="shared" si="35"/>
        <v>189.30999999999995</v>
      </c>
      <c r="V59" s="287">
        <f t="shared" si="36"/>
        <v>1347.21</v>
      </c>
      <c r="W59" s="287">
        <f t="shared" si="37"/>
        <v>230760.69</v>
      </c>
      <c r="X59" s="519">
        <f t="shared" si="22"/>
        <v>45729</v>
      </c>
      <c r="Y59" s="287">
        <f>IF(+AL58&lt;0,0,+AL58)</f>
        <v>275948.79999999999</v>
      </c>
      <c r="Z59" s="511">
        <f t="shared" si="6"/>
        <v>3.3500000000000002E-2</v>
      </c>
      <c r="AA59" s="287">
        <f t="shared" si="7"/>
        <v>1216.1400000000001</v>
      </c>
      <c r="AB59" s="287">
        <f>+AA59-AC59</f>
        <v>445.78000000000009</v>
      </c>
      <c r="AC59" s="287">
        <f t="shared" si="9"/>
        <v>770.36</v>
      </c>
      <c r="AD59" s="287">
        <f t="shared" si="10"/>
        <v>134.16999999999999</v>
      </c>
      <c r="AE59" s="287">
        <f t="shared" si="11"/>
        <v>188.55</v>
      </c>
      <c r="AF59" s="287">
        <f t="shared" si="12"/>
        <v>1538.8600000000001</v>
      </c>
      <c r="AG59" s="287">
        <f>+AB59+AG58</f>
        <v>445.78000000000009</v>
      </c>
      <c r="AH59" s="287">
        <f>+AH58+AC59</f>
        <v>770.36</v>
      </c>
      <c r="AI59" s="530">
        <f>O59-AA59+AI58</f>
        <v>320.37999999999988</v>
      </c>
      <c r="AJ59" s="530">
        <f t="shared" si="13"/>
        <v>-44742.329999999958</v>
      </c>
      <c r="AK59" s="530">
        <f>SUM(AI59:AJ59)</f>
        <v>-44421.949999999961</v>
      </c>
      <c r="AL59" s="287">
        <f>+Y59-AB59</f>
        <v>275503.01999999996</v>
      </c>
      <c r="AM59" s="428">
        <f t="shared" si="24"/>
        <v>0</v>
      </c>
      <c r="AN59" s="14">
        <f>IF($O59=0,0,+$O59-$C59)</f>
        <v>749.98</v>
      </c>
      <c r="AO59" s="14">
        <f t="shared" si="45"/>
        <v>104895.93999999999</v>
      </c>
      <c r="AP59" s="14">
        <f>IF($O59=0,0,+AA59-$C59)</f>
        <v>429.60000000000014</v>
      </c>
      <c r="AR59">
        <v>120.14</v>
      </c>
      <c r="AS59" s="14">
        <f t="shared" si="16"/>
        <v>629.84</v>
      </c>
      <c r="AT59" s="14">
        <f t="shared" si="26"/>
        <v>629.84</v>
      </c>
      <c r="AU59" s="287">
        <f t="shared" si="27"/>
        <v>891.22489700651215</v>
      </c>
      <c r="AV59" s="287">
        <f t="shared" si="28"/>
        <v>37308.693998960189</v>
      </c>
      <c r="AX59" s="487"/>
    </row>
    <row r="60" spans="1:50" x14ac:dyDescent="0.25">
      <c r="A60" s="519">
        <f t="shared" si="29"/>
        <v>45759</v>
      </c>
      <c r="B60" s="287">
        <f t="shared" si="17"/>
        <v>171329.94999999992</v>
      </c>
      <c r="C60" s="14">
        <f t="shared" si="0"/>
        <v>786.54</v>
      </c>
      <c r="D60" s="14">
        <f t="shared" si="30"/>
        <v>358.21999999999997</v>
      </c>
      <c r="E60" s="14">
        <f t="shared" si="1"/>
        <v>428.32</v>
      </c>
      <c r="F60" s="14">
        <f t="shared" si="46"/>
        <v>134.16999999999999</v>
      </c>
      <c r="G60" s="14">
        <f t="shared" si="47"/>
        <v>188.55</v>
      </c>
      <c r="H60" s="14">
        <f t="shared" si="48"/>
        <v>1109.26</v>
      </c>
      <c r="I60" s="287">
        <f t="shared" si="42"/>
        <v>16052.669999999996</v>
      </c>
      <c r="J60" s="287">
        <f t="shared" si="43"/>
        <v>20594.570000000003</v>
      </c>
      <c r="K60" s="287">
        <f t="shared" si="44"/>
        <v>170971.72999999992</v>
      </c>
      <c r="L60" s="428">
        <f t="shared" si="2"/>
        <v>0</v>
      </c>
      <c r="M60" s="428">
        <f t="shared" si="18"/>
        <v>1</v>
      </c>
      <c r="N60" s="287">
        <f t="shared" si="19"/>
        <v>230760.69</v>
      </c>
      <c r="O60" s="287">
        <f>IF($O$9&lt;=A60,IF(+$W59&lt;=0,0,$O$8),0)</f>
        <v>1536.52</v>
      </c>
      <c r="P60" s="287">
        <f t="shared" si="34"/>
        <v>190.42000000000007</v>
      </c>
      <c r="Q60" s="287">
        <f t="shared" si="21"/>
        <v>1346.1</v>
      </c>
      <c r="R60" s="287">
        <f t="shared" si="3"/>
        <v>134.16999999999999</v>
      </c>
      <c r="S60" s="287">
        <f t="shared" si="4"/>
        <v>188.55</v>
      </c>
      <c r="T60" s="287">
        <f t="shared" ref="T60:T122" si="49">SUM(P60:S60)</f>
        <v>1859.24</v>
      </c>
      <c r="U60" s="287">
        <f t="shared" si="35"/>
        <v>379.73</v>
      </c>
      <c r="V60" s="287">
        <f t="shared" si="36"/>
        <v>2693.31</v>
      </c>
      <c r="W60" s="287">
        <f t="shared" si="37"/>
        <v>230570.27</v>
      </c>
      <c r="X60" s="519">
        <f t="shared" si="22"/>
        <v>45759</v>
      </c>
      <c r="Y60" s="287">
        <f>IF(+AL59&lt;0,0,+AL59)</f>
        <v>275503.01999999996</v>
      </c>
      <c r="Z60" s="511">
        <f t="shared" si="6"/>
        <v>3.3500000000000002E-2</v>
      </c>
      <c r="AA60" s="287">
        <f t="shared" si="7"/>
        <v>1216.1400000000001</v>
      </c>
      <c r="AB60" s="287">
        <f>+AA60-AC60</f>
        <v>447.03000000000009</v>
      </c>
      <c r="AC60" s="287">
        <f t="shared" si="9"/>
        <v>769.11</v>
      </c>
      <c r="AD60" s="287">
        <f t="shared" ref="AD60:AD123" si="50">+AD59</f>
        <v>134.16999999999999</v>
      </c>
      <c r="AE60" s="287">
        <f t="shared" ref="AE60:AE123" si="51">+AE59</f>
        <v>188.55</v>
      </c>
      <c r="AF60" s="287">
        <f>SUM(AB60:AE60)</f>
        <v>1538.8600000000001</v>
      </c>
      <c r="AG60" s="287">
        <f>+AB60+AG59</f>
        <v>892.81000000000017</v>
      </c>
      <c r="AH60" s="287">
        <f>+AH59+AC60</f>
        <v>1539.47</v>
      </c>
      <c r="AI60" s="530">
        <f t="shared" ref="AI60:AI123" si="52">O60-AA60+AI59</f>
        <v>640.75999999999976</v>
      </c>
      <c r="AJ60" s="530">
        <f t="shared" si="13"/>
        <v>-44485.719999999943</v>
      </c>
      <c r="AK60" s="530">
        <f t="shared" ref="AK60:AK123" si="53">SUM(AI60:AJ60)</f>
        <v>-43844.959999999941</v>
      </c>
      <c r="AL60" s="287">
        <f>+Y60-AB60</f>
        <v>275055.98999999993</v>
      </c>
      <c r="AM60" s="428">
        <f t="shared" si="24"/>
        <v>0</v>
      </c>
      <c r="AN60" s="14">
        <f t="shared" ref="AN60:AN123" si="54">IF(O60=0,0,+O60-C60)</f>
        <v>749.98</v>
      </c>
      <c r="AO60" s="14">
        <f t="shared" si="45"/>
        <v>105063.73999999999</v>
      </c>
      <c r="AP60" s="14">
        <f t="shared" ref="AP60:AP123" si="55">IF($O60=0,0,+AA60-$C60)</f>
        <v>429.60000000000014</v>
      </c>
      <c r="AR60">
        <v>120.14</v>
      </c>
      <c r="AS60" s="14">
        <f t="shared" si="16"/>
        <v>629.84</v>
      </c>
      <c r="AT60" s="14">
        <f t="shared" si="26"/>
        <v>1259.68</v>
      </c>
      <c r="AU60" s="287">
        <f t="shared" si="27"/>
        <v>894.19564666320059</v>
      </c>
      <c r="AV60" s="287">
        <f t="shared" si="28"/>
        <v>38202.889645623392</v>
      </c>
    </row>
    <row r="61" spans="1:50" x14ac:dyDescent="0.25">
      <c r="A61" s="519">
        <f t="shared" si="29"/>
        <v>45789</v>
      </c>
      <c r="B61" s="287">
        <f t="shared" si="17"/>
        <v>170971.72999999992</v>
      </c>
      <c r="C61" s="14">
        <f t="shared" si="0"/>
        <v>786.54</v>
      </c>
      <c r="D61" s="14">
        <f t="shared" si="30"/>
        <v>359.10999999999996</v>
      </c>
      <c r="E61" s="14">
        <f t="shared" si="1"/>
        <v>427.43</v>
      </c>
      <c r="F61" s="14">
        <f t="shared" si="46"/>
        <v>134.16999999999999</v>
      </c>
      <c r="G61" s="14">
        <f t="shared" si="47"/>
        <v>188.55</v>
      </c>
      <c r="H61" s="14">
        <f t="shared" si="48"/>
        <v>1109.26</v>
      </c>
      <c r="I61" s="287">
        <f t="shared" si="42"/>
        <v>16411.779999999995</v>
      </c>
      <c r="J61" s="287">
        <f t="shared" si="43"/>
        <v>21022.000000000004</v>
      </c>
      <c r="K61" s="287">
        <f t="shared" si="44"/>
        <v>170612.61999999994</v>
      </c>
      <c r="L61" s="428">
        <f t="shared" si="2"/>
        <v>0</v>
      </c>
      <c r="M61" s="428">
        <f t="shared" si="18"/>
        <v>2</v>
      </c>
      <c r="N61" s="287">
        <f t="shared" si="19"/>
        <v>230570.27</v>
      </c>
      <c r="O61" s="287">
        <f>IF($O9&lt;=$A61,IF(+W60&lt;=0,0,O$8),0)</f>
        <v>1536.52</v>
      </c>
      <c r="P61" s="287">
        <f t="shared" si="34"/>
        <v>191.52999999999997</v>
      </c>
      <c r="Q61" s="287">
        <f>IF($O$9&lt;=$A61,ROUND(N61*(O$6/12),2),0)</f>
        <v>1344.99</v>
      </c>
      <c r="R61" s="287">
        <f t="shared" si="3"/>
        <v>134.16999999999999</v>
      </c>
      <c r="S61" s="287">
        <f t="shared" si="4"/>
        <v>188.55</v>
      </c>
      <c r="T61" s="287">
        <f t="shared" si="49"/>
        <v>1859.24</v>
      </c>
      <c r="U61" s="287">
        <f t="shared" si="35"/>
        <v>571.26</v>
      </c>
      <c r="V61" s="287">
        <f t="shared" si="36"/>
        <v>4038.3</v>
      </c>
      <c r="W61" s="287">
        <f t="shared" si="37"/>
        <v>230378.74</v>
      </c>
      <c r="X61" s="519">
        <f t="shared" si="22"/>
        <v>45789</v>
      </c>
      <c r="Y61" s="287">
        <f>IF(+AL60&lt;0,0,+AL60)</f>
        <v>275055.98999999993</v>
      </c>
      <c r="Z61" s="511">
        <f t="shared" si="6"/>
        <v>3.3500000000000002E-2</v>
      </c>
      <c r="AA61" s="287">
        <f t="shared" si="7"/>
        <v>1216.1400000000001</v>
      </c>
      <c r="AB61" s="287">
        <f>+AA61-AC61</f>
        <v>448.28000000000009</v>
      </c>
      <c r="AC61" s="287">
        <f t="shared" si="9"/>
        <v>767.86</v>
      </c>
      <c r="AD61" s="287">
        <f t="shared" si="50"/>
        <v>134.16999999999999</v>
      </c>
      <c r="AE61" s="287">
        <f t="shared" si="51"/>
        <v>188.55</v>
      </c>
      <c r="AF61" s="14">
        <f>SUM(AB61:AE61)</f>
        <v>1538.8600000000001</v>
      </c>
      <c r="AG61" s="287">
        <f>+AB61+AG60</f>
        <v>1341.0900000000001</v>
      </c>
      <c r="AH61" s="287">
        <f>+AH60+AC61</f>
        <v>2307.33</v>
      </c>
      <c r="AI61" s="530">
        <f t="shared" si="52"/>
        <v>961.13999999999965</v>
      </c>
      <c r="AJ61" s="530">
        <f t="shared" si="13"/>
        <v>-44228.969999999914</v>
      </c>
      <c r="AK61" s="530">
        <f t="shared" si="53"/>
        <v>-43267.829999999914</v>
      </c>
      <c r="AL61" s="287">
        <f>+Y61-AB61</f>
        <v>274607.7099999999</v>
      </c>
      <c r="AM61" s="428">
        <f t="shared" si="24"/>
        <v>0</v>
      </c>
      <c r="AN61" s="14">
        <f t="shared" si="54"/>
        <v>749.98</v>
      </c>
      <c r="AO61" s="14">
        <f t="shared" si="45"/>
        <v>105231.31999999999</v>
      </c>
      <c r="AP61" s="14">
        <f t="shared" si="55"/>
        <v>429.60000000000014</v>
      </c>
      <c r="AR61">
        <v>120.14</v>
      </c>
      <c r="AS61" s="14">
        <f t="shared" si="16"/>
        <v>629.84</v>
      </c>
      <c r="AT61" s="14">
        <f t="shared" si="26"/>
        <v>1889.52</v>
      </c>
      <c r="AU61" s="287">
        <f t="shared" si="27"/>
        <v>897.17629881874473</v>
      </c>
      <c r="AV61" s="287">
        <f t="shared" si="28"/>
        <v>39100.06594444214</v>
      </c>
    </row>
    <row r="62" spans="1:50" ht="15.75" thickBot="1" x14ac:dyDescent="0.3">
      <c r="A62" s="522">
        <f t="shared" ref="A62:A125" si="56">IF(K62&lt;=0," ",+A61+30)</f>
        <v>45819</v>
      </c>
      <c r="B62" s="348">
        <f t="shared" si="17"/>
        <v>170612.61999999994</v>
      </c>
      <c r="C62" s="21">
        <f t="shared" si="0"/>
        <v>786.54</v>
      </c>
      <c r="D62" s="21">
        <f t="shared" si="30"/>
        <v>360.01</v>
      </c>
      <c r="E62" s="21">
        <f t="shared" si="1"/>
        <v>426.53</v>
      </c>
      <c r="F62" s="21">
        <f t="shared" si="46"/>
        <v>134.16999999999999</v>
      </c>
      <c r="G62" s="21">
        <f t="shared" si="47"/>
        <v>188.55</v>
      </c>
      <c r="H62" s="21">
        <f t="shared" si="48"/>
        <v>1109.26</v>
      </c>
      <c r="I62" s="348">
        <f t="shared" ref="I62:I125" si="57">$D62+$I61</f>
        <v>16771.789999999994</v>
      </c>
      <c r="J62" s="348">
        <f t="shared" ref="J62:J125" si="58">$E62+$J61</f>
        <v>21448.530000000002</v>
      </c>
      <c r="K62" s="348">
        <f t="shared" ref="K62:K125" si="59">+B62-D62</f>
        <v>170252.60999999993</v>
      </c>
      <c r="L62" s="429">
        <f t="shared" si="2"/>
        <v>0</v>
      </c>
      <c r="M62" s="429">
        <f t="shared" si="18"/>
        <v>3</v>
      </c>
      <c r="N62" s="348">
        <f t="shared" si="19"/>
        <v>230378.74</v>
      </c>
      <c r="O62" s="348">
        <f t="shared" ref="O62:O125" si="60">IF($O$9&lt;=A62,IF(+$W61&lt;=0,0,$O$8),0)</f>
        <v>1536.52</v>
      </c>
      <c r="P62" s="348">
        <f t="shared" si="34"/>
        <v>192.63999999999987</v>
      </c>
      <c r="Q62" s="348">
        <f t="shared" ref="Q62:Q125" si="61">IF($O$9&lt;=A62,ROUND(N62*($O$6/12),2),0)</f>
        <v>1343.88</v>
      </c>
      <c r="R62" s="348">
        <f t="shared" si="3"/>
        <v>134.16999999999999</v>
      </c>
      <c r="S62" s="348">
        <f t="shared" ref="S62:S123" si="62">+S61</f>
        <v>188.55</v>
      </c>
      <c r="T62" s="348">
        <f t="shared" si="49"/>
        <v>1859.24</v>
      </c>
      <c r="U62" s="348">
        <f t="shared" si="35"/>
        <v>763.89999999999986</v>
      </c>
      <c r="V62" s="348">
        <f t="shared" si="36"/>
        <v>5382.18</v>
      </c>
      <c r="W62" s="348">
        <f t="shared" ref="W62:W125" si="63">+N62-P62</f>
        <v>230186.09999999998</v>
      </c>
      <c r="X62" s="522">
        <f t="shared" si="22"/>
        <v>45819</v>
      </c>
      <c r="Y62" s="348">
        <f t="shared" ref="Y62:Y125" si="64">IF(+AL61&lt;0,0,+AL61)</f>
        <v>274607.7099999999</v>
      </c>
      <c r="Z62" s="512">
        <f t="shared" si="6"/>
        <v>3.3500000000000002E-2</v>
      </c>
      <c r="AA62" s="348">
        <f t="shared" si="7"/>
        <v>1216.1400000000001</v>
      </c>
      <c r="AB62" s="348">
        <f t="shared" ref="AB62:AB125" si="65">+AA62-AC62</f>
        <v>449.53000000000009</v>
      </c>
      <c r="AC62" s="348">
        <f t="shared" si="9"/>
        <v>766.61</v>
      </c>
      <c r="AD62" s="348">
        <f t="shared" si="50"/>
        <v>134.16999999999999</v>
      </c>
      <c r="AE62" s="348">
        <f t="shared" si="51"/>
        <v>188.55</v>
      </c>
      <c r="AF62" s="348">
        <f t="shared" ref="AF62:AF125" si="66">SUM(AB62:AE62)</f>
        <v>1538.8600000000001</v>
      </c>
      <c r="AG62" s="348">
        <f t="shared" ref="AG62:AG125" si="67">+AB62+AG61</f>
        <v>1790.6200000000003</v>
      </c>
      <c r="AH62" s="348">
        <f t="shared" ref="AH62:AH125" si="68">+AH61+AC62</f>
        <v>3073.94</v>
      </c>
      <c r="AI62" s="531">
        <f t="shared" si="52"/>
        <v>1281.5199999999995</v>
      </c>
      <c r="AJ62" s="531">
        <f t="shared" si="13"/>
        <v>-43972.0799999999</v>
      </c>
      <c r="AK62" s="531">
        <f t="shared" si="53"/>
        <v>-42690.559999999903</v>
      </c>
      <c r="AL62" s="348">
        <f t="shared" ref="AL62:AL125" si="69">+Y62-AB62</f>
        <v>274158.17999999988</v>
      </c>
      <c r="AM62" s="429">
        <f t="shared" si="24"/>
        <v>0</v>
      </c>
      <c r="AN62" s="21">
        <f t="shared" si="54"/>
        <v>749.98</v>
      </c>
      <c r="AO62" s="21">
        <f t="shared" si="45"/>
        <v>105398.68999999999</v>
      </c>
      <c r="AP62" s="21">
        <f t="shared" si="55"/>
        <v>429.60000000000014</v>
      </c>
      <c r="AR62">
        <v>120.14</v>
      </c>
      <c r="AS62" s="21">
        <f t="shared" si="16"/>
        <v>629.84</v>
      </c>
      <c r="AT62" s="21">
        <f t="shared" si="26"/>
        <v>2519.36</v>
      </c>
      <c r="AU62" s="348">
        <f t="shared" si="27"/>
        <v>900.16688648147374</v>
      </c>
      <c r="AV62" s="348">
        <f t="shared" si="28"/>
        <v>40000.232830923611</v>
      </c>
    </row>
    <row r="63" spans="1:50" x14ac:dyDescent="0.25">
      <c r="A63" s="519">
        <f t="shared" si="56"/>
        <v>45849</v>
      </c>
      <c r="B63" s="287">
        <f t="shared" si="17"/>
        <v>170252.60999999993</v>
      </c>
      <c r="C63" s="14">
        <f t="shared" si="0"/>
        <v>786.54</v>
      </c>
      <c r="D63" s="14">
        <f t="shared" si="30"/>
        <v>360.90999999999997</v>
      </c>
      <c r="E63" s="14">
        <f t="shared" si="1"/>
        <v>425.63</v>
      </c>
      <c r="F63" s="14">
        <f t="shared" si="46"/>
        <v>134.16999999999999</v>
      </c>
      <c r="G63" s="14">
        <f t="shared" si="47"/>
        <v>188.55</v>
      </c>
      <c r="H63" s="14">
        <f t="shared" si="48"/>
        <v>1109.26</v>
      </c>
      <c r="I63" s="287">
        <f t="shared" si="57"/>
        <v>17132.699999999993</v>
      </c>
      <c r="J63" s="287">
        <f t="shared" si="58"/>
        <v>21874.160000000003</v>
      </c>
      <c r="K63" s="287">
        <f t="shared" si="59"/>
        <v>169891.69999999992</v>
      </c>
      <c r="L63" s="428">
        <f t="shared" si="2"/>
        <v>0</v>
      </c>
      <c r="M63" s="428">
        <f t="shared" si="18"/>
        <v>4</v>
      </c>
      <c r="N63" s="287">
        <f t="shared" si="19"/>
        <v>230186.09999999998</v>
      </c>
      <c r="O63" s="287">
        <f t="shared" si="60"/>
        <v>1536.52</v>
      </c>
      <c r="P63" s="287">
        <f t="shared" si="34"/>
        <v>193.76999999999998</v>
      </c>
      <c r="Q63" s="287">
        <f t="shared" si="61"/>
        <v>1342.75</v>
      </c>
      <c r="R63" s="287">
        <f t="shared" ref="R63:R123" si="70">+R62</f>
        <v>134.16999999999999</v>
      </c>
      <c r="S63" s="287">
        <f t="shared" si="62"/>
        <v>188.55</v>
      </c>
      <c r="T63" s="287">
        <f t="shared" si="49"/>
        <v>1859.24</v>
      </c>
      <c r="U63" s="287">
        <f t="shared" si="35"/>
        <v>957.66999999999985</v>
      </c>
      <c r="V63" s="287">
        <f t="shared" si="36"/>
        <v>6724.93</v>
      </c>
      <c r="W63" s="287">
        <f t="shared" si="63"/>
        <v>229992.33</v>
      </c>
      <c r="X63" s="519">
        <f t="shared" si="22"/>
        <v>45849</v>
      </c>
      <c r="Y63" s="287">
        <f t="shared" si="64"/>
        <v>274158.17999999988</v>
      </c>
      <c r="Z63" s="511">
        <f t="shared" si="6"/>
        <v>3.3500000000000002E-2</v>
      </c>
      <c r="AA63" s="287">
        <f t="shared" si="7"/>
        <v>1216.1400000000001</v>
      </c>
      <c r="AB63" s="287">
        <f t="shared" si="65"/>
        <v>450.78000000000009</v>
      </c>
      <c r="AC63" s="287">
        <f t="shared" si="9"/>
        <v>765.36</v>
      </c>
      <c r="AD63" s="287">
        <f t="shared" si="50"/>
        <v>134.16999999999999</v>
      </c>
      <c r="AE63" s="287">
        <f t="shared" si="51"/>
        <v>188.55</v>
      </c>
      <c r="AF63" s="287">
        <f t="shared" si="66"/>
        <v>1538.8600000000001</v>
      </c>
      <c r="AG63" s="287">
        <f t="shared" si="67"/>
        <v>2241.4000000000005</v>
      </c>
      <c r="AH63" s="287">
        <f t="shared" si="68"/>
        <v>3839.3</v>
      </c>
      <c r="AI63" s="530">
        <f t="shared" si="52"/>
        <v>1601.8999999999994</v>
      </c>
      <c r="AJ63" s="530">
        <f t="shared" si="13"/>
        <v>-43715.069999999861</v>
      </c>
      <c r="AK63" s="530">
        <f t="shared" si="53"/>
        <v>-42113.16999999986</v>
      </c>
      <c r="AL63" s="287">
        <f t="shared" si="69"/>
        <v>273707.39999999985</v>
      </c>
      <c r="AM63" s="428">
        <f t="shared" si="24"/>
        <v>0</v>
      </c>
      <c r="AN63" s="14">
        <f t="shared" si="54"/>
        <v>749.98</v>
      </c>
      <c r="AO63" s="14">
        <f t="shared" si="45"/>
        <v>105565.82999999999</v>
      </c>
      <c r="AP63" s="14">
        <f t="shared" si="55"/>
        <v>429.60000000000014</v>
      </c>
      <c r="AS63" s="14">
        <f t="shared" si="16"/>
        <v>749.98</v>
      </c>
      <c r="AT63" s="14">
        <f t="shared" si="26"/>
        <v>3269.34</v>
      </c>
      <c r="AU63" s="287">
        <f t="shared" si="27"/>
        <v>903.16744276974543</v>
      </c>
      <c r="AV63" s="287">
        <f t="shared" si="28"/>
        <v>40903.400273693354</v>
      </c>
    </row>
    <row r="64" spans="1:50" x14ac:dyDescent="0.25">
      <c r="A64" s="519">
        <f t="shared" si="56"/>
        <v>45879</v>
      </c>
      <c r="B64" s="287">
        <f t="shared" si="17"/>
        <v>169891.69999999992</v>
      </c>
      <c r="C64" s="14">
        <f t="shared" si="0"/>
        <v>786.54</v>
      </c>
      <c r="D64" s="14">
        <f t="shared" si="30"/>
        <v>361.80999999999995</v>
      </c>
      <c r="E64" s="14">
        <f t="shared" si="1"/>
        <v>424.73</v>
      </c>
      <c r="F64" s="14">
        <f t="shared" si="46"/>
        <v>134.16999999999999</v>
      </c>
      <c r="G64" s="14">
        <f t="shared" si="47"/>
        <v>188.55</v>
      </c>
      <c r="H64" s="14">
        <f t="shared" si="48"/>
        <v>1109.26</v>
      </c>
      <c r="I64" s="287">
        <f t="shared" si="57"/>
        <v>17494.509999999995</v>
      </c>
      <c r="J64" s="287">
        <f t="shared" si="58"/>
        <v>22298.890000000003</v>
      </c>
      <c r="K64" s="287">
        <f t="shared" si="59"/>
        <v>169529.88999999993</v>
      </c>
      <c r="L64" s="428">
        <f t="shared" si="2"/>
        <v>0</v>
      </c>
      <c r="M64" s="428">
        <f t="shared" si="18"/>
        <v>5</v>
      </c>
      <c r="N64" s="287">
        <f t="shared" si="19"/>
        <v>229992.33</v>
      </c>
      <c r="O64" s="287">
        <f t="shared" si="60"/>
        <v>1536.52</v>
      </c>
      <c r="P64" s="287">
        <f t="shared" si="34"/>
        <v>194.90000000000009</v>
      </c>
      <c r="Q64" s="287">
        <f t="shared" si="61"/>
        <v>1341.62</v>
      </c>
      <c r="R64" s="287">
        <f t="shared" si="70"/>
        <v>134.16999999999999</v>
      </c>
      <c r="S64" s="287">
        <f t="shared" si="62"/>
        <v>188.55</v>
      </c>
      <c r="T64" s="287">
        <f t="shared" si="49"/>
        <v>1859.24</v>
      </c>
      <c r="U64" s="287">
        <f t="shared" si="35"/>
        <v>1152.57</v>
      </c>
      <c r="V64" s="287">
        <f t="shared" si="36"/>
        <v>8066.55</v>
      </c>
      <c r="W64" s="287">
        <f t="shared" si="63"/>
        <v>229797.43</v>
      </c>
      <c r="X64" s="519">
        <f t="shared" si="22"/>
        <v>45879</v>
      </c>
      <c r="Y64" s="287">
        <f t="shared" si="64"/>
        <v>273707.39999999985</v>
      </c>
      <c r="Z64" s="511">
        <f t="shared" si="6"/>
        <v>3.3500000000000002E-2</v>
      </c>
      <c r="AA64" s="287">
        <f t="shared" si="7"/>
        <v>1216.1400000000001</v>
      </c>
      <c r="AB64" s="287">
        <f t="shared" si="65"/>
        <v>452.04000000000008</v>
      </c>
      <c r="AC64" s="287">
        <f t="shared" si="9"/>
        <v>764.1</v>
      </c>
      <c r="AD64" s="287">
        <f t="shared" si="50"/>
        <v>134.16999999999999</v>
      </c>
      <c r="AE64" s="287">
        <f t="shared" si="51"/>
        <v>188.55</v>
      </c>
      <c r="AF64" s="287">
        <f t="shared" si="66"/>
        <v>1538.8600000000001</v>
      </c>
      <c r="AG64" s="287">
        <f t="shared" si="67"/>
        <v>2693.4400000000005</v>
      </c>
      <c r="AH64" s="287">
        <f t="shared" si="68"/>
        <v>4603.4000000000005</v>
      </c>
      <c r="AI64" s="530">
        <f t="shared" si="52"/>
        <v>1922.2799999999993</v>
      </c>
      <c r="AJ64" s="530">
        <f t="shared" si="13"/>
        <v>-43457.929999999877</v>
      </c>
      <c r="AK64" s="530">
        <f t="shared" si="53"/>
        <v>-41535.649999999878</v>
      </c>
      <c r="AL64" s="287">
        <f t="shared" si="69"/>
        <v>273255.35999999987</v>
      </c>
      <c r="AM64" s="428">
        <f t="shared" si="24"/>
        <v>0</v>
      </c>
      <c r="AN64" s="14">
        <f t="shared" si="54"/>
        <v>749.98</v>
      </c>
      <c r="AO64" s="14">
        <f t="shared" si="45"/>
        <v>105732.73999999998</v>
      </c>
      <c r="AP64" s="14">
        <f t="shared" si="55"/>
        <v>429.60000000000014</v>
      </c>
      <c r="AS64" s="14">
        <f t="shared" si="16"/>
        <v>749.98</v>
      </c>
      <c r="AT64" s="14">
        <f t="shared" si="26"/>
        <v>4019.32</v>
      </c>
      <c r="AU64" s="287">
        <f t="shared" si="27"/>
        <v>906.17800091231129</v>
      </c>
      <c r="AV64" s="287">
        <f t="shared" si="28"/>
        <v>41809.578274605665</v>
      </c>
    </row>
    <row r="65" spans="1:50" x14ac:dyDescent="0.25">
      <c r="A65" s="519">
        <f t="shared" si="56"/>
        <v>45909</v>
      </c>
      <c r="B65" s="287">
        <f t="shared" si="17"/>
        <v>169529.88999999993</v>
      </c>
      <c r="C65" s="14">
        <f t="shared" si="0"/>
        <v>786.54</v>
      </c>
      <c r="D65" s="14">
        <f t="shared" si="30"/>
        <v>362.71999999999997</v>
      </c>
      <c r="E65" s="14">
        <f t="shared" si="1"/>
        <v>423.82</v>
      </c>
      <c r="F65" s="14">
        <f t="shared" si="46"/>
        <v>134.16999999999999</v>
      </c>
      <c r="G65" s="14">
        <f t="shared" si="47"/>
        <v>188.55</v>
      </c>
      <c r="H65" s="14">
        <f t="shared" si="48"/>
        <v>1109.26</v>
      </c>
      <c r="I65" s="287">
        <f t="shared" si="57"/>
        <v>17857.229999999996</v>
      </c>
      <c r="J65" s="287">
        <f t="shared" si="58"/>
        <v>22722.710000000003</v>
      </c>
      <c r="K65" s="287">
        <f t="shared" si="59"/>
        <v>169167.16999999993</v>
      </c>
      <c r="L65" s="428">
        <f t="shared" si="2"/>
        <v>0</v>
      </c>
      <c r="M65" s="428">
        <f t="shared" si="18"/>
        <v>6</v>
      </c>
      <c r="N65" s="287">
        <f t="shared" si="19"/>
        <v>229797.43</v>
      </c>
      <c r="O65" s="287">
        <f t="shared" si="60"/>
        <v>1536.52</v>
      </c>
      <c r="P65" s="287">
        <f t="shared" si="34"/>
        <v>196.02999999999997</v>
      </c>
      <c r="Q65" s="287">
        <f t="shared" si="61"/>
        <v>1340.49</v>
      </c>
      <c r="R65" s="287">
        <f t="shared" si="70"/>
        <v>134.16999999999999</v>
      </c>
      <c r="S65" s="287">
        <f t="shared" si="62"/>
        <v>188.55</v>
      </c>
      <c r="T65" s="287">
        <f t="shared" si="49"/>
        <v>1859.24</v>
      </c>
      <c r="U65" s="287">
        <f t="shared" si="35"/>
        <v>1348.6</v>
      </c>
      <c r="V65" s="287">
        <f t="shared" si="36"/>
        <v>9407.0400000000009</v>
      </c>
      <c r="W65" s="287">
        <f t="shared" si="63"/>
        <v>229601.4</v>
      </c>
      <c r="X65" s="519">
        <f t="shared" si="22"/>
        <v>45909</v>
      </c>
      <c r="Y65" s="287">
        <f t="shared" si="64"/>
        <v>273255.35999999987</v>
      </c>
      <c r="Z65" s="511">
        <f t="shared" si="6"/>
        <v>3.3500000000000002E-2</v>
      </c>
      <c r="AA65" s="287">
        <f t="shared" si="7"/>
        <v>1216.1400000000001</v>
      </c>
      <c r="AB65" s="287">
        <f t="shared" si="65"/>
        <v>453.30000000000007</v>
      </c>
      <c r="AC65" s="287">
        <f t="shared" si="9"/>
        <v>762.84</v>
      </c>
      <c r="AD65" s="287">
        <f t="shared" si="50"/>
        <v>134.16999999999999</v>
      </c>
      <c r="AE65" s="287">
        <f t="shared" si="51"/>
        <v>188.55</v>
      </c>
      <c r="AF65" s="287">
        <f t="shared" si="66"/>
        <v>1538.8600000000001</v>
      </c>
      <c r="AG65" s="287">
        <f t="shared" si="67"/>
        <v>3146.7400000000007</v>
      </c>
      <c r="AH65" s="287">
        <f t="shared" si="68"/>
        <v>5366.2400000000007</v>
      </c>
      <c r="AI65" s="530">
        <f t="shared" si="52"/>
        <v>2242.6599999999989</v>
      </c>
      <c r="AJ65" s="530">
        <f t="shared" si="13"/>
        <v>-43200.659999999887</v>
      </c>
      <c r="AK65" s="530">
        <f t="shared" si="53"/>
        <v>-40957.999999999891</v>
      </c>
      <c r="AL65" s="287">
        <f t="shared" si="69"/>
        <v>272802.05999999988</v>
      </c>
      <c r="AM65" s="428">
        <f t="shared" si="24"/>
        <v>0</v>
      </c>
      <c r="AN65" s="14">
        <f t="shared" si="54"/>
        <v>749.98</v>
      </c>
      <c r="AO65" s="14">
        <f t="shared" si="45"/>
        <v>105899.42999999998</v>
      </c>
      <c r="AP65" s="14">
        <f t="shared" si="55"/>
        <v>429.60000000000014</v>
      </c>
      <c r="AS65" s="14">
        <f t="shared" si="16"/>
        <v>749.98</v>
      </c>
      <c r="AT65" s="14">
        <f t="shared" si="26"/>
        <v>4769.3</v>
      </c>
      <c r="AU65" s="287">
        <f t="shared" si="27"/>
        <v>909.19859424868571</v>
      </c>
      <c r="AV65" s="287">
        <f t="shared" si="28"/>
        <v>42718.776868854351</v>
      </c>
    </row>
    <row r="66" spans="1:50" x14ac:dyDescent="0.25">
      <c r="A66" s="519">
        <f t="shared" si="56"/>
        <v>45939</v>
      </c>
      <c r="B66" s="287">
        <f t="shared" si="17"/>
        <v>169167.16999999993</v>
      </c>
      <c r="C66" s="14">
        <f t="shared" si="0"/>
        <v>786.54</v>
      </c>
      <c r="D66" s="14">
        <f t="shared" si="30"/>
        <v>363.61999999999995</v>
      </c>
      <c r="E66" s="14">
        <f t="shared" si="1"/>
        <v>422.92</v>
      </c>
      <c r="F66" s="14">
        <f t="shared" si="46"/>
        <v>134.16999999999999</v>
      </c>
      <c r="G66" s="14">
        <f t="shared" si="47"/>
        <v>188.55</v>
      </c>
      <c r="H66" s="14">
        <f t="shared" si="48"/>
        <v>1109.26</v>
      </c>
      <c r="I66" s="287">
        <f t="shared" si="57"/>
        <v>18220.849999999995</v>
      </c>
      <c r="J66" s="287">
        <f t="shared" si="58"/>
        <v>23145.63</v>
      </c>
      <c r="K66" s="287">
        <f t="shared" si="59"/>
        <v>168803.54999999993</v>
      </c>
      <c r="L66" s="428">
        <f t="shared" si="2"/>
        <v>0</v>
      </c>
      <c r="M66" s="428">
        <f t="shared" si="18"/>
        <v>7</v>
      </c>
      <c r="N66" s="287">
        <f t="shared" si="19"/>
        <v>229601.4</v>
      </c>
      <c r="O66" s="287">
        <f t="shared" si="60"/>
        <v>1536.52</v>
      </c>
      <c r="P66" s="287">
        <f t="shared" si="34"/>
        <v>197.18000000000006</v>
      </c>
      <c r="Q66" s="287">
        <f t="shared" si="61"/>
        <v>1339.34</v>
      </c>
      <c r="R66" s="287">
        <f t="shared" si="70"/>
        <v>134.16999999999999</v>
      </c>
      <c r="S66" s="287">
        <f t="shared" si="62"/>
        <v>188.55</v>
      </c>
      <c r="T66" s="287">
        <f t="shared" si="49"/>
        <v>1859.24</v>
      </c>
      <c r="U66" s="287">
        <f t="shared" si="35"/>
        <v>1545.78</v>
      </c>
      <c r="V66" s="287">
        <f t="shared" si="36"/>
        <v>10746.380000000001</v>
      </c>
      <c r="W66" s="287">
        <f t="shared" si="63"/>
        <v>229404.22</v>
      </c>
      <c r="X66" s="519">
        <f t="shared" si="22"/>
        <v>45939</v>
      </c>
      <c r="Y66" s="287">
        <f t="shared" si="64"/>
        <v>272802.05999999988</v>
      </c>
      <c r="Z66" s="511">
        <f t="shared" si="6"/>
        <v>3.3500000000000002E-2</v>
      </c>
      <c r="AA66" s="287">
        <f t="shared" si="7"/>
        <v>1216.1400000000001</v>
      </c>
      <c r="AB66" s="287">
        <f t="shared" si="65"/>
        <v>454.57000000000005</v>
      </c>
      <c r="AC66" s="287">
        <f t="shared" si="9"/>
        <v>761.57</v>
      </c>
      <c r="AD66" s="287">
        <f t="shared" si="50"/>
        <v>134.16999999999999</v>
      </c>
      <c r="AE66" s="287">
        <f t="shared" si="51"/>
        <v>188.55</v>
      </c>
      <c r="AF66" s="287">
        <f t="shared" si="66"/>
        <v>1538.8600000000001</v>
      </c>
      <c r="AG66" s="287">
        <f t="shared" si="67"/>
        <v>3601.3100000000009</v>
      </c>
      <c r="AH66" s="287">
        <f t="shared" si="68"/>
        <v>6127.81</v>
      </c>
      <c r="AI66" s="530">
        <f t="shared" si="52"/>
        <v>2563.0399999999991</v>
      </c>
      <c r="AJ66" s="530">
        <f t="shared" si="13"/>
        <v>-42943.269999999873</v>
      </c>
      <c r="AK66" s="530">
        <f t="shared" si="53"/>
        <v>-40380.229999999872</v>
      </c>
      <c r="AL66" s="287">
        <f t="shared" si="69"/>
        <v>272347.48999999987</v>
      </c>
      <c r="AM66" s="428">
        <f t="shared" si="24"/>
        <v>0</v>
      </c>
      <c r="AN66" s="14">
        <f t="shared" si="54"/>
        <v>749.98</v>
      </c>
      <c r="AO66" s="14">
        <f t="shared" si="45"/>
        <v>106065.86999999998</v>
      </c>
      <c r="AP66" s="14">
        <f t="shared" si="55"/>
        <v>429.60000000000014</v>
      </c>
      <c r="AS66" s="14">
        <f t="shared" si="16"/>
        <v>749.98</v>
      </c>
      <c r="AT66" s="14">
        <f t="shared" si="26"/>
        <v>5519.2800000000007</v>
      </c>
      <c r="AU66" s="287">
        <f t="shared" si="27"/>
        <v>912.22925622951459</v>
      </c>
      <c r="AV66" s="287">
        <f t="shared" si="28"/>
        <v>43631.006125083863</v>
      </c>
    </row>
    <row r="67" spans="1:50" x14ac:dyDescent="0.25">
      <c r="A67" s="519">
        <f t="shared" si="56"/>
        <v>45969</v>
      </c>
      <c r="B67" s="287">
        <f t="shared" si="17"/>
        <v>168803.54999999993</v>
      </c>
      <c r="C67" s="14">
        <f t="shared" si="0"/>
        <v>786.54</v>
      </c>
      <c r="D67" s="14">
        <f t="shared" si="30"/>
        <v>364.53</v>
      </c>
      <c r="E67" s="14">
        <f t="shared" si="1"/>
        <v>422.01</v>
      </c>
      <c r="F67" s="14">
        <f t="shared" si="46"/>
        <v>134.16999999999999</v>
      </c>
      <c r="G67" s="14">
        <f t="shared" si="47"/>
        <v>188.55</v>
      </c>
      <c r="H67" s="14">
        <f t="shared" si="48"/>
        <v>1109.26</v>
      </c>
      <c r="I67" s="287">
        <f t="shared" si="57"/>
        <v>18585.379999999994</v>
      </c>
      <c r="J67" s="287">
        <f t="shared" si="58"/>
        <v>23567.64</v>
      </c>
      <c r="K67" s="287">
        <f t="shared" si="59"/>
        <v>168439.01999999993</v>
      </c>
      <c r="L67" s="428">
        <f t="shared" si="2"/>
        <v>0</v>
      </c>
      <c r="M67" s="428">
        <f t="shared" si="18"/>
        <v>8</v>
      </c>
      <c r="N67" s="287">
        <f t="shared" si="19"/>
        <v>229404.22</v>
      </c>
      <c r="O67" s="287">
        <f t="shared" si="60"/>
        <v>1536.52</v>
      </c>
      <c r="P67" s="287">
        <f t="shared" si="34"/>
        <v>198.32999999999993</v>
      </c>
      <c r="Q67" s="287">
        <f t="shared" si="61"/>
        <v>1338.19</v>
      </c>
      <c r="R67" s="287">
        <f t="shared" si="70"/>
        <v>134.16999999999999</v>
      </c>
      <c r="S67" s="287">
        <f t="shared" si="62"/>
        <v>188.55</v>
      </c>
      <c r="T67" s="287">
        <f t="shared" si="49"/>
        <v>1859.24</v>
      </c>
      <c r="U67" s="287">
        <f t="shared" si="35"/>
        <v>1744.11</v>
      </c>
      <c r="V67" s="287">
        <f t="shared" si="36"/>
        <v>12084.570000000002</v>
      </c>
      <c r="W67" s="287">
        <f t="shared" si="63"/>
        <v>229205.89</v>
      </c>
      <c r="X67" s="519">
        <f t="shared" si="22"/>
        <v>45969</v>
      </c>
      <c r="Y67" s="287">
        <f t="shared" si="64"/>
        <v>272347.48999999987</v>
      </c>
      <c r="Z67" s="511">
        <f t="shared" si="6"/>
        <v>3.3500000000000002E-2</v>
      </c>
      <c r="AA67" s="287">
        <f t="shared" si="7"/>
        <v>1216.1400000000001</v>
      </c>
      <c r="AB67" s="287">
        <f t="shared" si="65"/>
        <v>455.84000000000015</v>
      </c>
      <c r="AC67" s="287">
        <f t="shared" si="9"/>
        <v>760.3</v>
      </c>
      <c r="AD67" s="287">
        <f t="shared" si="50"/>
        <v>134.16999999999999</v>
      </c>
      <c r="AE67" s="287">
        <f t="shared" si="51"/>
        <v>188.55</v>
      </c>
      <c r="AF67" s="287">
        <f t="shared" si="66"/>
        <v>1538.8600000000001</v>
      </c>
      <c r="AG67" s="287">
        <f t="shared" si="67"/>
        <v>4057.150000000001</v>
      </c>
      <c r="AH67" s="287">
        <f t="shared" si="68"/>
        <v>6888.1100000000006</v>
      </c>
      <c r="AI67" s="530">
        <f t="shared" si="52"/>
        <v>2883.4199999999992</v>
      </c>
      <c r="AJ67" s="530">
        <f t="shared" si="13"/>
        <v>-42685.759999999835</v>
      </c>
      <c r="AK67" s="530">
        <f t="shared" si="53"/>
        <v>-39802.339999999836</v>
      </c>
      <c r="AL67" s="287">
        <f t="shared" si="69"/>
        <v>271891.64999999985</v>
      </c>
      <c r="AM67" s="428">
        <f t="shared" si="24"/>
        <v>0</v>
      </c>
      <c r="AN67" s="14">
        <f t="shared" si="54"/>
        <v>749.98</v>
      </c>
      <c r="AO67" s="14">
        <f t="shared" si="45"/>
        <v>106232.06999999998</v>
      </c>
      <c r="AP67" s="14">
        <f t="shared" si="55"/>
        <v>429.60000000000014</v>
      </c>
      <c r="AS67" s="14">
        <f t="shared" si="16"/>
        <v>749.98</v>
      </c>
      <c r="AT67" s="14">
        <f t="shared" si="26"/>
        <v>6269.26</v>
      </c>
      <c r="AU67" s="287">
        <f t="shared" si="27"/>
        <v>915.27002041694629</v>
      </c>
      <c r="AV67" s="287">
        <f t="shared" si="28"/>
        <v>44546.276145500808</v>
      </c>
    </row>
    <row r="68" spans="1:50" x14ac:dyDescent="0.25">
      <c r="A68" s="519">
        <f t="shared" si="56"/>
        <v>45999</v>
      </c>
      <c r="B68" s="287">
        <f t="shared" si="17"/>
        <v>168439.01999999993</v>
      </c>
      <c r="C68" s="14">
        <f t="shared" si="0"/>
        <v>786.54</v>
      </c>
      <c r="D68" s="14">
        <f t="shared" si="30"/>
        <v>365.43999999999994</v>
      </c>
      <c r="E68" s="14">
        <f t="shared" si="1"/>
        <v>421.1</v>
      </c>
      <c r="F68" s="14">
        <f t="shared" si="46"/>
        <v>134.16999999999999</v>
      </c>
      <c r="G68" s="14">
        <f t="shared" si="47"/>
        <v>188.55</v>
      </c>
      <c r="H68" s="14">
        <f t="shared" si="48"/>
        <v>1109.26</v>
      </c>
      <c r="I68" s="287">
        <f t="shared" si="57"/>
        <v>18950.819999999992</v>
      </c>
      <c r="J68" s="287">
        <f t="shared" si="58"/>
        <v>23988.739999999998</v>
      </c>
      <c r="K68" s="287">
        <f t="shared" si="59"/>
        <v>168073.57999999993</v>
      </c>
      <c r="L68" s="428">
        <f t="shared" si="2"/>
        <v>0</v>
      </c>
      <c r="M68" s="428">
        <f t="shared" si="18"/>
        <v>9</v>
      </c>
      <c r="N68" s="287">
        <f t="shared" si="19"/>
        <v>229205.89</v>
      </c>
      <c r="O68" s="287">
        <f t="shared" si="60"/>
        <v>1536.52</v>
      </c>
      <c r="P68" s="287">
        <f t="shared" si="34"/>
        <v>199.49</v>
      </c>
      <c r="Q68" s="287">
        <f t="shared" si="61"/>
        <v>1337.03</v>
      </c>
      <c r="R68" s="287">
        <f t="shared" si="70"/>
        <v>134.16999999999999</v>
      </c>
      <c r="S68" s="287">
        <f t="shared" si="62"/>
        <v>188.55</v>
      </c>
      <c r="T68" s="287">
        <f t="shared" si="49"/>
        <v>1859.24</v>
      </c>
      <c r="U68" s="287">
        <f t="shared" si="35"/>
        <v>1943.6</v>
      </c>
      <c r="V68" s="287">
        <f t="shared" si="36"/>
        <v>13421.600000000002</v>
      </c>
      <c r="W68" s="287">
        <f t="shared" si="63"/>
        <v>229006.40000000002</v>
      </c>
      <c r="X68" s="519">
        <f t="shared" si="22"/>
        <v>45999</v>
      </c>
      <c r="Y68" s="287">
        <f t="shared" si="64"/>
        <v>271891.64999999985</v>
      </c>
      <c r="Z68" s="511">
        <f t="shared" si="6"/>
        <v>3.3500000000000002E-2</v>
      </c>
      <c r="AA68" s="287">
        <f t="shared" si="7"/>
        <v>1216.1400000000001</v>
      </c>
      <c r="AB68" s="287">
        <f t="shared" si="65"/>
        <v>457.11000000000013</v>
      </c>
      <c r="AC68" s="287">
        <f t="shared" si="9"/>
        <v>759.03</v>
      </c>
      <c r="AD68" s="287">
        <f t="shared" si="50"/>
        <v>134.16999999999999</v>
      </c>
      <c r="AE68" s="287">
        <f t="shared" si="51"/>
        <v>188.55</v>
      </c>
      <c r="AF68" s="287">
        <f t="shared" si="66"/>
        <v>1538.8600000000001</v>
      </c>
      <c r="AG68" s="287">
        <f t="shared" si="67"/>
        <v>4514.2600000000011</v>
      </c>
      <c r="AH68" s="287">
        <f t="shared" si="68"/>
        <v>7647.14</v>
      </c>
      <c r="AI68" s="530">
        <f t="shared" si="52"/>
        <v>3203.7999999999993</v>
      </c>
      <c r="AJ68" s="530">
        <f t="shared" si="13"/>
        <v>-42428.139999999839</v>
      </c>
      <c r="AK68" s="530">
        <f t="shared" si="53"/>
        <v>-39224.339999999836</v>
      </c>
      <c r="AL68" s="287">
        <f t="shared" si="69"/>
        <v>271434.53999999986</v>
      </c>
      <c r="AM68" s="428">
        <f t="shared" si="24"/>
        <v>0</v>
      </c>
      <c r="AN68" s="14">
        <f t="shared" si="54"/>
        <v>749.98</v>
      </c>
      <c r="AO68" s="14">
        <f t="shared" si="45"/>
        <v>106398.01999999997</v>
      </c>
      <c r="AP68" s="14">
        <f t="shared" si="55"/>
        <v>429.60000000000014</v>
      </c>
      <c r="AS68" s="14">
        <f t="shared" si="16"/>
        <v>749.98</v>
      </c>
      <c r="AT68" s="14">
        <f t="shared" si="26"/>
        <v>7019.24</v>
      </c>
      <c r="AU68" s="287">
        <f t="shared" si="27"/>
        <v>918.32092048500272</v>
      </c>
      <c r="AV68" s="287">
        <f t="shared" si="28"/>
        <v>45464.597065985814</v>
      </c>
    </row>
    <row r="69" spans="1:50" x14ac:dyDescent="0.25">
      <c r="A69" s="519">
        <f t="shared" si="56"/>
        <v>46029</v>
      </c>
      <c r="B69" s="287">
        <f t="shared" si="17"/>
        <v>168073.57999999993</v>
      </c>
      <c r="C69" s="14">
        <f t="shared" si="0"/>
        <v>786.54</v>
      </c>
      <c r="D69" s="14">
        <f t="shared" si="30"/>
        <v>366.35999999999996</v>
      </c>
      <c r="E69" s="14">
        <f t="shared" si="1"/>
        <v>420.18</v>
      </c>
      <c r="F69" s="14">
        <f t="shared" si="46"/>
        <v>134.16999999999999</v>
      </c>
      <c r="G69" s="14">
        <f t="shared" si="47"/>
        <v>188.55</v>
      </c>
      <c r="H69" s="14">
        <f t="shared" si="48"/>
        <v>1109.26</v>
      </c>
      <c r="I69" s="287">
        <f t="shared" si="57"/>
        <v>19317.179999999993</v>
      </c>
      <c r="J69" s="287">
        <f t="shared" si="58"/>
        <v>24408.92</v>
      </c>
      <c r="K69" s="287">
        <f t="shared" si="59"/>
        <v>167707.21999999994</v>
      </c>
      <c r="L69" s="428">
        <f t="shared" si="2"/>
        <v>0</v>
      </c>
      <c r="M69" s="428">
        <f t="shared" si="18"/>
        <v>10</v>
      </c>
      <c r="N69" s="287">
        <f t="shared" si="19"/>
        <v>229006.40000000002</v>
      </c>
      <c r="O69" s="287">
        <f t="shared" si="60"/>
        <v>1536.52</v>
      </c>
      <c r="P69" s="287">
        <f t="shared" si="34"/>
        <v>200.65000000000009</v>
      </c>
      <c r="Q69" s="287">
        <f t="shared" si="61"/>
        <v>1335.87</v>
      </c>
      <c r="R69" s="287">
        <f t="shared" si="70"/>
        <v>134.16999999999999</v>
      </c>
      <c r="S69" s="287">
        <f t="shared" si="62"/>
        <v>188.55</v>
      </c>
      <c r="T69" s="287">
        <f t="shared" si="49"/>
        <v>1859.24</v>
      </c>
      <c r="U69" s="287">
        <f t="shared" si="35"/>
        <v>2144.25</v>
      </c>
      <c r="V69" s="287">
        <f t="shared" si="36"/>
        <v>14757.470000000001</v>
      </c>
      <c r="W69" s="287">
        <f t="shared" si="63"/>
        <v>228805.75000000003</v>
      </c>
      <c r="X69" s="519">
        <f t="shared" si="22"/>
        <v>46029</v>
      </c>
      <c r="Y69" s="287">
        <f t="shared" si="64"/>
        <v>271434.53999999986</v>
      </c>
      <c r="Z69" s="511">
        <f t="shared" si="6"/>
        <v>3.3500000000000002E-2</v>
      </c>
      <c r="AA69" s="287">
        <f t="shared" si="7"/>
        <v>1216.1400000000001</v>
      </c>
      <c r="AB69" s="287">
        <f t="shared" si="65"/>
        <v>458.3900000000001</v>
      </c>
      <c r="AC69" s="287">
        <f t="shared" si="9"/>
        <v>757.75</v>
      </c>
      <c r="AD69" s="287">
        <f t="shared" si="50"/>
        <v>134.16999999999999</v>
      </c>
      <c r="AE69" s="287">
        <f t="shared" si="51"/>
        <v>188.55</v>
      </c>
      <c r="AF69" s="287">
        <f t="shared" si="66"/>
        <v>1538.8600000000001</v>
      </c>
      <c r="AG69" s="287">
        <f t="shared" si="67"/>
        <v>4972.6500000000015</v>
      </c>
      <c r="AH69" s="287">
        <f t="shared" si="68"/>
        <v>8404.89</v>
      </c>
      <c r="AI69" s="530">
        <f t="shared" si="52"/>
        <v>3524.1799999999994</v>
      </c>
      <c r="AJ69" s="530">
        <f t="shared" si="13"/>
        <v>-42170.39999999982</v>
      </c>
      <c r="AK69" s="530">
        <f t="shared" si="53"/>
        <v>-38646.219999999819</v>
      </c>
      <c r="AL69" s="287">
        <f t="shared" si="69"/>
        <v>270976.14999999985</v>
      </c>
      <c r="AM69" s="428">
        <f t="shared" si="24"/>
        <v>0</v>
      </c>
      <c r="AN69" s="14">
        <f t="shared" si="54"/>
        <v>749.98</v>
      </c>
      <c r="AO69" s="14">
        <f t="shared" si="45"/>
        <v>106563.72999999998</v>
      </c>
      <c r="AP69" s="14">
        <f t="shared" si="55"/>
        <v>429.60000000000014</v>
      </c>
      <c r="AS69" s="14">
        <f t="shared" si="16"/>
        <v>749.98</v>
      </c>
      <c r="AT69" s="14">
        <f t="shared" si="26"/>
        <v>7769.2199999999993</v>
      </c>
      <c r="AU69" s="287">
        <f t="shared" si="27"/>
        <v>921.38199021995263</v>
      </c>
      <c r="AV69" s="287">
        <f t="shared" si="28"/>
        <v>46385.979056205768</v>
      </c>
    </row>
    <row r="70" spans="1:50" x14ac:dyDescent="0.25">
      <c r="A70" s="519">
        <f t="shared" si="56"/>
        <v>46059</v>
      </c>
      <c r="B70" s="287">
        <f t="shared" si="17"/>
        <v>167707.21999999994</v>
      </c>
      <c r="C70" s="14">
        <f t="shared" si="0"/>
        <v>786.54</v>
      </c>
      <c r="D70" s="14">
        <f t="shared" si="30"/>
        <v>367.27</v>
      </c>
      <c r="E70" s="14">
        <f t="shared" si="1"/>
        <v>419.27</v>
      </c>
      <c r="F70" s="14">
        <f t="shared" si="46"/>
        <v>134.16999999999999</v>
      </c>
      <c r="G70" s="14">
        <f t="shared" si="47"/>
        <v>188.55</v>
      </c>
      <c r="H70" s="14">
        <f t="shared" si="48"/>
        <v>1109.26</v>
      </c>
      <c r="I70" s="287">
        <f t="shared" si="57"/>
        <v>19684.449999999993</v>
      </c>
      <c r="J70" s="287">
        <f t="shared" si="58"/>
        <v>24828.19</v>
      </c>
      <c r="K70" s="287">
        <f t="shared" si="59"/>
        <v>167339.94999999995</v>
      </c>
      <c r="L70" s="428">
        <f t="shared" si="2"/>
        <v>0</v>
      </c>
      <c r="M70" s="428">
        <f t="shared" si="18"/>
        <v>11</v>
      </c>
      <c r="N70" s="287">
        <f t="shared" si="19"/>
        <v>228805.75000000003</v>
      </c>
      <c r="O70" s="287">
        <f t="shared" si="60"/>
        <v>1536.52</v>
      </c>
      <c r="P70" s="287">
        <f t="shared" si="34"/>
        <v>201.81999999999994</v>
      </c>
      <c r="Q70" s="287">
        <f t="shared" si="61"/>
        <v>1334.7</v>
      </c>
      <c r="R70" s="287">
        <f t="shared" si="70"/>
        <v>134.16999999999999</v>
      </c>
      <c r="S70" s="287">
        <f t="shared" si="62"/>
        <v>188.55</v>
      </c>
      <c r="T70" s="287">
        <f t="shared" si="49"/>
        <v>1859.24</v>
      </c>
      <c r="U70" s="287">
        <f t="shared" si="35"/>
        <v>2346.0699999999997</v>
      </c>
      <c r="V70" s="287">
        <f t="shared" si="36"/>
        <v>16092.170000000002</v>
      </c>
      <c r="W70" s="287">
        <f t="shared" si="63"/>
        <v>228603.93000000002</v>
      </c>
      <c r="X70" s="519">
        <f t="shared" si="22"/>
        <v>46059</v>
      </c>
      <c r="Y70" s="287">
        <f t="shared" si="64"/>
        <v>270976.14999999985</v>
      </c>
      <c r="Z70" s="511">
        <f t="shared" si="6"/>
        <v>3.3500000000000002E-2</v>
      </c>
      <c r="AA70" s="287">
        <f t="shared" si="7"/>
        <v>1216.1400000000001</v>
      </c>
      <c r="AB70" s="287">
        <f t="shared" si="65"/>
        <v>459.66000000000008</v>
      </c>
      <c r="AC70" s="287">
        <f t="shared" si="9"/>
        <v>756.48</v>
      </c>
      <c r="AD70" s="287">
        <f t="shared" si="50"/>
        <v>134.16999999999999</v>
      </c>
      <c r="AE70" s="287">
        <f t="shared" si="51"/>
        <v>188.55</v>
      </c>
      <c r="AF70" s="287">
        <f t="shared" si="66"/>
        <v>1538.8600000000001</v>
      </c>
      <c r="AG70" s="287">
        <f t="shared" si="67"/>
        <v>5432.3100000000013</v>
      </c>
      <c r="AH70" s="287">
        <f t="shared" si="68"/>
        <v>9161.369999999999</v>
      </c>
      <c r="AI70" s="530">
        <f t="shared" si="52"/>
        <v>3844.5599999999995</v>
      </c>
      <c r="AJ70" s="530">
        <f t="shared" si="13"/>
        <v>-41912.559999999852</v>
      </c>
      <c r="AK70" s="530">
        <f t="shared" si="53"/>
        <v>-38067.999999999854</v>
      </c>
      <c r="AL70" s="287">
        <f t="shared" si="69"/>
        <v>270516.48999999987</v>
      </c>
      <c r="AM70" s="428">
        <f t="shared" si="24"/>
        <v>0</v>
      </c>
      <c r="AN70" s="14">
        <f t="shared" si="54"/>
        <v>749.98</v>
      </c>
      <c r="AO70" s="14">
        <f t="shared" si="45"/>
        <v>106729.18</v>
      </c>
      <c r="AP70" s="14">
        <f t="shared" si="55"/>
        <v>429.60000000000014</v>
      </c>
      <c r="AS70" s="14">
        <f t="shared" si="16"/>
        <v>749.98</v>
      </c>
      <c r="AT70" s="14">
        <f t="shared" si="26"/>
        <v>8519.1999999999989</v>
      </c>
      <c r="AU70" s="287">
        <f t="shared" si="27"/>
        <v>924.45326352068594</v>
      </c>
      <c r="AV70" s="287">
        <f t="shared" si="28"/>
        <v>47310.432319726453</v>
      </c>
    </row>
    <row r="71" spans="1:50" x14ac:dyDescent="0.25">
      <c r="A71" s="519">
        <f t="shared" si="56"/>
        <v>46089</v>
      </c>
      <c r="B71" s="287">
        <f t="shared" si="17"/>
        <v>167339.94999999995</v>
      </c>
      <c r="C71" s="14">
        <f t="shared" si="0"/>
        <v>786.54</v>
      </c>
      <c r="D71" s="14">
        <f t="shared" si="30"/>
        <v>368.18999999999994</v>
      </c>
      <c r="E71" s="14">
        <f t="shared" si="1"/>
        <v>418.35</v>
      </c>
      <c r="F71" s="14">
        <f t="shared" si="46"/>
        <v>134.16999999999999</v>
      </c>
      <c r="G71" s="14">
        <f t="shared" si="47"/>
        <v>188.55</v>
      </c>
      <c r="H71" s="14">
        <f t="shared" si="48"/>
        <v>1109.26</v>
      </c>
      <c r="I71" s="287">
        <f t="shared" si="57"/>
        <v>20052.639999999992</v>
      </c>
      <c r="J71" s="287">
        <f t="shared" si="58"/>
        <v>25246.539999999997</v>
      </c>
      <c r="K71" s="287">
        <f t="shared" si="59"/>
        <v>166971.75999999995</v>
      </c>
      <c r="L71" s="428">
        <f t="shared" si="2"/>
        <v>1</v>
      </c>
      <c r="M71" s="428">
        <f t="shared" si="18"/>
        <v>12</v>
      </c>
      <c r="N71" s="287">
        <f t="shared" si="19"/>
        <v>228603.93000000002</v>
      </c>
      <c r="O71" s="287">
        <f t="shared" si="60"/>
        <v>1536.52</v>
      </c>
      <c r="P71" s="287">
        <f t="shared" si="34"/>
        <v>203</v>
      </c>
      <c r="Q71" s="287">
        <f t="shared" si="61"/>
        <v>1333.52</v>
      </c>
      <c r="R71" s="287">
        <f t="shared" si="70"/>
        <v>134.16999999999999</v>
      </c>
      <c r="S71" s="287">
        <f t="shared" si="62"/>
        <v>188.55</v>
      </c>
      <c r="T71" s="287">
        <f t="shared" si="49"/>
        <v>1859.24</v>
      </c>
      <c r="U71" s="287">
        <f t="shared" si="35"/>
        <v>2549.0699999999997</v>
      </c>
      <c r="V71" s="287">
        <f t="shared" si="36"/>
        <v>17425.690000000002</v>
      </c>
      <c r="W71" s="287">
        <f t="shared" si="63"/>
        <v>228400.93000000002</v>
      </c>
      <c r="X71" s="519">
        <f t="shared" si="22"/>
        <v>46089</v>
      </c>
      <c r="Y71" s="287">
        <f t="shared" si="64"/>
        <v>270516.48999999987</v>
      </c>
      <c r="Z71" s="511">
        <f t="shared" si="6"/>
        <v>3.3500000000000002E-2</v>
      </c>
      <c r="AA71" s="287">
        <f t="shared" si="7"/>
        <v>1216.1400000000001</v>
      </c>
      <c r="AB71" s="287">
        <f t="shared" si="65"/>
        <v>460.95000000000005</v>
      </c>
      <c r="AC71" s="287">
        <f t="shared" si="9"/>
        <v>755.19</v>
      </c>
      <c r="AD71" s="287">
        <f t="shared" si="50"/>
        <v>134.16999999999999</v>
      </c>
      <c r="AE71" s="287">
        <f t="shared" si="51"/>
        <v>188.55</v>
      </c>
      <c r="AF71" s="287">
        <f t="shared" si="66"/>
        <v>1538.8600000000001</v>
      </c>
      <c r="AG71" s="287">
        <f t="shared" si="67"/>
        <v>5893.2600000000011</v>
      </c>
      <c r="AH71" s="287">
        <f t="shared" si="68"/>
        <v>9916.56</v>
      </c>
      <c r="AI71" s="530">
        <f t="shared" si="52"/>
        <v>4164.9399999999996</v>
      </c>
      <c r="AJ71" s="530">
        <f t="shared" si="13"/>
        <v>-41654.609999999841</v>
      </c>
      <c r="AK71" s="530">
        <f t="shared" si="53"/>
        <v>-37489.669999999838</v>
      </c>
      <c r="AL71" s="287">
        <f t="shared" si="69"/>
        <v>270055.53999999986</v>
      </c>
      <c r="AM71" s="428">
        <f t="shared" si="24"/>
        <v>1</v>
      </c>
      <c r="AN71" s="14">
        <f t="shared" si="54"/>
        <v>749.98</v>
      </c>
      <c r="AO71" s="14">
        <f t="shared" si="45"/>
        <v>106894.36999999997</v>
      </c>
      <c r="AP71" s="14">
        <f t="shared" si="55"/>
        <v>429.60000000000014</v>
      </c>
      <c r="AS71" s="14">
        <f t="shared" si="16"/>
        <v>749.98</v>
      </c>
      <c r="AT71" s="14">
        <f t="shared" si="26"/>
        <v>9269.1799999999985</v>
      </c>
      <c r="AU71" s="287">
        <f t="shared" si="27"/>
        <v>927.53477439908818</v>
      </c>
      <c r="AV71" s="287">
        <f t="shared" si="28"/>
        <v>48237.967094125539</v>
      </c>
      <c r="AX71" s="487"/>
    </row>
    <row r="72" spans="1:50" x14ac:dyDescent="0.25">
      <c r="A72" s="519">
        <f t="shared" si="56"/>
        <v>46119</v>
      </c>
      <c r="B72" s="287">
        <f t="shared" si="17"/>
        <v>166971.75999999995</v>
      </c>
      <c r="C72" s="14">
        <f t="shared" si="0"/>
        <v>786.54</v>
      </c>
      <c r="D72" s="14">
        <f t="shared" si="30"/>
        <v>369.10999999999996</v>
      </c>
      <c r="E72" s="14">
        <f t="shared" si="1"/>
        <v>417.43</v>
      </c>
      <c r="F72" s="14">
        <f t="shared" si="46"/>
        <v>134.16999999999999</v>
      </c>
      <c r="G72" s="14">
        <f t="shared" si="47"/>
        <v>188.55</v>
      </c>
      <c r="H72" s="14">
        <f t="shared" si="48"/>
        <v>1109.26</v>
      </c>
      <c r="I72" s="287">
        <f t="shared" si="57"/>
        <v>20421.749999999993</v>
      </c>
      <c r="J72" s="287">
        <f t="shared" si="58"/>
        <v>25663.969999999998</v>
      </c>
      <c r="K72" s="287">
        <f t="shared" si="59"/>
        <v>166602.64999999997</v>
      </c>
      <c r="L72" s="428">
        <f t="shared" si="2"/>
        <v>1</v>
      </c>
      <c r="M72" s="428">
        <f t="shared" si="18"/>
        <v>13</v>
      </c>
      <c r="N72" s="287">
        <f t="shared" si="19"/>
        <v>228400.93000000002</v>
      </c>
      <c r="O72" s="287">
        <f t="shared" si="60"/>
        <v>1536.52</v>
      </c>
      <c r="P72" s="287">
        <f t="shared" si="34"/>
        <v>204.18000000000006</v>
      </c>
      <c r="Q72" s="287">
        <f t="shared" si="61"/>
        <v>1332.34</v>
      </c>
      <c r="R72" s="287">
        <f t="shared" si="70"/>
        <v>134.16999999999999</v>
      </c>
      <c r="S72" s="287">
        <f t="shared" si="62"/>
        <v>188.55</v>
      </c>
      <c r="T72" s="287">
        <f t="shared" si="49"/>
        <v>1859.24</v>
      </c>
      <c r="U72" s="287">
        <f t="shared" si="35"/>
        <v>2753.25</v>
      </c>
      <c r="V72" s="287">
        <f t="shared" si="36"/>
        <v>18758.030000000002</v>
      </c>
      <c r="W72" s="287">
        <f t="shared" si="63"/>
        <v>228196.75000000003</v>
      </c>
      <c r="X72" s="519">
        <f t="shared" si="22"/>
        <v>46119</v>
      </c>
      <c r="Y72" s="287">
        <f t="shared" si="64"/>
        <v>270055.53999999986</v>
      </c>
      <c r="Z72" s="511">
        <f t="shared" si="6"/>
        <v>3.3500000000000002E-2</v>
      </c>
      <c r="AA72" s="287">
        <f t="shared" si="7"/>
        <v>1216.1400000000001</v>
      </c>
      <c r="AB72" s="287">
        <f t="shared" si="65"/>
        <v>462.23000000000013</v>
      </c>
      <c r="AC72" s="287">
        <f t="shared" si="9"/>
        <v>753.91</v>
      </c>
      <c r="AD72" s="287">
        <f t="shared" si="50"/>
        <v>134.16999999999999</v>
      </c>
      <c r="AE72" s="287">
        <f t="shared" si="51"/>
        <v>188.55</v>
      </c>
      <c r="AF72" s="287">
        <f t="shared" si="66"/>
        <v>1538.8600000000001</v>
      </c>
      <c r="AG72" s="287">
        <f t="shared" si="67"/>
        <v>6355.4900000000016</v>
      </c>
      <c r="AH72" s="287">
        <f t="shared" si="68"/>
        <v>10670.47</v>
      </c>
      <c r="AI72" s="530">
        <f t="shared" si="52"/>
        <v>4485.32</v>
      </c>
      <c r="AJ72" s="530">
        <f t="shared" si="13"/>
        <v>-41396.559999999852</v>
      </c>
      <c r="AK72" s="530">
        <f t="shared" si="53"/>
        <v>-36911.239999999852</v>
      </c>
      <c r="AL72" s="287">
        <f t="shared" si="69"/>
        <v>269593.30999999988</v>
      </c>
      <c r="AM72" s="428">
        <f t="shared" si="24"/>
        <v>1</v>
      </c>
      <c r="AN72" s="14">
        <f t="shared" si="54"/>
        <v>749.98</v>
      </c>
      <c r="AO72" s="14">
        <f t="shared" si="45"/>
        <v>107059.29999999999</v>
      </c>
      <c r="AP72" s="14">
        <f t="shared" si="55"/>
        <v>429.60000000000014</v>
      </c>
      <c r="AS72" s="14">
        <f t="shared" si="16"/>
        <v>749.98</v>
      </c>
      <c r="AT72" s="14">
        <f t="shared" si="26"/>
        <v>10019.159999999998</v>
      </c>
      <c r="AU72" s="287">
        <f t="shared" si="27"/>
        <v>930.62655698041851</v>
      </c>
      <c r="AV72" s="287">
        <f t="shared" si="28"/>
        <v>49168.593651105955</v>
      </c>
      <c r="AX72" s="487"/>
    </row>
    <row r="73" spans="1:50" x14ac:dyDescent="0.25">
      <c r="A73" s="519">
        <f t="shared" si="56"/>
        <v>46149</v>
      </c>
      <c r="B73" s="287">
        <f t="shared" si="17"/>
        <v>166602.64999999997</v>
      </c>
      <c r="C73" s="14">
        <f t="shared" si="0"/>
        <v>786.54</v>
      </c>
      <c r="D73" s="14">
        <f t="shared" si="30"/>
        <v>370.03</v>
      </c>
      <c r="E73" s="14">
        <f t="shared" si="1"/>
        <v>416.51</v>
      </c>
      <c r="F73" s="14">
        <f t="shared" si="46"/>
        <v>134.16999999999999</v>
      </c>
      <c r="G73" s="14">
        <f t="shared" si="47"/>
        <v>188.55</v>
      </c>
      <c r="H73" s="14">
        <f t="shared" si="48"/>
        <v>1109.26</v>
      </c>
      <c r="I73" s="287">
        <f t="shared" si="57"/>
        <v>20791.779999999992</v>
      </c>
      <c r="J73" s="287">
        <f t="shared" si="58"/>
        <v>26080.479999999996</v>
      </c>
      <c r="K73" s="287">
        <f t="shared" si="59"/>
        <v>166232.61999999997</v>
      </c>
      <c r="L73" s="428">
        <f t="shared" si="2"/>
        <v>1</v>
      </c>
      <c r="M73" s="428">
        <f t="shared" si="18"/>
        <v>14</v>
      </c>
      <c r="N73" s="287">
        <f t="shared" si="19"/>
        <v>228196.75000000003</v>
      </c>
      <c r="O73" s="287">
        <f t="shared" si="60"/>
        <v>1536.52</v>
      </c>
      <c r="P73" s="287">
        <f t="shared" si="34"/>
        <v>205.36999999999989</v>
      </c>
      <c r="Q73" s="287">
        <f t="shared" si="61"/>
        <v>1331.15</v>
      </c>
      <c r="R73" s="287">
        <f t="shared" si="70"/>
        <v>134.16999999999999</v>
      </c>
      <c r="S73" s="287">
        <f t="shared" si="62"/>
        <v>188.55</v>
      </c>
      <c r="T73" s="287">
        <f t="shared" si="49"/>
        <v>1859.24</v>
      </c>
      <c r="U73" s="287">
        <f t="shared" si="35"/>
        <v>2958.62</v>
      </c>
      <c r="V73" s="287">
        <f t="shared" si="36"/>
        <v>20089.180000000004</v>
      </c>
      <c r="W73" s="287">
        <f t="shared" si="63"/>
        <v>227991.38000000003</v>
      </c>
      <c r="X73" s="519">
        <f t="shared" si="22"/>
        <v>46149</v>
      </c>
      <c r="Y73" s="287">
        <f t="shared" si="64"/>
        <v>269593.30999999988</v>
      </c>
      <c r="Z73" s="511">
        <f t="shared" si="6"/>
        <v>3.3500000000000002E-2</v>
      </c>
      <c r="AA73" s="287">
        <f t="shared" si="7"/>
        <v>1216.1400000000001</v>
      </c>
      <c r="AB73" s="287">
        <f t="shared" si="65"/>
        <v>463.53000000000009</v>
      </c>
      <c r="AC73" s="287">
        <f t="shared" si="9"/>
        <v>752.61</v>
      </c>
      <c r="AD73" s="287">
        <f t="shared" si="50"/>
        <v>134.16999999999999</v>
      </c>
      <c r="AE73" s="287">
        <f t="shared" si="51"/>
        <v>188.55</v>
      </c>
      <c r="AF73" s="287">
        <f t="shared" si="66"/>
        <v>1538.8600000000001</v>
      </c>
      <c r="AG73" s="287">
        <f t="shared" si="67"/>
        <v>6819.0200000000013</v>
      </c>
      <c r="AH73" s="287">
        <f t="shared" si="68"/>
        <v>11423.08</v>
      </c>
      <c r="AI73" s="530">
        <f t="shared" si="52"/>
        <v>4805.7</v>
      </c>
      <c r="AJ73" s="530">
        <f t="shared" si="13"/>
        <v>-41138.39999999982</v>
      </c>
      <c r="AK73" s="530">
        <f t="shared" si="53"/>
        <v>-36332.699999999822</v>
      </c>
      <c r="AL73" s="287">
        <f t="shared" si="69"/>
        <v>269129.77999999985</v>
      </c>
      <c r="AM73" s="428">
        <f t="shared" si="24"/>
        <v>1</v>
      </c>
      <c r="AN73" s="14">
        <f t="shared" si="54"/>
        <v>749.98</v>
      </c>
      <c r="AO73" s="14">
        <f t="shared" si="45"/>
        <v>107223.95999999999</v>
      </c>
      <c r="AP73" s="14">
        <f t="shared" si="55"/>
        <v>429.60000000000014</v>
      </c>
      <c r="AS73" s="14">
        <f t="shared" si="16"/>
        <v>749.98</v>
      </c>
      <c r="AT73" s="14">
        <f t="shared" si="26"/>
        <v>10769.139999999998</v>
      </c>
      <c r="AU73" s="287">
        <f t="shared" si="27"/>
        <v>933.72864550368649</v>
      </c>
      <c r="AV73" s="287">
        <f t="shared" si="28"/>
        <v>50102.322296609644</v>
      </c>
    </row>
    <row r="74" spans="1:50" ht="15.75" thickBot="1" x14ac:dyDescent="0.3">
      <c r="A74" s="522">
        <f t="shared" si="56"/>
        <v>46179</v>
      </c>
      <c r="B74" s="348">
        <f t="shared" si="17"/>
        <v>166232.61999999997</v>
      </c>
      <c r="C74" s="21">
        <f t="shared" si="0"/>
        <v>786.54</v>
      </c>
      <c r="D74" s="21">
        <f t="shared" si="30"/>
        <v>370.96</v>
      </c>
      <c r="E74" s="21">
        <f t="shared" si="1"/>
        <v>415.58</v>
      </c>
      <c r="F74" s="21">
        <f t="shared" si="46"/>
        <v>134.16999999999999</v>
      </c>
      <c r="G74" s="21">
        <f t="shared" si="47"/>
        <v>188.55</v>
      </c>
      <c r="H74" s="21">
        <f t="shared" si="48"/>
        <v>1109.26</v>
      </c>
      <c r="I74" s="348">
        <f t="shared" si="57"/>
        <v>21162.739999999991</v>
      </c>
      <c r="J74" s="348">
        <f t="shared" si="58"/>
        <v>26496.059999999998</v>
      </c>
      <c r="K74" s="348">
        <f t="shared" si="59"/>
        <v>165861.65999999997</v>
      </c>
      <c r="L74" s="429">
        <f t="shared" si="2"/>
        <v>1</v>
      </c>
      <c r="M74" s="429">
        <f t="shared" si="18"/>
        <v>15</v>
      </c>
      <c r="N74" s="348">
        <f t="shared" si="19"/>
        <v>227991.38000000003</v>
      </c>
      <c r="O74" s="348">
        <f t="shared" si="60"/>
        <v>1536.52</v>
      </c>
      <c r="P74" s="348">
        <f t="shared" si="34"/>
        <v>206.56999999999994</v>
      </c>
      <c r="Q74" s="348">
        <f t="shared" si="61"/>
        <v>1329.95</v>
      </c>
      <c r="R74" s="348">
        <f t="shared" si="70"/>
        <v>134.16999999999999</v>
      </c>
      <c r="S74" s="348">
        <f t="shared" si="62"/>
        <v>188.55</v>
      </c>
      <c r="T74" s="348">
        <f t="shared" si="49"/>
        <v>1859.24</v>
      </c>
      <c r="U74" s="348">
        <f t="shared" si="35"/>
        <v>3165.1899999999996</v>
      </c>
      <c r="V74" s="348">
        <f t="shared" si="36"/>
        <v>21419.130000000005</v>
      </c>
      <c r="W74" s="348">
        <f t="shared" si="63"/>
        <v>227784.81000000003</v>
      </c>
      <c r="X74" s="522">
        <f t="shared" si="22"/>
        <v>46179</v>
      </c>
      <c r="Y74" s="348">
        <f t="shared" si="64"/>
        <v>269129.77999999985</v>
      </c>
      <c r="Z74" s="512">
        <f t="shared" si="6"/>
        <v>3.3500000000000002E-2</v>
      </c>
      <c r="AA74" s="348">
        <f t="shared" si="7"/>
        <v>1216.1400000000001</v>
      </c>
      <c r="AB74" s="348">
        <f t="shared" si="65"/>
        <v>464.82000000000005</v>
      </c>
      <c r="AC74" s="348">
        <f t="shared" si="9"/>
        <v>751.32</v>
      </c>
      <c r="AD74" s="348">
        <f t="shared" si="50"/>
        <v>134.16999999999999</v>
      </c>
      <c r="AE74" s="348">
        <f t="shared" si="51"/>
        <v>188.55</v>
      </c>
      <c r="AF74" s="348">
        <f t="shared" si="66"/>
        <v>1538.8600000000001</v>
      </c>
      <c r="AG74" s="348">
        <f t="shared" si="67"/>
        <v>7283.8400000000011</v>
      </c>
      <c r="AH74" s="348">
        <f t="shared" si="68"/>
        <v>12174.4</v>
      </c>
      <c r="AI74" s="531">
        <f t="shared" si="52"/>
        <v>5126.08</v>
      </c>
      <c r="AJ74" s="531">
        <f t="shared" si="13"/>
        <v>-40880.14999999982</v>
      </c>
      <c r="AK74" s="531">
        <f t="shared" si="53"/>
        <v>-35754.069999999818</v>
      </c>
      <c r="AL74" s="348">
        <f t="shared" si="69"/>
        <v>268664.95999999985</v>
      </c>
      <c r="AM74" s="429">
        <f t="shared" si="24"/>
        <v>1</v>
      </c>
      <c r="AN74" s="21">
        <f t="shared" si="54"/>
        <v>749.98</v>
      </c>
      <c r="AO74" s="21">
        <f t="shared" si="45"/>
        <v>107388.34999999998</v>
      </c>
      <c r="AP74" s="21">
        <f t="shared" si="55"/>
        <v>429.60000000000014</v>
      </c>
      <c r="AQ74" s="21"/>
      <c r="AR74" s="23"/>
      <c r="AS74" s="21">
        <f t="shared" si="16"/>
        <v>749.98</v>
      </c>
      <c r="AT74" s="21">
        <f t="shared" si="26"/>
        <v>11519.119999999997</v>
      </c>
      <c r="AU74" s="348">
        <f t="shared" si="27"/>
        <v>936.84107432203211</v>
      </c>
      <c r="AV74" s="348">
        <f t="shared" si="28"/>
        <v>51039.163370931674</v>
      </c>
    </row>
    <row r="75" spans="1:50" x14ac:dyDescent="0.25">
      <c r="A75" s="519">
        <f t="shared" si="56"/>
        <v>46209</v>
      </c>
      <c r="B75" s="287">
        <f t="shared" si="17"/>
        <v>165861.65999999997</v>
      </c>
      <c r="C75" s="14">
        <f t="shared" si="0"/>
        <v>786.54</v>
      </c>
      <c r="D75" s="14">
        <f t="shared" si="30"/>
        <v>371.89</v>
      </c>
      <c r="E75" s="14">
        <f t="shared" si="1"/>
        <v>414.65</v>
      </c>
      <c r="F75" s="14">
        <f t="shared" si="46"/>
        <v>134.16999999999999</v>
      </c>
      <c r="G75" s="14">
        <f t="shared" si="47"/>
        <v>188.55</v>
      </c>
      <c r="H75" s="14">
        <f t="shared" si="48"/>
        <v>1109.26</v>
      </c>
      <c r="I75" s="287">
        <f t="shared" si="57"/>
        <v>21534.62999999999</v>
      </c>
      <c r="J75" s="287">
        <f t="shared" si="58"/>
        <v>26910.71</v>
      </c>
      <c r="K75" s="287">
        <f t="shared" si="59"/>
        <v>165489.76999999996</v>
      </c>
      <c r="L75" s="428">
        <f t="shared" si="2"/>
        <v>1</v>
      </c>
      <c r="M75" s="428">
        <f t="shared" si="18"/>
        <v>16</v>
      </c>
      <c r="N75" s="287">
        <f t="shared" si="19"/>
        <v>227784.81000000003</v>
      </c>
      <c r="O75" s="287">
        <f t="shared" si="60"/>
        <v>1536.52</v>
      </c>
      <c r="P75" s="287">
        <f t="shared" si="34"/>
        <v>207.77999999999997</v>
      </c>
      <c r="Q75" s="287">
        <f t="shared" si="61"/>
        <v>1328.74</v>
      </c>
      <c r="R75" s="287">
        <f t="shared" si="70"/>
        <v>134.16999999999999</v>
      </c>
      <c r="S75" s="287">
        <f t="shared" si="62"/>
        <v>188.55</v>
      </c>
      <c r="T75" s="287">
        <f t="shared" si="49"/>
        <v>1859.24</v>
      </c>
      <c r="U75" s="287">
        <f t="shared" si="35"/>
        <v>3372.9699999999993</v>
      </c>
      <c r="V75" s="287">
        <f t="shared" si="36"/>
        <v>22747.870000000006</v>
      </c>
      <c r="W75" s="287">
        <f t="shared" si="63"/>
        <v>227577.03000000003</v>
      </c>
      <c r="X75" s="519">
        <f t="shared" si="22"/>
        <v>46209</v>
      </c>
      <c r="Y75" s="287">
        <f t="shared" si="64"/>
        <v>268664.95999999985</v>
      </c>
      <c r="Z75" s="511">
        <f t="shared" si="6"/>
        <v>3.3500000000000002E-2</v>
      </c>
      <c r="AA75" s="287">
        <f t="shared" si="7"/>
        <v>1216.1400000000001</v>
      </c>
      <c r="AB75" s="287">
        <f t="shared" si="65"/>
        <v>466.12000000000012</v>
      </c>
      <c r="AC75" s="287">
        <f t="shared" si="9"/>
        <v>750.02</v>
      </c>
      <c r="AD75" s="287">
        <f t="shared" si="50"/>
        <v>134.16999999999999</v>
      </c>
      <c r="AE75" s="287">
        <f t="shared" si="51"/>
        <v>188.55</v>
      </c>
      <c r="AF75" s="287">
        <f t="shared" si="66"/>
        <v>1538.8600000000001</v>
      </c>
      <c r="AG75" s="287">
        <f t="shared" si="67"/>
        <v>7749.9600000000009</v>
      </c>
      <c r="AH75" s="287">
        <f t="shared" si="68"/>
        <v>12924.42</v>
      </c>
      <c r="AI75" s="530">
        <f t="shared" si="52"/>
        <v>5446.46</v>
      </c>
      <c r="AJ75" s="530">
        <f t="shared" si="13"/>
        <v>-40621.809999999823</v>
      </c>
      <c r="AK75" s="530">
        <f t="shared" si="53"/>
        <v>-35175.349999999824</v>
      </c>
      <c r="AL75" s="287">
        <f t="shared" si="69"/>
        <v>268198.83999999985</v>
      </c>
      <c r="AM75" s="428">
        <f t="shared" si="24"/>
        <v>1</v>
      </c>
      <c r="AN75" s="14">
        <f t="shared" si="54"/>
        <v>749.98</v>
      </c>
      <c r="AO75" s="14">
        <f t="shared" si="45"/>
        <v>107552.45999999998</v>
      </c>
      <c r="AP75" s="14">
        <f t="shared" si="55"/>
        <v>429.60000000000014</v>
      </c>
      <c r="AS75" s="14">
        <f t="shared" si="16"/>
        <v>749.98</v>
      </c>
      <c r="AT75" s="14">
        <f t="shared" si="26"/>
        <v>12269.099999999997</v>
      </c>
      <c r="AU75" s="287">
        <f t="shared" si="27"/>
        <v>939.96387790310564</v>
      </c>
      <c r="AV75" s="287">
        <f t="shared" si="28"/>
        <v>51979.127248834782</v>
      </c>
    </row>
    <row r="76" spans="1:50" x14ac:dyDescent="0.25">
      <c r="A76" s="519">
        <f t="shared" si="56"/>
        <v>46239</v>
      </c>
      <c r="B76" s="287">
        <f t="shared" si="17"/>
        <v>165489.76999999996</v>
      </c>
      <c r="C76" s="14">
        <f t="shared" si="0"/>
        <v>786.54</v>
      </c>
      <c r="D76" s="14">
        <f t="shared" si="30"/>
        <v>372.81999999999994</v>
      </c>
      <c r="E76" s="14">
        <f t="shared" si="1"/>
        <v>413.72</v>
      </c>
      <c r="F76" s="14">
        <f t="shared" si="46"/>
        <v>134.16999999999999</v>
      </c>
      <c r="G76" s="14">
        <f t="shared" si="47"/>
        <v>188.55</v>
      </c>
      <c r="H76" s="14">
        <f t="shared" si="48"/>
        <v>1109.26</v>
      </c>
      <c r="I76" s="287">
        <f t="shared" si="57"/>
        <v>21907.44999999999</v>
      </c>
      <c r="J76" s="287">
        <f t="shared" si="58"/>
        <v>27324.43</v>
      </c>
      <c r="K76" s="287">
        <f t="shared" si="59"/>
        <v>165116.94999999995</v>
      </c>
      <c r="L76" s="428">
        <f t="shared" si="2"/>
        <v>1</v>
      </c>
      <c r="M76" s="428">
        <f t="shared" si="18"/>
        <v>17</v>
      </c>
      <c r="N76" s="287">
        <f t="shared" si="19"/>
        <v>227577.03000000003</v>
      </c>
      <c r="O76" s="287">
        <f t="shared" si="60"/>
        <v>1536.52</v>
      </c>
      <c r="P76" s="287">
        <f t="shared" si="34"/>
        <v>208.99</v>
      </c>
      <c r="Q76" s="287">
        <f t="shared" si="61"/>
        <v>1327.53</v>
      </c>
      <c r="R76" s="287">
        <f t="shared" si="70"/>
        <v>134.16999999999999</v>
      </c>
      <c r="S76" s="287">
        <f t="shared" si="62"/>
        <v>188.55</v>
      </c>
      <c r="T76" s="287">
        <f t="shared" si="49"/>
        <v>1859.24</v>
      </c>
      <c r="U76" s="287">
        <f t="shared" si="35"/>
        <v>3581.9599999999991</v>
      </c>
      <c r="V76" s="287">
        <f t="shared" si="36"/>
        <v>24075.400000000005</v>
      </c>
      <c r="W76" s="287">
        <f t="shared" si="63"/>
        <v>227368.04000000004</v>
      </c>
      <c r="X76" s="519">
        <f t="shared" si="22"/>
        <v>46239</v>
      </c>
      <c r="Y76" s="287">
        <f t="shared" si="64"/>
        <v>268198.83999999985</v>
      </c>
      <c r="Z76" s="511">
        <f t="shared" si="6"/>
        <v>3.3500000000000002E-2</v>
      </c>
      <c r="AA76" s="287">
        <f t="shared" si="7"/>
        <v>1216.1400000000001</v>
      </c>
      <c r="AB76" s="287">
        <f t="shared" si="65"/>
        <v>467.42000000000007</v>
      </c>
      <c r="AC76" s="287">
        <f t="shared" si="9"/>
        <v>748.72</v>
      </c>
      <c r="AD76" s="287">
        <f t="shared" si="50"/>
        <v>134.16999999999999</v>
      </c>
      <c r="AE76" s="287">
        <f t="shared" si="51"/>
        <v>188.55</v>
      </c>
      <c r="AF76" s="287">
        <f t="shared" si="66"/>
        <v>1538.8600000000001</v>
      </c>
      <c r="AG76" s="287">
        <f t="shared" si="67"/>
        <v>8217.380000000001</v>
      </c>
      <c r="AH76" s="287">
        <f t="shared" si="68"/>
        <v>13673.14</v>
      </c>
      <c r="AI76" s="530">
        <f t="shared" si="52"/>
        <v>5766.84</v>
      </c>
      <c r="AJ76" s="530">
        <f t="shared" si="13"/>
        <v>-40363.37999999983</v>
      </c>
      <c r="AK76" s="530">
        <f t="shared" si="53"/>
        <v>-34596.539999999834</v>
      </c>
      <c r="AL76" s="287">
        <f t="shared" si="69"/>
        <v>267731.41999999987</v>
      </c>
      <c r="AM76" s="428">
        <f t="shared" si="24"/>
        <v>1</v>
      </c>
      <c r="AN76" s="14">
        <f t="shared" si="54"/>
        <v>749.98</v>
      </c>
      <c r="AO76" s="14">
        <f t="shared" si="45"/>
        <v>107716.28999999998</v>
      </c>
      <c r="AP76" s="14">
        <f t="shared" si="55"/>
        <v>429.60000000000014</v>
      </c>
      <c r="AS76" s="14">
        <f t="shared" si="16"/>
        <v>749.98</v>
      </c>
      <c r="AT76" s="14">
        <f t="shared" si="26"/>
        <v>13019.079999999996</v>
      </c>
      <c r="AU76" s="287">
        <f t="shared" si="27"/>
        <v>943.09709082944926</v>
      </c>
      <c r="AV76" s="287">
        <f t="shared" si="28"/>
        <v>52922.22433966423</v>
      </c>
    </row>
    <row r="77" spans="1:50" x14ac:dyDescent="0.25">
      <c r="A77" s="519">
        <f t="shared" si="56"/>
        <v>46269</v>
      </c>
      <c r="B77" s="287">
        <f t="shared" si="17"/>
        <v>165116.94999999995</v>
      </c>
      <c r="C77" s="14">
        <f t="shared" si="0"/>
        <v>786.54</v>
      </c>
      <c r="D77" s="14">
        <f t="shared" si="30"/>
        <v>373.74999999999994</v>
      </c>
      <c r="E77" s="14">
        <f t="shared" si="1"/>
        <v>412.79</v>
      </c>
      <c r="F77" s="14">
        <f t="shared" si="46"/>
        <v>134.16999999999999</v>
      </c>
      <c r="G77" s="14">
        <f t="shared" si="47"/>
        <v>188.55</v>
      </c>
      <c r="H77" s="14">
        <f t="shared" si="48"/>
        <v>1109.26</v>
      </c>
      <c r="I77" s="287">
        <f t="shared" si="57"/>
        <v>22281.19999999999</v>
      </c>
      <c r="J77" s="287">
        <f t="shared" si="58"/>
        <v>27737.22</v>
      </c>
      <c r="K77" s="287">
        <f t="shared" si="59"/>
        <v>164743.19999999995</v>
      </c>
      <c r="L77" s="428">
        <f t="shared" si="2"/>
        <v>1</v>
      </c>
      <c r="M77" s="428">
        <f t="shared" si="18"/>
        <v>18</v>
      </c>
      <c r="N77" s="287">
        <f t="shared" si="19"/>
        <v>227368.04000000004</v>
      </c>
      <c r="O77" s="287">
        <f t="shared" si="60"/>
        <v>1536.52</v>
      </c>
      <c r="P77" s="287">
        <f t="shared" si="34"/>
        <v>210.21000000000004</v>
      </c>
      <c r="Q77" s="287">
        <f t="shared" si="61"/>
        <v>1326.31</v>
      </c>
      <c r="R77" s="287">
        <f t="shared" si="70"/>
        <v>134.16999999999999</v>
      </c>
      <c r="S77" s="287">
        <f t="shared" si="62"/>
        <v>188.55</v>
      </c>
      <c r="T77" s="287">
        <f t="shared" si="49"/>
        <v>1859.24</v>
      </c>
      <c r="U77" s="287">
        <f t="shared" si="35"/>
        <v>3792.1699999999992</v>
      </c>
      <c r="V77" s="287">
        <f t="shared" si="36"/>
        <v>25401.710000000006</v>
      </c>
      <c r="W77" s="287">
        <f t="shared" si="63"/>
        <v>227157.83000000005</v>
      </c>
      <c r="X77" s="519">
        <f t="shared" si="22"/>
        <v>46269</v>
      </c>
      <c r="Y77" s="287">
        <f t="shared" si="64"/>
        <v>267731.41999999987</v>
      </c>
      <c r="Z77" s="511">
        <f t="shared" si="6"/>
        <v>3.3500000000000002E-2</v>
      </c>
      <c r="AA77" s="287">
        <f t="shared" si="7"/>
        <v>1216.1400000000001</v>
      </c>
      <c r="AB77" s="287">
        <f t="shared" si="65"/>
        <v>468.72000000000014</v>
      </c>
      <c r="AC77" s="287">
        <f t="shared" si="9"/>
        <v>747.42</v>
      </c>
      <c r="AD77" s="287">
        <f t="shared" si="50"/>
        <v>134.16999999999999</v>
      </c>
      <c r="AE77" s="287">
        <f t="shared" si="51"/>
        <v>188.55</v>
      </c>
      <c r="AF77" s="287">
        <f t="shared" si="66"/>
        <v>1538.8600000000001</v>
      </c>
      <c r="AG77" s="287">
        <f t="shared" si="67"/>
        <v>8686.1</v>
      </c>
      <c r="AH77" s="287">
        <f t="shared" si="68"/>
        <v>14420.56</v>
      </c>
      <c r="AI77" s="530">
        <f t="shared" si="52"/>
        <v>6087.22</v>
      </c>
      <c r="AJ77" s="530">
        <f t="shared" si="13"/>
        <v>-40104.86999999985</v>
      </c>
      <c r="AK77" s="530">
        <f t="shared" si="53"/>
        <v>-34017.649999999849</v>
      </c>
      <c r="AL77" s="287">
        <f t="shared" si="69"/>
        <v>267262.6999999999</v>
      </c>
      <c r="AM77" s="428">
        <f t="shared" si="24"/>
        <v>1</v>
      </c>
      <c r="AN77" s="14">
        <f t="shared" si="54"/>
        <v>749.98</v>
      </c>
      <c r="AO77" s="14">
        <f t="shared" si="45"/>
        <v>107879.82999999997</v>
      </c>
      <c r="AP77" s="14">
        <f t="shared" si="55"/>
        <v>429.60000000000014</v>
      </c>
      <c r="AS77" s="14">
        <f t="shared" si="16"/>
        <v>749.98</v>
      </c>
      <c r="AT77" s="14">
        <f t="shared" si="26"/>
        <v>13769.059999999996</v>
      </c>
      <c r="AU77" s="287">
        <f t="shared" si="27"/>
        <v>946.24074779888076</v>
      </c>
      <c r="AV77" s="287">
        <f t="shared" si="28"/>
        <v>53868.465087463112</v>
      </c>
    </row>
    <row r="78" spans="1:50" x14ac:dyDescent="0.25">
      <c r="A78" s="519">
        <f t="shared" si="56"/>
        <v>46299</v>
      </c>
      <c r="B78" s="287">
        <f t="shared" si="17"/>
        <v>164743.19999999995</v>
      </c>
      <c r="C78" s="14">
        <f t="shared" si="0"/>
        <v>786.54</v>
      </c>
      <c r="D78" s="14">
        <f t="shared" si="30"/>
        <v>374.67999999999995</v>
      </c>
      <c r="E78" s="14">
        <f t="shared" si="1"/>
        <v>411.86</v>
      </c>
      <c r="F78" s="14">
        <f t="shared" si="46"/>
        <v>134.16999999999999</v>
      </c>
      <c r="G78" s="14">
        <f t="shared" si="47"/>
        <v>188.55</v>
      </c>
      <c r="H78" s="14">
        <f t="shared" si="48"/>
        <v>1109.26</v>
      </c>
      <c r="I78" s="287">
        <f t="shared" si="57"/>
        <v>22655.87999999999</v>
      </c>
      <c r="J78" s="287">
        <f t="shared" si="58"/>
        <v>28149.08</v>
      </c>
      <c r="K78" s="287">
        <f t="shared" si="59"/>
        <v>164368.51999999996</v>
      </c>
      <c r="L78" s="428">
        <f t="shared" si="2"/>
        <v>1</v>
      </c>
      <c r="M78" s="428">
        <f t="shared" si="18"/>
        <v>19</v>
      </c>
      <c r="N78" s="287">
        <f t="shared" si="19"/>
        <v>227157.83000000005</v>
      </c>
      <c r="O78" s="287">
        <f t="shared" si="60"/>
        <v>1536.52</v>
      </c>
      <c r="P78" s="287">
        <f t="shared" si="34"/>
        <v>211.43000000000006</v>
      </c>
      <c r="Q78" s="287">
        <f t="shared" si="61"/>
        <v>1325.09</v>
      </c>
      <c r="R78" s="287">
        <f t="shared" si="70"/>
        <v>134.16999999999999</v>
      </c>
      <c r="S78" s="287">
        <f t="shared" si="62"/>
        <v>188.55</v>
      </c>
      <c r="T78" s="287">
        <f t="shared" si="49"/>
        <v>1859.24</v>
      </c>
      <c r="U78" s="287">
        <f t="shared" si="35"/>
        <v>4003.5999999999995</v>
      </c>
      <c r="V78" s="287">
        <f t="shared" si="36"/>
        <v>26726.800000000007</v>
      </c>
      <c r="W78" s="287">
        <f t="shared" si="63"/>
        <v>226946.40000000005</v>
      </c>
      <c r="X78" s="519">
        <f t="shared" si="22"/>
        <v>46299</v>
      </c>
      <c r="Y78" s="287">
        <f t="shared" si="64"/>
        <v>267262.6999999999</v>
      </c>
      <c r="Z78" s="511">
        <f t="shared" si="6"/>
        <v>3.3500000000000002E-2</v>
      </c>
      <c r="AA78" s="287">
        <f t="shared" si="7"/>
        <v>1216.1400000000001</v>
      </c>
      <c r="AB78" s="287">
        <f t="shared" si="65"/>
        <v>470.03000000000009</v>
      </c>
      <c r="AC78" s="287">
        <f t="shared" si="9"/>
        <v>746.11</v>
      </c>
      <c r="AD78" s="287">
        <f t="shared" si="50"/>
        <v>134.16999999999999</v>
      </c>
      <c r="AE78" s="287">
        <f t="shared" si="51"/>
        <v>188.55</v>
      </c>
      <c r="AF78" s="287">
        <f t="shared" si="66"/>
        <v>1538.8600000000001</v>
      </c>
      <c r="AG78" s="287">
        <f t="shared" si="67"/>
        <v>9156.130000000001</v>
      </c>
      <c r="AH78" s="287">
        <f t="shared" si="68"/>
        <v>15166.67</v>
      </c>
      <c r="AI78" s="530">
        <f t="shared" si="52"/>
        <v>6407.6</v>
      </c>
      <c r="AJ78" s="530">
        <f t="shared" si="13"/>
        <v>-39846.269999999815</v>
      </c>
      <c r="AK78" s="530">
        <f t="shared" si="53"/>
        <v>-33438.669999999816</v>
      </c>
      <c r="AL78" s="287">
        <f t="shared" si="69"/>
        <v>266792.66999999987</v>
      </c>
      <c r="AM78" s="428">
        <f t="shared" si="24"/>
        <v>1</v>
      </c>
      <c r="AN78" s="14">
        <f t="shared" si="54"/>
        <v>749.98</v>
      </c>
      <c r="AO78" s="14">
        <f t="shared" si="45"/>
        <v>108043.07999999997</v>
      </c>
      <c r="AP78" s="14">
        <f t="shared" si="55"/>
        <v>429.60000000000014</v>
      </c>
      <c r="AS78" s="14">
        <f t="shared" si="16"/>
        <v>749.98</v>
      </c>
      <c r="AT78" s="14">
        <f t="shared" si="26"/>
        <v>14519.039999999995</v>
      </c>
      <c r="AU78" s="287">
        <f t="shared" si="27"/>
        <v>949.39488362487691</v>
      </c>
      <c r="AV78" s="287">
        <f t="shared" si="28"/>
        <v>54817.859971087986</v>
      </c>
    </row>
    <row r="79" spans="1:50" x14ac:dyDescent="0.25">
      <c r="A79" s="519">
        <f t="shared" si="56"/>
        <v>46329</v>
      </c>
      <c r="B79" s="287">
        <f t="shared" si="17"/>
        <v>164368.51999999996</v>
      </c>
      <c r="C79" s="14">
        <f t="shared" ref="C79:C142" si="71">IF(+$K78&lt;=0,0,$C$5)</f>
        <v>786.54</v>
      </c>
      <c r="D79" s="14">
        <f t="shared" si="30"/>
        <v>375.61999999999995</v>
      </c>
      <c r="E79" s="14">
        <f t="shared" ref="E79:E142" si="72">ROUND($B79*($C$3/12), 2)</f>
        <v>410.92</v>
      </c>
      <c r="F79" s="14">
        <f t="shared" si="46"/>
        <v>134.16999999999999</v>
      </c>
      <c r="G79" s="14">
        <f t="shared" si="47"/>
        <v>188.55</v>
      </c>
      <c r="H79" s="14">
        <f t="shared" si="48"/>
        <v>1109.26</v>
      </c>
      <c r="I79" s="287">
        <f t="shared" si="57"/>
        <v>23031.499999999989</v>
      </c>
      <c r="J79" s="287">
        <f t="shared" si="58"/>
        <v>28560</v>
      </c>
      <c r="K79" s="287">
        <f t="shared" si="59"/>
        <v>163992.89999999997</v>
      </c>
      <c r="L79" s="428">
        <f t="shared" ref="L79:L107" si="73">IF(MOD(M79,12)=0,M79/12,L78)</f>
        <v>1</v>
      </c>
      <c r="M79" s="428">
        <f t="shared" si="18"/>
        <v>20</v>
      </c>
      <c r="N79" s="287">
        <f t="shared" si="19"/>
        <v>226946.40000000005</v>
      </c>
      <c r="O79" s="287">
        <f t="shared" si="60"/>
        <v>1536.52</v>
      </c>
      <c r="P79" s="287">
        <f t="shared" si="34"/>
        <v>212.67000000000007</v>
      </c>
      <c r="Q79" s="287">
        <f t="shared" si="61"/>
        <v>1323.85</v>
      </c>
      <c r="R79" s="287">
        <f t="shared" si="70"/>
        <v>134.16999999999999</v>
      </c>
      <c r="S79" s="287">
        <f t="shared" si="62"/>
        <v>188.55</v>
      </c>
      <c r="T79" s="287">
        <f t="shared" si="49"/>
        <v>1859.24</v>
      </c>
      <c r="U79" s="287">
        <f t="shared" si="35"/>
        <v>4216.2699999999995</v>
      </c>
      <c r="V79" s="287">
        <f t="shared" si="36"/>
        <v>28050.650000000005</v>
      </c>
      <c r="W79" s="287">
        <f t="shared" si="63"/>
        <v>226733.73000000004</v>
      </c>
      <c r="X79" s="519">
        <f t="shared" si="22"/>
        <v>46329</v>
      </c>
      <c r="Y79" s="287">
        <f t="shared" si="64"/>
        <v>266792.66999999987</v>
      </c>
      <c r="Z79" s="511">
        <f t="shared" ref="Z79:Z142" si="74">IF(L79&gt;4,$AA$9,$AA$8)</f>
        <v>3.3500000000000002E-2</v>
      </c>
      <c r="AA79" s="287">
        <f t="shared" ref="AA79:AA142" si="75">IF($O$9&lt;=$A79,IF(+AL78&lt;=0,0,IF(Z79=$AA$8,$Z$8,$Z$9)),0)</f>
        <v>1216.1400000000001</v>
      </c>
      <c r="AB79" s="287">
        <f t="shared" si="65"/>
        <v>471.34000000000015</v>
      </c>
      <c r="AC79" s="287">
        <f t="shared" ref="AC79:AC142" si="76">IF($O$9&lt;=$A79,ROUND(Y79*(Z79/12),2),0)</f>
        <v>744.8</v>
      </c>
      <c r="AD79" s="287">
        <f t="shared" si="50"/>
        <v>134.16999999999999</v>
      </c>
      <c r="AE79" s="287">
        <f t="shared" si="51"/>
        <v>188.55</v>
      </c>
      <c r="AF79" s="287">
        <f t="shared" si="66"/>
        <v>1538.8600000000001</v>
      </c>
      <c r="AG79" s="287">
        <f t="shared" si="67"/>
        <v>9627.4700000000012</v>
      </c>
      <c r="AH79" s="287">
        <f t="shared" si="68"/>
        <v>15911.47</v>
      </c>
      <c r="AI79" s="530">
        <f t="shared" si="52"/>
        <v>6727.9800000000005</v>
      </c>
      <c r="AJ79" s="530">
        <f t="shared" ref="AJ79:AJ89" si="77">+W79-AL79</f>
        <v>-39587.599999999802</v>
      </c>
      <c r="AK79" s="530">
        <f t="shared" si="53"/>
        <v>-32859.619999999799</v>
      </c>
      <c r="AL79" s="287">
        <f t="shared" si="69"/>
        <v>266321.32999999984</v>
      </c>
      <c r="AM79" s="428">
        <f t="shared" si="24"/>
        <v>1</v>
      </c>
      <c r="AN79" s="14">
        <f t="shared" si="54"/>
        <v>749.98</v>
      </c>
      <c r="AO79" s="14">
        <f t="shared" si="45"/>
        <v>108206.02999999997</v>
      </c>
      <c r="AP79" s="14">
        <f t="shared" si="55"/>
        <v>429.60000000000014</v>
      </c>
      <c r="AS79" s="14">
        <f t="shared" ref="AS79:AS142" si="78">+AN79-AR79</f>
        <v>749.98</v>
      </c>
      <c r="AT79" s="14">
        <f t="shared" si="26"/>
        <v>15269.019999999995</v>
      </c>
      <c r="AU79" s="287">
        <f t="shared" si="27"/>
        <v>952.55953323695996</v>
      </c>
      <c r="AV79" s="287">
        <f t="shared" si="28"/>
        <v>55770.419504324949</v>
      </c>
    </row>
    <row r="80" spans="1:50" x14ac:dyDescent="0.25">
      <c r="A80" s="519">
        <f t="shared" si="56"/>
        <v>46359</v>
      </c>
      <c r="B80" s="287">
        <f t="shared" ref="B80:B143" si="79">IF(+K79&lt;0,0,+K79)</f>
        <v>163992.89999999997</v>
      </c>
      <c r="C80" s="14">
        <f t="shared" si="71"/>
        <v>786.54</v>
      </c>
      <c r="D80" s="14">
        <f t="shared" si="30"/>
        <v>376.55999999999995</v>
      </c>
      <c r="E80" s="14">
        <f t="shared" si="72"/>
        <v>409.98</v>
      </c>
      <c r="F80" s="14">
        <f t="shared" si="46"/>
        <v>134.16999999999999</v>
      </c>
      <c r="G80" s="14">
        <f t="shared" si="47"/>
        <v>188.55</v>
      </c>
      <c r="H80" s="14">
        <f t="shared" si="48"/>
        <v>1109.26</v>
      </c>
      <c r="I80" s="287">
        <f t="shared" si="57"/>
        <v>23408.05999999999</v>
      </c>
      <c r="J80" s="287">
        <f t="shared" si="58"/>
        <v>28969.98</v>
      </c>
      <c r="K80" s="287">
        <f t="shared" si="59"/>
        <v>163616.33999999997</v>
      </c>
      <c r="L80" s="428">
        <f t="shared" si="73"/>
        <v>1</v>
      </c>
      <c r="M80" s="428">
        <f t="shared" ref="M80:M143" si="80">IF(N80&lt;&gt;"",IF(N80=$O$5,0,+M79+1),0)</f>
        <v>21</v>
      </c>
      <c r="N80" s="287">
        <f t="shared" ref="N80:N143" si="81">IF(+W79&lt;0,0,+W79)</f>
        <v>226733.73000000004</v>
      </c>
      <c r="O80" s="287">
        <f t="shared" si="60"/>
        <v>1536.52</v>
      </c>
      <c r="P80" s="287">
        <f t="shared" si="34"/>
        <v>213.91000000000008</v>
      </c>
      <c r="Q80" s="287">
        <f t="shared" si="61"/>
        <v>1322.61</v>
      </c>
      <c r="R80" s="287">
        <f t="shared" si="70"/>
        <v>134.16999999999999</v>
      </c>
      <c r="S80" s="287">
        <f t="shared" si="62"/>
        <v>188.55</v>
      </c>
      <c r="T80" s="287">
        <f t="shared" si="49"/>
        <v>1859.24</v>
      </c>
      <c r="U80" s="287">
        <f t="shared" si="35"/>
        <v>4430.1799999999994</v>
      </c>
      <c r="V80" s="287">
        <f t="shared" si="36"/>
        <v>29373.260000000006</v>
      </c>
      <c r="W80" s="287">
        <f t="shared" si="63"/>
        <v>226519.82000000004</v>
      </c>
      <c r="X80" s="519">
        <f t="shared" ref="X80:X143" si="82">+A80</f>
        <v>46359</v>
      </c>
      <c r="Y80" s="287">
        <f t="shared" si="64"/>
        <v>266321.32999999984</v>
      </c>
      <c r="Z80" s="511">
        <f t="shared" si="74"/>
        <v>3.3500000000000002E-2</v>
      </c>
      <c r="AA80" s="287">
        <f t="shared" si="75"/>
        <v>1216.1400000000001</v>
      </c>
      <c r="AB80" s="287">
        <f t="shared" si="65"/>
        <v>472.66000000000008</v>
      </c>
      <c r="AC80" s="287">
        <f t="shared" si="76"/>
        <v>743.48</v>
      </c>
      <c r="AD80" s="287">
        <f t="shared" si="50"/>
        <v>134.16999999999999</v>
      </c>
      <c r="AE80" s="287">
        <f t="shared" si="51"/>
        <v>188.55</v>
      </c>
      <c r="AF80" s="287">
        <f t="shared" si="66"/>
        <v>1538.8600000000001</v>
      </c>
      <c r="AG80" s="287">
        <f t="shared" si="67"/>
        <v>10100.130000000001</v>
      </c>
      <c r="AH80" s="287">
        <f t="shared" si="68"/>
        <v>16654.95</v>
      </c>
      <c r="AI80" s="530">
        <f t="shared" si="52"/>
        <v>7048.3600000000006</v>
      </c>
      <c r="AJ80" s="530">
        <f t="shared" si="77"/>
        <v>-39328.849999999831</v>
      </c>
      <c r="AK80" s="530">
        <f t="shared" si="53"/>
        <v>-32280.489999999831</v>
      </c>
      <c r="AL80" s="287">
        <f t="shared" si="69"/>
        <v>265848.66999999987</v>
      </c>
      <c r="AM80" s="428">
        <f t="shared" ref="AM80:AM143" si="83">+L80</f>
        <v>1</v>
      </c>
      <c r="AN80" s="14">
        <f t="shared" si="54"/>
        <v>749.98</v>
      </c>
      <c r="AO80" s="14">
        <f t="shared" si="45"/>
        <v>108368.68</v>
      </c>
      <c r="AP80" s="14">
        <f t="shared" si="55"/>
        <v>429.60000000000014</v>
      </c>
      <c r="AS80" s="14">
        <f t="shared" si="78"/>
        <v>749.98</v>
      </c>
      <c r="AT80" s="14">
        <f t="shared" ref="AT80:AT143" si="84">IF(W80&lt;=0,0,+AS80+AT79)</f>
        <v>16018.999999999995</v>
      </c>
      <c r="AU80" s="287">
        <f t="shared" ref="AU80:AU143" si="85">IF(W80&lt;=0,0,+($O$5+AV79)*$AQ$2/12)</f>
        <v>955.7347316810833</v>
      </c>
      <c r="AV80" s="287">
        <f t="shared" ref="AV80:AV143" si="86">IF(W80&lt;=0,0,+AV79+AU80)</f>
        <v>56726.154236006034</v>
      </c>
    </row>
    <row r="81" spans="1:50" x14ac:dyDescent="0.25">
      <c r="A81" s="519">
        <f t="shared" si="56"/>
        <v>46389</v>
      </c>
      <c r="B81" s="287">
        <f t="shared" si="79"/>
        <v>163616.33999999997</v>
      </c>
      <c r="C81" s="14">
        <f t="shared" si="71"/>
        <v>786.54</v>
      </c>
      <c r="D81" s="14">
        <f t="shared" ref="D81:D144" si="87">+C81-E81</f>
        <v>377.49999999999994</v>
      </c>
      <c r="E81" s="14">
        <f t="shared" si="72"/>
        <v>409.04</v>
      </c>
      <c r="F81" s="14">
        <f t="shared" si="46"/>
        <v>134.16999999999999</v>
      </c>
      <c r="G81" s="14">
        <f t="shared" si="47"/>
        <v>188.55</v>
      </c>
      <c r="H81" s="14">
        <f t="shared" si="48"/>
        <v>1109.26</v>
      </c>
      <c r="I81" s="287">
        <f t="shared" si="57"/>
        <v>23785.55999999999</v>
      </c>
      <c r="J81" s="287">
        <f t="shared" si="58"/>
        <v>29379.02</v>
      </c>
      <c r="K81" s="287">
        <f t="shared" si="59"/>
        <v>163238.83999999997</v>
      </c>
      <c r="L81" s="428">
        <f t="shared" si="73"/>
        <v>1</v>
      </c>
      <c r="M81" s="428">
        <f t="shared" si="80"/>
        <v>22</v>
      </c>
      <c r="N81" s="287">
        <f t="shared" si="81"/>
        <v>226519.82000000004</v>
      </c>
      <c r="O81" s="287">
        <f t="shared" si="60"/>
        <v>1536.52</v>
      </c>
      <c r="P81" s="287">
        <f t="shared" ref="P81:P144" si="88">+O81-Q81</f>
        <v>215.15000000000009</v>
      </c>
      <c r="Q81" s="287">
        <f t="shared" si="61"/>
        <v>1321.37</v>
      </c>
      <c r="R81" s="287">
        <f t="shared" si="70"/>
        <v>134.16999999999999</v>
      </c>
      <c r="S81" s="287">
        <f t="shared" si="62"/>
        <v>188.55</v>
      </c>
      <c r="T81" s="287">
        <f t="shared" si="49"/>
        <v>1859.24</v>
      </c>
      <c r="U81" s="287">
        <f t="shared" ref="U81:U144" si="89">+P81+U80</f>
        <v>4645.33</v>
      </c>
      <c r="V81" s="287">
        <f t="shared" ref="V81:V144" si="90">+V80+Q81</f>
        <v>30694.630000000005</v>
      </c>
      <c r="W81" s="287">
        <f t="shared" si="63"/>
        <v>226304.67000000004</v>
      </c>
      <c r="X81" s="519">
        <f t="shared" si="82"/>
        <v>46389</v>
      </c>
      <c r="Y81" s="287">
        <f t="shared" si="64"/>
        <v>265848.66999999987</v>
      </c>
      <c r="Z81" s="511">
        <f t="shared" si="74"/>
        <v>3.3500000000000002E-2</v>
      </c>
      <c r="AA81" s="287">
        <f t="shared" si="75"/>
        <v>1216.1400000000001</v>
      </c>
      <c r="AB81" s="287">
        <f t="shared" si="65"/>
        <v>473.98000000000013</v>
      </c>
      <c r="AC81" s="287">
        <f t="shared" si="76"/>
        <v>742.16</v>
      </c>
      <c r="AD81" s="287">
        <f t="shared" si="50"/>
        <v>134.16999999999999</v>
      </c>
      <c r="AE81" s="287">
        <f t="shared" si="51"/>
        <v>188.55</v>
      </c>
      <c r="AF81" s="287">
        <f t="shared" si="66"/>
        <v>1538.8600000000001</v>
      </c>
      <c r="AG81" s="287">
        <f t="shared" si="67"/>
        <v>10574.11</v>
      </c>
      <c r="AH81" s="287">
        <f t="shared" si="68"/>
        <v>17397.11</v>
      </c>
      <c r="AI81" s="530">
        <f t="shared" si="52"/>
        <v>7368.7400000000007</v>
      </c>
      <c r="AJ81" s="530">
        <f t="shared" si="77"/>
        <v>-39070.019999999844</v>
      </c>
      <c r="AK81" s="530">
        <f t="shared" si="53"/>
        <v>-31701.279999999842</v>
      </c>
      <c r="AL81" s="287">
        <f t="shared" si="69"/>
        <v>265374.68999999989</v>
      </c>
      <c r="AM81" s="428">
        <f t="shared" si="83"/>
        <v>1</v>
      </c>
      <c r="AN81" s="14">
        <f t="shared" si="54"/>
        <v>749.98</v>
      </c>
      <c r="AO81" s="14">
        <f t="shared" si="45"/>
        <v>108531.02999999998</v>
      </c>
      <c r="AP81" s="14">
        <f t="shared" si="55"/>
        <v>429.60000000000014</v>
      </c>
      <c r="AS81" s="14">
        <f t="shared" si="78"/>
        <v>749.98</v>
      </c>
      <c r="AT81" s="14">
        <f t="shared" si="84"/>
        <v>16768.979999999996</v>
      </c>
      <c r="AU81" s="287">
        <f t="shared" si="85"/>
        <v>958.92051412002013</v>
      </c>
      <c r="AV81" s="287">
        <f t="shared" si="86"/>
        <v>57685.074750126056</v>
      </c>
    </row>
    <row r="82" spans="1:50" x14ac:dyDescent="0.25">
      <c r="A82" s="519">
        <f t="shared" si="56"/>
        <v>46419</v>
      </c>
      <c r="B82" s="287">
        <f t="shared" si="79"/>
        <v>163238.83999999997</v>
      </c>
      <c r="C82" s="14">
        <f t="shared" si="71"/>
        <v>786.54</v>
      </c>
      <c r="D82" s="14">
        <f t="shared" si="87"/>
        <v>378.43999999999994</v>
      </c>
      <c r="E82" s="14">
        <f t="shared" si="72"/>
        <v>408.1</v>
      </c>
      <c r="F82" s="14">
        <f t="shared" si="46"/>
        <v>134.16999999999999</v>
      </c>
      <c r="G82" s="14">
        <f t="shared" si="47"/>
        <v>188.55</v>
      </c>
      <c r="H82" s="14">
        <f t="shared" si="48"/>
        <v>1109.26</v>
      </c>
      <c r="I82" s="287">
        <f t="shared" si="57"/>
        <v>24163.999999999989</v>
      </c>
      <c r="J82" s="287">
        <f t="shared" si="58"/>
        <v>29787.119999999999</v>
      </c>
      <c r="K82" s="287">
        <f t="shared" si="59"/>
        <v>162860.39999999997</v>
      </c>
      <c r="L82" s="428">
        <f t="shared" si="73"/>
        <v>1</v>
      </c>
      <c r="M82" s="428">
        <f t="shared" si="80"/>
        <v>23</v>
      </c>
      <c r="N82" s="287">
        <f t="shared" si="81"/>
        <v>226304.67000000004</v>
      </c>
      <c r="O82" s="287">
        <f t="shared" si="60"/>
        <v>1536.52</v>
      </c>
      <c r="P82" s="287">
        <f t="shared" si="88"/>
        <v>216.41000000000008</v>
      </c>
      <c r="Q82" s="287">
        <f t="shared" si="61"/>
        <v>1320.11</v>
      </c>
      <c r="R82" s="287">
        <f t="shared" si="70"/>
        <v>134.16999999999999</v>
      </c>
      <c r="S82" s="287">
        <f t="shared" si="62"/>
        <v>188.55</v>
      </c>
      <c r="T82" s="287">
        <f t="shared" si="49"/>
        <v>1859.24</v>
      </c>
      <c r="U82" s="287">
        <f t="shared" si="89"/>
        <v>4861.74</v>
      </c>
      <c r="V82" s="287">
        <f t="shared" si="90"/>
        <v>32014.740000000005</v>
      </c>
      <c r="W82" s="287">
        <f t="shared" si="63"/>
        <v>226088.26000000004</v>
      </c>
      <c r="X82" s="519">
        <f t="shared" si="82"/>
        <v>46419</v>
      </c>
      <c r="Y82" s="287">
        <f t="shared" si="64"/>
        <v>265374.68999999989</v>
      </c>
      <c r="Z82" s="511">
        <f t="shared" si="74"/>
        <v>3.3500000000000002E-2</v>
      </c>
      <c r="AA82" s="287">
        <f t="shared" si="75"/>
        <v>1216.1400000000001</v>
      </c>
      <c r="AB82" s="287">
        <f t="shared" si="65"/>
        <v>475.30000000000007</v>
      </c>
      <c r="AC82" s="287">
        <f t="shared" si="76"/>
        <v>740.84</v>
      </c>
      <c r="AD82" s="287">
        <f t="shared" si="50"/>
        <v>134.16999999999999</v>
      </c>
      <c r="AE82" s="287">
        <f t="shared" si="51"/>
        <v>188.55</v>
      </c>
      <c r="AF82" s="287">
        <f t="shared" si="66"/>
        <v>1538.8600000000001</v>
      </c>
      <c r="AG82" s="287">
        <f t="shared" si="67"/>
        <v>11049.41</v>
      </c>
      <c r="AH82" s="287">
        <f t="shared" si="68"/>
        <v>18137.95</v>
      </c>
      <c r="AI82" s="530">
        <f t="shared" si="52"/>
        <v>7689.1200000000008</v>
      </c>
      <c r="AJ82" s="530">
        <f t="shared" si="77"/>
        <v>-38811.129999999859</v>
      </c>
      <c r="AK82" s="530">
        <f t="shared" si="53"/>
        <v>-31122.009999999857</v>
      </c>
      <c r="AL82" s="287">
        <f t="shared" si="69"/>
        <v>264899.3899999999</v>
      </c>
      <c r="AM82" s="428">
        <f t="shared" si="83"/>
        <v>1</v>
      </c>
      <c r="AN82" s="14">
        <f t="shared" si="54"/>
        <v>749.98</v>
      </c>
      <c r="AO82" s="14">
        <f t="shared" si="45"/>
        <v>108693.05999999997</v>
      </c>
      <c r="AP82" s="14">
        <f t="shared" si="55"/>
        <v>429.60000000000014</v>
      </c>
      <c r="AS82" s="14">
        <f t="shared" si="78"/>
        <v>749.98</v>
      </c>
      <c r="AT82" s="14">
        <f t="shared" si="84"/>
        <v>17518.959999999995</v>
      </c>
      <c r="AU82" s="287">
        <f t="shared" si="85"/>
        <v>962.11691583375352</v>
      </c>
      <c r="AV82" s="287">
        <f t="shared" si="86"/>
        <v>58647.191665959806</v>
      </c>
    </row>
    <row r="83" spans="1:50" x14ac:dyDescent="0.25">
      <c r="A83" s="519">
        <f t="shared" si="56"/>
        <v>46449</v>
      </c>
      <c r="B83" s="287">
        <f t="shared" si="79"/>
        <v>162860.39999999997</v>
      </c>
      <c r="C83" s="14">
        <f t="shared" si="71"/>
        <v>786.54</v>
      </c>
      <c r="D83" s="14">
        <f t="shared" si="87"/>
        <v>379.39</v>
      </c>
      <c r="E83" s="14">
        <f t="shared" si="72"/>
        <v>407.15</v>
      </c>
      <c r="F83" s="14">
        <f t="shared" si="46"/>
        <v>134.16999999999999</v>
      </c>
      <c r="G83" s="14">
        <f t="shared" si="47"/>
        <v>188.55</v>
      </c>
      <c r="H83" s="14">
        <f t="shared" si="48"/>
        <v>1109.26</v>
      </c>
      <c r="I83" s="287">
        <f t="shared" si="57"/>
        <v>24543.389999999989</v>
      </c>
      <c r="J83" s="287">
        <f t="shared" si="58"/>
        <v>30194.27</v>
      </c>
      <c r="K83" s="287">
        <f t="shared" si="59"/>
        <v>162481.00999999995</v>
      </c>
      <c r="L83" s="428">
        <f t="shared" si="73"/>
        <v>2</v>
      </c>
      <c r="M83" s="428">
        <f t="shared" si="80"/>
        <v>24</v>
      </c>
      <c r="N83" s="287">
        <f t="shared" si="81"/>
        <v>226088.26000000004</v>
      </c>
      <c r="O83" s="287">
        <f t="shared" si="60"/>
        <v>1536.52</v>
      </c>
      <c r="P83" s="287">
        <f t="shared" si="88"/>
        <v>217.67000000000007</v>
      </c>
      <c r="Q83" s="287">
        <f t="shared" si="61"/>
        <v>1318.85</v>
      </c>
      <c r="R83" s="287">
        <f t="shared" si="70"/>
        <v>134.16999999999999</v>
      </c>
      <c r="S83" s="287">
        <f t="shared" si="62"/>
        <v>188.55</v>
      </c>
      <c r="T83" s="287">
        <f t="shared" si="49"/>
        <v>1859.24</v>
      </c>
      <c r="U83" s="287">
        <f t="shared" si="89"/>
        <v>5079.41</v>
      </c>
      <c r="V83" s="287">
        <f t="shared" si="90"/>
        <v>33333.590000000004</v>
      </c>
      <c r="W83" s="287">
        <f t="shared" si="63"/>
        <v>225870.59000000003</v>
      </c>
      <c r="X83" s="519">
        <f t="shared" si="82"/>
        <v>46449</v>
      </c>
      <c r="Y83" s="287">
        <f t="shared" si="64"/>
        <v>264899.3899999999</v>
      </c>
      <c r="Z83" s="511">
        <f t="shared" si="74"/>
        <v>3.3500000000000002E-2</v>
      </c>
      <c r="AA83" s="287">
        <f t="shared" si="75"/>
        <v>1216.1400000000001</v>
      </c>
      <c r="AB83" s="287">
        <f t="shared" si="65"/>
        <v>476.63000000000011</v>
      </c>
      <c r="AC83" s="287">
        <f t="shared" si="76"/>
        <v>739.51</v>
      </c>
      <c r="AD83" s="287">
        <f t="shared" si="50"/>
        <v>134.16999999999999</v>
      </c>
      <c r="AE83" s="287">
        <f t="shared" si="51"/>
        <v>188.55</v>
      </c>
      <c r="AF83" s="287">
        <f t="shared" si="66"/>
        <v>1538.8600000000001</v>
      </c>
      <c r="AG83" s="287">
        <f t="shared" si="67"/>
        <v>11526.04</v>
      </c>
      <c r="AH83" s="287">
        <f t="shared" si="68"/>
        <v>18877.46</v>
      </c>
      <c r="AI83" s="530">
        <f t="shared" si="52"/>
        <v>8009.5000000000009</v>
      </c>
      <c r="AJ83" s="530">
        <f t="shared" si="77"/>
        <v>-38552.169999999867</v>
      </c>
      <c r="AK83" s="530">
        <f t="shared" si="53"/>
        <v>-30542.669999999867</v>
      </c>
      <c r="AL83" s="287">
        <f t="shared" si="69"/>
        <v>264422.75999999989</v>
      </c>
      <c r="AM83" s="428">
        <f t="shared" si="83"/>
        <v>2</v>
      </c>
      <c r="AN83" s="14">
        <f t="shared" si="54"/>
        <v>749.98</v>
      </c>
      <c r="AO83" s="14">
        <f t="shared" si="45"/>
        <v>108854.77999999997</v>
      </c>
      <c r="AP83" s="14">
        <f t="shared" si="55"/>
        <v>429.60000000000014</v>
      </c>
      <c r="AS83" s="14">
        <f t="shared" si="78"/>
        <v>749.98</v>
      </c>
      <c r="AT83" s="14">
        <f t="shared" si="84"/>
        <v>18268.939999999995</v>
      </c>
      <c r="AU83" s="287">
        <f t="shared" si="85"/>
        <v>965.32397221986594</v>
      </c>
      <c r="AV83" s="287">
        <f t="shared" si="86"/>
        <v>59612.51563817967</v>
      </c>
      <c r="AX83" s="487"/>
    </row>
    <row r="84" spans="1:50" x14ac:dyDescent="0.25">
      <c r="A84" s="519">
        <f t="shared" si="56"/>
        <v>46479</v>
      </c>
      <c r="B84" s="287">
        <f t="shared" si="79"/>
        <v>162481.00999999995</v>
      </c>
      <c r="C84" s="14">
        <f t="shared" si="71"/>
        <v>786.54</v>
      </c>
      <c r="D84" s="14">
        <f t="shared" si="87"/>
        <v>380.34</v>
      </c>
      <c r="E84" s="14">
        <f t="shared" si="72"/>
        <v>406.2</v>
      </c>
      <c r="F84" s="14">
        <f t="shared" si="46"/>
        <v>134.16999999999999</v>
      </c>
      <c r="G84" s="14">
        <f t="shared" si="47"/>
        <v>188.55</v>
      </c>
      <c r="H84" s="14">
        <f t="shared" si="48"/>
        <v>1109.26</v>
      </c>
      <c r="I84" s="287">
        <f t="shared" si="57"/>
        <v>24923.729999999989</v>
      </c>
      <c r="J84" s="287">
        <f t="shared" si="58"/>
        <v>30600.47</v>
      </c>
      <c r="K84" s="287">
        <f t="shared" si="59"/>
        <v>162100.66999999995</v>
      </c>
      <c r="L84" s="428">
        <f t="shared" si="73"/>
        <v>2</v>
      </c>
      <c r="M84" s="428">
        <f t="shared" si="80"/>
        <v>25</v>
      </c>
      <c r="N84" s="287">
        <f t="shared" si="81"/>
        <v>225870.59000000003</v>
      </c>
      <c r="O84" s="287">
        <f t="shared" si="60"/>
        <v>1536.52</v>
      </c>
      <c r="P84" s="287">
        <f t="shared" si="88"/>
        <v>218.94000000000005</v>
      </c>
      <c r="Q84" s="287">
        <f t="shared" si="61"/>
        <v>1317.58</v>
      </c>
      <c r="R84" s="287">
        <f t="shared" si="70"/>
        <v>134.16999999999999</v>
      </c>
      <c r="S84" s="287">
        <f t="shared" si="62"/>
        <v>188.55</v>
      </c>
      <c r="T84" s="287">
        <f t="shared" si="49"/>
        <v>1859.24</v>
      </c>
      <c r="U84" s="287">
        <f t="shared" si="89"/>
        <v>5298.35</v>
      </c>
      <c r="V84" s="287">
        <f t="shared" si="90"/>
        <v>34651.170000000006</v>
      </c>
      <c r="W84" s="287">
        <f t="shared" si="63"/>
        <v>225651.65000000002</v>
      </c>
      <c r="X84" s="519">
        <f t="shared" si="82"/>
        <v>46479</v>
      </c>
      <c r="Y84" s="287">
        <f t="shared" si="64"/>
        <v>264422.75999999989</v>
      </c>
      <c r="Z84" s="511">
        <f t="shared" si="74"/>
        <v>3.3500000000000002E-2</v>
      </c>
      <c r="AA84" s="287">
        <f t="shared" si="75"/>
        <v>1216.1400000000001</v>
      </c>
      <c r="AB84" s="287">
        <f t="shared" si="65"/>
        <v>477.96000000000015</v>
      </c>
      <c r="AC84" s="287">
        <f t="shared" si="76"/>
        <v>738.18</v>
      </c>
      <c r="AD84" s="287">
        <f t="shared" si="50"/>
        <v>134.16999999999999</v>
      </c>
      <c r="AE84" s="287">
        <f t="shared" si="51"/>
        <v>188.55</v>
      </c>
      <c r="AF84" s="287">
        <f t="shared" si="66"/>
        <v>1538.8600000000001</v>
      </c>
      <c r="AG84" s="287">
        <f t="shared" si="67"/>
        <v>12004.000000000002</v>
      </c>
      <c r="AH84" s="287">
        <f t="shared" si="68"/>
        <v>19615.64</v>
      </c>
      <c r="AI84" s="530">
        <f t="shared" si="52"/>
        <v>8329.880000000001</v>
      </c>
      <c r="AJ84" s="530">
        <f t="shared" si="77"/>
        <v>-38293.149999999849</v>
      </c>
      <c r="AK84" s="530">
        <f t="shared" si="53"/>
        <v>-29963.269999999848</v>
      </c>
      <c r="AL84" s="287">
        <f t="shared" si="69"/>
        <v>263944.79999999987</v>
      </c>
      <c r="AM84" s="428">
        <f t="shared" si="83"/>
        <v>2</v>
      </c>
      <c r="AN84" s="14">
        <f t="shared" si="54"/>
        <v>749.98</v>
      </c>
      <c r="AO84" s="14">
        <f t="shared" si="45"/>
        <v>109016.17999999996</v>
      </c>
      <c r="AP84" s="14">
        <f t="shared" si="55"/>
        <v>429.60000000000014</v>
      </c>
      <c r="AS84" s="14">
        <f t="shared" si="78"/>
        <v>749.98</v>
      </c>
      <c r="AT84" s="14">
        <f t="shared" si="84"/>
        <v>19018.919999999995</v>
      </c>
      <c r="AU84" s="287">
        <f t="shared" si="85"/>
        <v>968.54171879393232</v>
      </c>
      <c r="AV84" s="287">
        <f t="shared" si="86"/>
        <v>60581.057356973601</v>
      </c>
      <c r="AX84" s="487"/>
    </row>
    <row r="85" spans="1:50" x14ac:dyDescent="0.25">
      <c r="A85" s="519">
        <f t="shared" si="56"/>
        <v>46509</v>
      </c>
      <c r="B85" s="287">
        <f t="shared" si="79"/>
        <v>162100.66999999995</v>
      </c>
      <c r="C85" s="14">
        <f t="shared" si="71"/>
        <v>786.54</v>
      </c>
      <c r="D85" s="14">
        <f t="shared" si="87"/>
        <v>381.28999999999996</v>
      </c>
      <c r="E85" s="14">
        <f t="shared" si="72"/>
        <v>405.25</v>
      </c>
      <c r="F85" s="14">
        <f t="shared" si="46"/>
        <v>134.16999999999999</v>
      </c>
      <c r="G85" s="14">
        <f t="shared" si="47"/>
        <v>188.55</v>
      </c>
      <c r="H85" s="14">
        <f t="shared" si="48"/>
        <v>1109.26</v>
      </c>
      <c r="I85" s="287">
        <f t="shared" si="57"/>
        <v>25305.01999999999</v>
      </c>
      <c r="J85" s="287">
        <f t="shared" si="58"/>
        <v>31005.72</v>
      </c>
      <c r="K85" s="287">
        <f t="shared" si="59"/>
        <v>161719.37999999995</v>
      </c>
      <c r="L85" s="428">
        <f t="shared" si="73"/>
        <v>2</v>
      </c>
      <c r="M85" s="428">
        <f t="shared" si="80"/>
        <v>26</v>
      </c>
      <c r="N85" s="287">
        <f t="shared" si="81"/>
        <v>225651.65000000002</v>
      </c>
      <c r="O85" s="287">
        <f t="shared" si="60"/>
        <v>1536.52</v>
      </c>
      <c r="P85" s="287">
        <f t="shared" si="88"/>
        <v>220.22000000000003</v>
      </c>
      <c r="Q85" s="287">
        <f t="shared" si="61"/>
        <v>1316.3</v>
      </c>
      <c r="R85" s="287">
        <f t="shared" si="70"/>
        <v>134.16999999999999</v>
      </c>
      <c r="S85" s="287">
        <f t="shared" si="62"/>
        <v>188.55</v>
      </c>
      <c r="T85" s="287">
        <f t="shared" si="49"/>
        <v>1859.24</v>
      </c>
      <c r="U85" s="287">
        <f t="shared" si="89"/>
        <v>5518.5700000000006</v>
      </c>
      <c r="V85" s="287">
        <f t="shared" si="90"/>
        <v>35967.470000000008</v>
      </c>
      <c r="W85" s="287">
        <f t="shared" si="63"/>
        <v>225431.43000000002</v>
      </c>
      <c r="X85" s="519">
        <f t="shared" si="82"/>
        <v>46509</v>
      </c>
      <c r="Y85" s="287">
        <f t="shared" si="64"/>
        <v>263944.79999999987</v>
      </c>
      <c r="Z85" s="511">
        <f t="shared" si="74"/>
        <v>3.3500000000000002E-2</v>
      </c>
      <c r="AA85" s="287">
        <f t="shared" si="75"/>
        <v>1216.1400000000001</v>
      </c>
      <c r="AB85" s="287">
        <f t="shared" si="65"/>
        <v>479.29000000000008</v>
      </c>
      <c r="AC85" s="287">
        <f t="shared" si="76"/>
        <v>736.85</v>
      </c>
      <c r="AD85" s="287">
        <f t="shared" si="50"/>
        <v>134.16999999999999</v>
      </c>
      <c r="AE85" s="287">
        <f t="shared" si="51"/>
        <v>188.55</v>
      </c>
      <c r="AF85" s="287">
        <f t="shared" si="66"/>
        <v>1538.8600000000001</v>
      </c>
      <c r="AG85" s="287">
        <f t="shared" si="67"/>
        <v>12483.290000000003</v>
      </c>
      <c r="AH85" s="287">
        <f t="shared" si="68"/>
        <v>20352.489999999998</v>
      </c>
      <c r="AI85" s="530">
        <f t="shared" si="52"/>
        <v>8650.26</v>
      </c>
      <c r="AJ85" s="530">
        <f t="shared" si="77"/>
        <v>-38034.079999999871</v>
      </c>
      <c r="AK85" s="530">
        <f t="shared" si="53"/>
        <v>-29383.819999999869</v>
      </c>
      <c r="AL85" s="287">
        <f t="shared" si="69"/>
        <v>263465.50999999989</v>
      </c>
      <c r="AM85" s="428">
        <f t="shared" si="83"/>
        <v>2</v>
      </c>
      <c r="AN85" s="14">
        <f t="shared" si="54"/>
        <v>749.98</v>
      </c>
      <c r="AO85" s="14">
        <f t="shared" si="45"/>
        <v>109177.24999999997</v>
      </c>
      <c r="AP85" s="14">
        <f t="shared" si="55"/>
        <v>429.60000000000014</v>
      </c>
      <c r="AS85" s="14">
        <f t="shared" si="78"/>
        <v>749.98</v>
      </c>
      <c r="AT85" s="14">
        <f t="shared" si="84"/>
        <v>19768.899999999994</v>
      </c>
      <c r="AU85" s="287">
        <f t="shared" si="85"/>
        <v>971.770191189912</v>
      </c>
      <c r="AV85" s="287">
        <f t="shared" si="86"/>
        <v>61552.827548163514</v>
      </c>
    </row>
    <row r="86" spans="1:50" ht="15.75" thickBot="1" x14ac:dyDescent="0.3">
      <c r="A86" s="522">
        <f t="shared" si="56"/>
        <v>46539</v>
      </c>
      <c r="B86" s="348">
        <f t="shared" si="79"/>
        <v>161719.37999999995</v>
      </c>
      <c r="C86" s="21">
        <f t="shared" si="71"/>
        <v>786.54</v>
      </c>
      <c r="D86" s="21">
        <f t="shared" si="87"/>
        <v>382.23999999999995</v>
      </c>
      <c r="E86" s="21">
        <f t="shared" si="72"/>
        <v>404.3</v>
      </c>
      <c r="F86" s="21">
        <f t="shared" si="46"/>
        <v>134.16999999999999</v>
      </c>
      <c r="G86" s="21">
        <f t="shared" si="47"/>
        <v>188.55</v>
      </c>
      <c r="H86" s="21">
        <f t="shared" si="48"/>
        <v>1109.26</v>
      </c>
      <c r="I86" s="348">
        <f t="shared" si="57"/>
        <v>25687.259999999991</v>
      </c>
      <c r="J86" s="348">
        <f t="shared" si="58"/>
        <v>31410.02</v>
      </c>
      <c r="K86" s="348">
        <f t="shared" si="59"/>
        <v>161337.13999999996</v>
      </c>
      <c r="L86" s="429">
        <f t="shared" si="73"/>
        <v>2</v>
      </c>
      <c r="M86" s="429">
        <f t="shared" si="80"/>
        <v>27</v>
      </c>
      <c r="N86" s="348">
        <f t="shared" si="81"/>
        <v>225431.43000000002</v>
      </c>
      <c r="O86" s="348">
        <f t="shared" si="60"/>
        <v>1536.52</v>
      </c>
      <c r="P86" s="348">
        <f t="shared" si="88"/>
        <v>221.5</v>
      </c>
      <c r="Q86" s="348">
        <f t="shared" si="61"/>
        <v>1315.02</v>
      </c>
      <c r="R86" s="348">
        <f t="shared" si="70"/>
        <v>134.16999999999999</v>
      </c>
      <c r="S86" s="348">
        <f t="shared" si="62"/>
        <v>188.55</v>
      </c>
      <c r="T86" s="348">
        <f t="shared" si="49"/>
        <v>1859.24</v>
      </c>
      <c r="U86" s="348">
        <f t="shared" si="89"/>
        <v>5740.0700000000006</v>
      </c>
      <c r="V86" s="348">
        <f t="shared" si="90"/>
        <v>37282.490000000005</v>
      </c>
      <c r="W86" s="348">
        <f t="shared" si="63"/>
        <v>225209.93000000002</v>
      </c>
      <c r="X86" s="522">
        <f t="shared" si="82"/>
        <v>46539</v>
      </c>
      <c r="Y86" s="348">
        <f t="shared" si="64"/>
        <v>263465.50999999989</v>
      </c>
      <c r="Z86" s="512">
        <f t="shared" si="74"/>
        <v>3.3500000000000002E-2</v>
      </c>
      <c r="AA86" s="348">
        <f t="shared" si="75"/>
        <v>1216.1400000000001</v>
      </c>
      <c r="AB86" s="348">
        <f t="shared" si="65"/>
        <v>480.63000000000011</v>
      </c>
      <c r="AC86" s="348">
        <f t="shared" si="76"/>
        <v>735.51</v>
      </c>
      <c r="AD86" s="348">
        <f t="shared" si="50"/>
        <v>134.16999999999999</v>
      </c>
      <c r="AE86" s="348">
        <f t="shared" si="51"/>
        <v>188.55</v>
      </c>
      <c r="AF86" s="348">
        <f t="shared" si="66"/>
        <v>1538.8600000000001</v>
      </c>
      <c r="AG86" s="348">
        <f t="shared" si="67"/>
        <v>12963.920000000002</v>
      </c>
      <c r="AH86" s="348">
        <f t="shared" si="68"/>
        <v>21087.999999999996</v>
      </c>
      <c r="AI86" s="531">
        <f t="shared" si="52"/>
        <v>8970.64</v>
      </c>
      <c r="AJ86" s="531">
        <f t="shared" si="77"/>
        <v>-37774.949999999866</v>
      </c>
      <c r="AK86" s="531">
        <f t="shared" si="53"/>
        <v>-28804.309999999867</v>
      </c>
      <c r="AL86" s="348">
        <f t="shared" si="69"/>
        <v>262984.87999999989</v>
      </c>
      <c r="AM86" s="429">
        <f t="shared" si="83"/>
        <v>2</v>
      </c>
      <c r="AN86" s="21">
        <f t="shared" si="54"/>
        <v>749.98</v>
      </c>
      <c r="AO86" s="21">
        <f t="shared" si="45"/>
        <v>109337.98999999998</v>
      </c>
      <c r="AP86" s="21">
        <f t="shared" si="55"/>
        <v>429.60000000000014</v>
      </c>
      <c r="AQ86" s="21"/>
      <c r="AR86" s="23"/>
      <c r="AS86" s="21">
        <f t="shared" si="78"/>
        <v>749.98</v>
      </c>
      <c r="AT86" s="21">
        <f t="shared" si="84"/>
        <v>20518.879999999994</v>
      </c>
      <c r="AU86" s="348">
        <f t="shared" si="85"/>
        <v>975.00942516054511</v>
      </c>
      <c r="AV86" s="348">
        <f t="shared" si="86"/>
        <v>62527.836973324062</v>
      </c>
    </row>
    <row r="87" spans="1:50" x14ac:dyDescent="0.25">
      <c r="A87" s="519">
        <f t="shared" si="56"/>
        <v>46569</v>
      </c>
      <c r="B87" s="287">
        <f t="shared" si="79"/>
        <v>161337.13999999996</v>
      </c>
      <c r="C87" s="14">
        <f t="shared" si="71"/>
        <v>786.54</v>
      </c>
      <c r="D87" s="14">
        <f t="shared" si="87"/>
        <v>383.2</v>
      </c>
      <c r="E87" s="14">
        <f t="shared" si="72"/>
        <v>403.34</v>
      </c>
      <c r="F87" s="14">
        <f t="shared" si="46"/>
        <v>134.16999999999999</v>
      </c>
      <c r="G87" s="14">
        <f t="shared" si="47"/>
        <v>188.55</v>
      </c>
      <c r="H87" s="14">
        <f t="shared" si="48"/>
        <v>1109.26</v>
      </c>
      <c r="I87" s="287">
        <f t="shared" si="57"/>
        <v>26070.459999999992</v>
      </c>
      <c r="J87" s="287">
        <f t="shared" si="58"/>
        <v>31813.360000000001</v>
      </c>
      <c r="K87" s="287">
        <f t="shared" si="59"/>
        <v>160953.93999999994</v>
      </c>
      <c r="L87" s="428">
        <f t="shared" si="73"/>
        <v>2</v>
      </c>
      <c r="M87" s="428">
        <f t="shared" si="80"/>
        <v>28</v>
      </c>
      <c r="N87" s="287">
        <f t="shared" si="81"/>
        <v>225209.93000000002</v>
      </c>
      <c r="O87" s="287">
        <f t="shared" si="60"/>
        <v>1536.52</v>
      </c>
      <c r="P87" s="287">
        <f t="shared" si="88"/>
        <v>222.79999999999995</v>
      </c>
      <c r="Q87" s="287">
        <f t="shared" si="61"/>
        <v>1313.72</v>
      </c>
      <c r="R87" s="287">
        <f t="shared" si="70"/>
        <v>134.16999999999999</v>
      </c>
      <c r="S87" s="287">
        <f t="shared" si="62"/>
        <v>188.55</v>
      </c>
      <c r="T87" s="287">
        <f t="shared" si="49"/>
        <v>1859.24</v>
      </c>
      <c r="U87" s="287">
        <f t="shared" si="89"/>
        <v>5962.8700000000008</v>
      </c>
      <c r="V87" s="287">
        <f t="shared" si="90"/>
        <v>38596.210000000006</v>
      </c>
      <c r="W87" s="287">
        <f t="shared" si="63"/>
        <v>224987.13000000003</v>
      </c>
      <c r="X87" s="519">
        <f t="shared" si="82"/>
        <v>46569</v>
      </c>
      <c r="Y87" s="287">
        <f t="shared" si="64"/>
        <v>262984.87999999989</v>
      </c>
      <c r="Z87" s="511">
        <f t="shared" si="74"/>
        <v>3.3500000000000002E-2</v>
      </c>
      <c r="AA87" s="287">
        <f t="shared" si="75"/>
        <v>1216.1400000000001</v>
      </c>
      <c r="AB87" s="287">
        <f t="shared" si="65"/>
        <v>481.97000000000014</v>
      </c>
      <c r="AC87" s="287">
        <f t="shared" si="76"/>
        <v>734.17</v>
      </c>
      <c r="AD87" s="287">
        <f t="shared" si="50"/>
        <v>134.16999999999999</v>
      </c>
      <c r="AE87" s="287">
        <f t="shared" si="51"/>
        <v>188.55</v>
      </c>
      <c r="AF87" s="287">
        <f t="shared" si="66"/>
        <v>1538.8600000000001</v>
      </c>
      <c r="AG87" s="287">
        <f t="shared" si="67"/>
        <v>13445.890000000001</v>
      </c>
      <c r="AH87" s="287">
        <f t="shared" si="68"/>
        <v>21822.169999999995</v>
      </c>
      <c r="AI87" s="530">
        <f t="shared" si="52"/>
        <v>9291.0199999999986</v>
      </c>
      <c r="AJ87" s="530">
        <f t="shared" si="77"/>
        <v>-37515.779999999882</v>
      </c>
      <c r="AK87" s="530">
        <f t="shared" si="53"/>
        <v>-28224.759999999886</v>
      </c>
      <c r="AL87" s="287">
        <f t="shared" si="69"/>
        <v>262502.90999999992</v>
      </c>
      <c r="AM87" s="428">
        <f t="shared" si="83"/>
        <v>2</v>
      </c>
      <c r="AN87" s="14">
        <f t="shared" si="54"/>
        <v>749.98</v>
      </c>
      <c r="AO87" s="14">
        <f t="shared" si="45"/>
        <v>109498.38999999998</v>
      </c>
      <c r="AP87" s="14">
        <f t="shared" si="55"/>
        <v>429.60000000000014</v>
      </c>
      <c r="AS87" s="14">
        <f t="shared" si="78"/>
        <v>749.98</v>
      </c>
      <c r="AT87" s="14">
        <f t="shared" si="84"/>
        <v>21268.859999999993</v>
      </c>
      <c r="AU87" s="287">
        <f t="shared" si="85"/>
        <v>978.25945657774685</v>
      </c>
      <c r="AV87" s="287">
        <f t="shared" si="86"/>
        <v>63506.096429901809</v>
      </c>
    </row>
    <row r="88" spans="1:50" x14ac:dyDescent="0.25">
      <c r="A88" s="519">
        <f t="shared" si="56"/>
        <v>46599</v>
      </c>
      <c r="B88" s="287">
        <f t="shared" si="79"/>
        <v>160953.93999999994</v>
      </c>
      <c r="C88" s="14">
        <f t="shared" si="71"/>
        <v>786.54</v>
      </c>
      <c r="D88" s="14">
        <f t="shared" si="87"/>
        <v>384.15999999999997</v>
      </c>
      <c r="E88" s="14">
        <f t="shared" si="72"/>
        <v>402.38</v>
      </c>
      <c r="F88" s="14">
        <f t="shared" si="46"/>
        <v>134.16999999999999</v>
      </c>
      <c r="G88" s="14">
        <f t="shared" si="47"/>
        <v>188.55</v>
      </c>
      <c r="H88" s="14">
        <f t="shared" si="48"/>
        <v>1109.26</v>
      </c>
      <c r="I88" s="287">
        <f t="shared" si="57"/>
        <v>26454.619999999992</v>
      </c>
      <c r="J88" s="287">
        <f t="shared" si="58"/>
        <v>32215.74</v>
      </c>
      <c r="K88" s="287">
        <f t="shared" si="59"/>
        <v>160569.77999999994</v>
      </c>
      <c r="L88" s="428">
        <f t="shared" si="73"/>
        <v>2</v>
      </c>
      <c r="M88" s="428">
        <f t="shared" si="80"/>
        <v>29</v>
      </c>
      <c r="N88" s="287">
        <f t="shared" si="81"/>
        <v>224987.13000000003</v>
      </c>
      <c r="O88" s="287">
        <f t="shared" si="60"/>
        <v>1536.52</v>
      </c>
      <c r="P88" s="287">
        <f t="shared" si="88"/>
        <v>224.09999999999991</v>
      </c>
      <c r="Q88" s="287">
        <f t="shared" si="61"/>
        <v>1312.42</v>
      </c>
      <c r="R88" s="287">
        <f t="shared" si="70"/>
        <v>134.16999999999999</v>
      </c>
      <c r="S88" s="287">
        <f t="shared" si="62"/>
        <v>188.55</v>
      </c>
      <c r="T88" s="287">
        <f t="shared" si="49"/>
        <v>1859.24</v>
      </c>
      <c r="U88" s="287">
        <f t="shared" si="89"/>
        <v>6186.9700000000012</v>
      </c>
      <c r="V88" s="287">
        <f t="shared" si="90"/>
        <v>39908.630000000005</v>
      </c>
      <c r="W88" s="287">
        <f t="shared" si="63"/>
        <v>224763.03000000003</v>
      </c>
      <c r="X88" s="519">
        <f t="shared" si="82"/>
        <v>46599</v>
      </c>
      <c r="Y88" s="287">
        <f t="shared" si="64"/>
        <v>262502.90999999992</v>
      </c>
      <c r="Z88" s="511">
        <f t="shared" si="74"/>
        <v>3.3500000000000002E-2</v>
      </c>
      <c r="AA88" s="287">
        <f t="shared" si="75"/>
        <v>1216.1400000000001</v>
      </c>
      <c r="AB88" s="287">
        <f t="shared" si="65"/>
        <v>483.32000000000005</v>
      </c>
      <c r="AC88" s="287">
        <f t="shared" si="76"/>
        <v>732.82</v>
      </c>
      <c r="AD88" s="287">
        <f t="shared" si="50"/>
        <v>134.16999999999999</v>
      </c>
      <c r="AE88" s="287">
        <f t="shared" si="51"/>
        <v>188.55</v>
      </c>
      <c r="AF88" s="287">
        <f t="shared" si="66"/>
        <v>1538.8600000000001</v>
      </c>
      <c r="AG88" s="287">
        <f t="shared" si="67"/>
        <v>13929.210000000001</v>
      </c>
      <c r="AH88" s="287">
        <f t="shared" si="68"/>
        <v>22554.989999999994</v>
      </c>
      <c r="AI88" s="530">
        <f t="shared" si="52"/>
        <v>9611.3999999999978</v>
      </c>
      <c r="AJ88" s="530">
        <f t="shared" si="77"/>
        <v>-37256.559999999881</v>
      </c>
      <c r="AK88" s="530">
        <f t="shared" si="53"/>
        <v>-27645.159999999883</v>
      </c>
      <c r="AL88" s="287">
        <f t="shared" si="69"/>
        <v>262019.58999999991</v>
      </c>
      <c r="AM88" s="428">
        <f t="shared" si="83"/>
        <v>2</v>
      </c>
      <c r="AN88" s="14">
        <f t="shared" si="54"/>
        <v>749.98</v>
      </c>
      <c r="AO88" s="14">
        <f t="shared" si="45"/>
        <v>109658.44999999998</v>
      </c>
      <c r="AP88" s="14">
        <f t="shared" si="55"/>
        <v>429.60000000000014</v>
      </c>
      <c r="AS88" s="14">
        <f t="shared" si="78"/>
        <v>749.98</v>
      </c>
      <c r="AT88" s="14">
        <f t="shared" si="84"/>
        <v>22018.839999999993</v>
      </c>
      <c r="AU88" s="287">
        <f t="shared" si="85"/>
        <v>981.52032143300596</v>
      </c>
      <c r="AV88" s="287">
        <f t="shared" si="86"/>
        <v>64487.616751334812</v>
      </c>
    </row>
    <row r="89" spans="1:50" x14ac:dyDescent="0.25">
      <c r="A89" s="519">
        <f t="shared" si="56"/>
        <v>46629</v>
      </c>
      <c r="B89" s="287">
        <f t="shared" si="79"/>
        <v>160569.77999999994</v>
      </c>
      <c r="C89" s="14">
        <f t="shared" si="71"/>
        <v>786.54</v>
      </c>
      <c r="D89" s="14">
        <f t="shared" si="87"/>
        <v>385.11999999999995</v>
      </c>
      <c r="E89" s="14">
        <f t="shared" si="72"/>
        <v>401.42</v>
      </c>
      <c r="F89" s="14">
        <f t="shared" si="46"/>
        <v>134.16999999999999</v>
      </c>
      <c r="G89" s="14">
        <f t="shared" si="47"/>
        <v>188.55</v>
      </c>
      <c r="H89" s="14">
        <f t="shared" si="48"/>
        <v>1109.26</v>
      </c>
      <c r="I89" s="287">
        <f t="shared" si="57"/>
        <v>26839.739999999991</v>
      </c>
      <c r="J89" s="287">
        <f t="shared" si="58"/>
        <v>32617.16</v>
      </c>
      <c r="K89" s="287">
        <f t="shared" si="59"/>
        <v>160184.65999999995</v>
      </c>
      <c r="L89" s="428">
        <f t="shared" si="73"/>
        <v>2</v>
      </c>
      <c r="M89" s="428">
        <f t="shared" si="80"/>
        <v>30</v>
      </c>
      <c r="N89" s="287">
        <f t="shared" si="81"/>
        <v>224763.03000000003</v>
      </c>
      <c r="O89" s="287">
        <f t="shared" si="60"/>
        <v>1536.52</v>
      </c>
      <c r="P89" s="287">
        <f t="shared" si="88"/>
        <v>225.40000000000009</v>
      </c>
      <c r="Q89" s="287">
        <f t="shared" si="61"/>
        <v>1311.12</v>
      </c>
      <c r="R89" s="287">
        <f t="shared" si="70"/>
        <v>134.16999999999999</v>
      </c>
      <c r="S89" s="287">
        <f t="shared" si="62"/>
        <v>188.55</v>
      </c>
      <c r="T89" s="287">
        <f t="shared" si="49"/>
        <v>1859.24</v>
      </c>
      <c r="U89" s="287">
        <f t="shared" si="89"/>
        <v>6412.3700000000008</v>
      </c>
      <c r="V89" s="287">
        <f t="shared" si="90"/>
        <v>41219.750000000007</v>
      </c>
      <c r="W89" s="287">
        <f t="shared" si="63"/>
        <v>224537.63000000003</v>
      </c>
      <c r="X89" s="519">
        <f t="shared" si="82"/>
        <v>46629</v>
      </c>
      <c r="Y89" s="287">
        <f t="shared" si="64"/>
        <v>262019.58999999991</v>
      </c>
      <c r="Z89" s="511">
        <f t="shared" si="74"/>
        <v>3.3500000000000002E-2</v>
      </c>
      <c r="AA89" s="287">
        <f t="shared" si="75"/>
        <v>1216.1400000000001</v>
      </c>
      <c r="AB89" s="287">
        <f t="shared" si="65"/>
        <v>484.67000000000007</v>
      </c>
      <c r="AC89" s="287">
        <f t="shared" si="76"/>
        <v>731.47</v>
      </c>
      <c r="AD89" s="287">
        <f t="shared" si="50"/>
        <v>134.16999999999999</v>
      </c>
      <c r="AE89" s="287">
        <f t="shared" si="51"/>
        <v>188.55</v>
      </c>
      <c r="AF89" s="287">
        <f t="shared" si="66"/>
        <v>1538.8600000000001</v>
      </c>
      <c r="AG89" s="287">
        <f t="shared" si="67"/>
        <v>14413.880000000001</v>
      </c>
      <c r="AH89" s="287">
        <f t="shared" si="68"/>
        <v>23286.459999999995</v>
      </c>
      <c r="AI89" s="530">
        <f t="shared" si="52"/>
        <v>9931.779999999997</v>
      </c>
      <c r="AJ89" s="530">
        <f t="shared" si="77"/>
        <v>-36997.289999999863</v>
      </c>
      <c r="AK89" s="530">
        <f t="shared" si="53"/>
        <v>-27065.509999999864</v>
      </c>
      <c r="AL89" s="287">
        <f t="shared" si="69"/>
        <v>261534.9199999999</v>
      </c>
      <c r="AM89" s="428">
        <f t="shared" si="83"/>
        <v>2</v>
      </c>
      <c r="AN89" s="14">
        <f t="shared" si="54"/>
        <v>749.98</v>
      </c>
      <c r="AO89" s="14">
        <f t="shared" si="45"/>
        <v>109818.16999999998</v>
      </c>
      <c r="AP89" s="14">
        <f t="shared" si="55"/>
        <v>429.60000000000014</v>
      </c>
      <c r="AS89" s="14">
        <f t="shared" si="78"/>
        <v>749.98</v>
      </c>
      <c r="AT89" s="14">
        <f t="shared" si="84"/>
        <v>22768.819999999992</v>
      </c>
      <c r="AU89" s="287">
        <f t="shared" si="85"/>
        <v>984.79205583778275</v>
      </c>
      <c r="AV89" s="287">
        <f t="shared" si="86"/>
        <v>65472.408807172593</v>
      </c>
    </row>
    <row r="90" spans="1:50" x14ac:dyDescent="0.25">
      <c r="A90" s="519">
        <f t="shared" si="56"/>
        <v>46659</v>
      </c>
      <c r="B90" s="287">
        <f t="shared" si="79"/>
        <v>160184.65999999995</v>
      </c>
      <c r="C90" s="14">
        <f t="shared" si="71"/>
        <v>786.54</v>
      </c>
      <c r="D90" s="14">
        <f t="shared" si="87"/>
        <v>386.08</v>
      </c>
      <c r="E90" s="14">
        <f t="shared" si="72"/>
        <v>400.46</v>
      </c>
      <c r="F90" s="14">
        <f t="shared" si="46"/>
        <v>134.16999999999999</v>
      </c>
      <c r="G90" s="14">
        <f t="shared" si="47"/>
        <v>188.55</v>
      </c>
      <c r="H90" s="14">
        <f t="shared" si="48"/>
        <v>1109.26</v>
      </c>
      <c r="I90" s="287">
        <f t="shared" si="57"/>
        <v>27225.819999999992</v>
      </c>
      <c r="J90" s="287">
        <f t="shared" si="58"/>
        <v>33017.620000000003</v>
      </c>
      <c r="K90" s="287">
        <f t="shared" si="59"/>
        <v>159798.57999999996</v>
      </c>
      <c r="L90" s="428">
        <f t="shared" si="73"/>
        <v>2</v>
      </c>
      <c r="M90" s="428">
        <f t="shared" si="80"/>
        <v>31</v>
      </c>
      <c r="N90" s="287">
        <f t="shared" si="81"/>
        <v>224537.63000000003</v>
      </c>
      <c r="O90" s="287">
        <f t="shared" si="60"/>
        <v>1536.52</v>
      </c>
      <c r="P90" s="287">
        <f t="shared" si="88"/>
        <v>226.72000000000003</v>
      </c>
      <c r="Q90" s="287">
        <f t="shared" si="61"/>
        <v>1309.8</v>
      </c>
      <c r="R90" s="287">
        <f t="shared" si="70"/>
        <v>134.16999999999999</v>
      </c>
      <c r="S90" s="287">
        <f t="shared" si="62"/>
        <v>188.55</v>
      </c>
      <c r="T90" s="287">
        <f t="shared" si="49"/>
        <v>1859.24</v>
      </c>
      <c r="U90" s="287">
        <f t="shared" si="89"/>
        <v>6639.0900000000011</v>
      </c>
      <c r="V90" s="287">
        <f t="shared" si="90"/>
        <v>42529.55000000001</v>
      </c>
      <c r="W90" s="287">
        <f t="shared" si="63"/>
        <v>224310.91000000003</v>
      </c>
      <c r="X90" s="519">
        <f t="shared" si="82"/>
        <v>46659</v>
      </c>
      <c r="Y90" s="287">
        <f t="shared" si="64"/>
        <v>261534.9199999999</v>
      </c>
      <c r="Z90" s="511">
        <f t="shared" si="74"/>
        <v>3.3500000000000002E-2</v>
      </c>
      <c r="AA90" s="287">
        <f t="shared" si="75"/>
        <v>1216.1400000000001</v>
      </c>
      <c r="AB90" s="287">
        <f t="shared" si="65"/>
        <v>486.0200000000001</v>
      </c>
      <c r="AC90" s="287">
        <f t="shared" si="76"/>
        <v>730.12</v>
      </c>
      <c r="AD90" s="287">
        <f t="shared" si="50"/>
        <v>134.16999999999999</v>
      </c>
      <c r="AE90" s="287">
        <f t="shared" si="51"/>
        <v>188.55</v>
      </c>
      <c r="AF90" s="287">
        <f t="shared" si="66"/>
        <v>1538.8600000000001</v>
      </c>
      <c r="AG90" s="287">
        <f t="shared" si="67"/>
        <v>14899.900000000001</v>
      </c>
      <c r="AH90" s="287">
        <f t="shared" si="68"/>
        <v>24016.579999999994</v>
      </c>
      <c r="AI90" s="530">
        <f t="shared" si="52"/>
        <v>10252.159999999996</v>
      </c>
      <c r="AJ90" s="530">
        <f>+W90-AL90</f>
        <v>-36737.989999999874</v>
      </c>
      <c r="AK90" s="530">
        <f t="shared" si="53"/>
        <v>-26485.829999999878</v>
      </c>
      <c r="AL90" s="287">
        <f t="shared" si="69"/>
        <v>261048.89999999991</v>
      </c>
      <c r="AM90" s="428">
        <f t="shared" si="83"/>
        <v>2</v>
      </c>
      <c r="AN90" s="14">
        <f t="shared" si="54"/>
        <v>749.98</v>
      </c>
      <c r="AO90" s="14">
        <f t="shared" si="45"/>
        <v>109977.52999999998</v>
      </c>
      <c r="AP90" s="14">
        <f t="shared" si="55"/>
        <v>429.60000000000014</v>
      </c>
      <c r="AS90" s="14">
        <f t="shared" si="78"/>
        <v>749.98</v>
      </c>
      <c r="AT90" s="14">
        <f t="shared" si="84"/>
        <v>23518.799999999992</v>
      </c>
      <c r="AU90" s="287">
        <f t="shared" si="85"/>
        <v>988.07469602390881</v>
      </c>
      <c r="AV90" s="287">
        <f t="shared" si="86"/>
        <v>66460.483503196505</v>
      </c>
    </row>
    <row r="91" spans="1:50" x14ac:dyDescent="0.25">
      <c r="A91" s="519">
        <f t="shared" si="56"/>
        <v>46689</v>
      </c>
      <c r="B91" s="287">
        <f t="shared" si="79"/>
        <v>159798.57999999996</v>
      </c>
      <c r="C91" s="14">
        <f t="shared" si="71"/>
        <v>786.54</v>
      </c>
      <c r="D91" s="14">
        <f t="shared" si="87"/>
        <v>387.03999999999996</v>
      </c>
      <c r="E91" s="14">
        <f t="shared" si="72"/>
        <v>399.5</v>
      </c>
      <c r="F91" s="14">
        <f t="shared" si="46"/>
        <v>134.16999999999999</v>
      </c>
      <c r="G91" s="14">
        <f t="shared" si="47"/>
        <v>188.55</v>
      </c>
      <c r="H91" s="14">
        <f t="shared" si="48"/>
        <v>1109.26</v>
      </c>
      <c r="I91" s="287">
        <f t="shared" si="57"/>
        <v>27612.859999999993</v>
      </c>
      <c r="J91" s="287">
        <f t="shared" si="58"/>
        <v>33417.120000000003</v>
      </c>
      <c r="K91" s="287">
        <f t="shared" si="59"/>
        <v>159411.53999999995</v>
      </c>
      <c r="L91" s="428">
        <f t="shared" si="73"/>
        <v>2</v>
      </c>
      <c r="M91" s="428">
        <f t="shared" si="80"/>
        <v>32</v>
      </c>
      <c r="N91" s="287">
        <f t="shared" si="81"/>
        <v>224310.91000000003</v>
      </c>
      <c r="O91" s="287">
        <f t="shared" si="60"/>
        <v>1536.52</v>
      </c>
      <c r="P91" s="287">
        <f t="shared" si="88"/>
        <v>228.03999999999996</v>
      </c>
      <c r="Q91" s="287">
        <f t="shared" si="61"/>
        <v>1308.48</v>
      </c>
      <c r="R91" s="287">
        <f t="shared" si="70"/>
        <v>134.16999999999999</v>
      </c>
      <c r="S91" s="287">
        <f t="shared" si="62"/>
        <v>188.55</v>
      </c>
      <c r="T91" s="287">
        <f t="shared" si="49"/>
        <v>1859.24</v>
      </c>
      <c r="U91" s="287">
        <f t="shared" si="89"/>
        <v>6867.130000000001</v>
      </c>
      <c r="V91" s="287">
        <f t="shared" si="90"/>
        <v>43838.030000000013</v>
      </c>
      <c r="W91" s="287">
        <f t="shared" si="63"/>
        <v>224082.87000000002</v>
      </c>
      <c r="X91" s="519">
        <f t="shared" si="82"/>
        <v>46689</v>
      </c>
      <c r="Y91" s="287">
        <f t="shared" si="64"/>
        <v>261048.89999999991</v>
      </c>
      <c r="Z91" s="511">
        <f t="shared" si="74"/>
        <v>3.3500000000000002E-2</v>
      </c>
      <c r="AA91" s="287">
        <f t="shared" si="75"/>
        <v>1216.1400000000001</v>
      </c>
      <c r="AB91" s="287">
        <f t="shared" si="65"/>
        <v>487.38000000000011</v>
      </c>
      <c r="AC91" s="287">
        <f t="shared" si="76"/>
        <v>728.76</v>
      </c>
      <c r="AD91" s="287">
        <f t="shared" si="50"/>
        <v>134.16999999999999</v>
      </c>
      <c r="AE91" s="287">
        <f t="shared" si="51"/>
        <v>188.55</v>
      </c>
      <c r="AF91" s="287">
        <f t="shared" si="66"/>
        <v>1538.8600000000001</v>
      </c>
      <c r="AG91" s="287">
        <f t="shared" si="67"/>
        <v>15387.280000000002</v>
      </c>
      <c r="AH91" s="287">
        <f t="shared" si="68"/>
        <v>24745.339999999993</v>
      </c>
      <c r="AI91" s="530">
        <f t="shared" si="52"/>
        <v>10572.539999999995</v>
      </c>
      <c r="AJ91" s="530">
        <f t="shared" ref="AJ91:AJ154" si="91">+W91-AL91</f>
        <v>-36478.649999999878</v>
      </c>
      <c r="AK91" s="530">
        <f t="shared" si="53"/>
        <v>-25906.109999999884</v>
      </c>
      <c r="AL91" s="287">
        <f t="shared" si="69"/>
        <v>260561.5199999999</v>
      </c>
      <c r="AM91" s="428">
        <f t="shared" si="83"/>
        <v>2</v>
      </c>
      <c r="AN91" s="14">
        <f t="shared" si="54"/>
        <v>749.98</v>
      </c>
      <c r="AO91" s="14">
        <f t="shared" si="45"/>
        <v>110136.52999999997</v>
      </c>
      <c r="AP91" s="14">
        <f t="shared" si="55"/>
        <v>429.60000000000014</v>
      </c>
      <c r="AS91" s="14">
        <f t="shared" si="78"/>
        <v>749.98</v>
      </c>
      <c r="AT91" s="14">
        <f t="shared" si="84"/>
        <v>24268.779999999992</v>
      </c>
      <c r="AU91" s="287">
        <f t="shared" si="85"/>
        <v>991.36827834398844</v>
      </c>
      <c r="AV91" s="287">
        <f t="shared" si="86"/>
        <v>67451.851781540492</v>
      </c>
    </row>
    <row r="92" spans="1:50" x14ac:dyDescent="0.25">
      <c r="A92" s="519">
        <f t="shared" si="56"/>
        <v>46719</v>
      </c>
      <c r="B92" s="287">
        <f t="shared" si="79"/>
        <v>159411.53999999995</v>
      </c>
      <c r="C92" s="14">
        <f t="shared" si="71"/>
        <v>786.54</v>
      </c>
      <c r="D92" s="14">
        <f t="shared" si="87"/>
        <v>388.01</v>
      </c>
      <c r="E92" s="14">
        <f t="shared" si="72"/>
        <v>398.53</v>
      </c>
      <c r="F92" s="14">
        <f t="shared" si="46"/>
        <v>134.16999999999999</v>
      </c>
      <c r="G92" s="14">
        <f t="shared" si="47"/>
        <v>188.55</v>
      </c>
      <c r="H92" s="14">
        <f t="shared" si="48"/>
        <v>1109.26</v>
      </c>
      <c r="I92" s="287">
        <f t="shared" si="57"/>
        <v>28000.869999999992</v>
      </c>
      <c r="J92" s="287">
        <f t="shared" si="58"/>
        <v>33815.65</v>
      </c>
      <c r="K92" s="287">
        <f t="shared" si="59"/>
        <v>159023.52999999994</v>
      </c>
      <c r="L92" s="428">
        <f t="shared" si="73"/>
        <v>2</v>
      </c>
      <c r="M92" s="428">
        <f t="shared" si="80"/>
        <v>33</v>
      </c>
      <c r="N92" s="287">
        <f t="shared" si="81"/>
        <v>224082.87000000002</v>
      </c>
      <c r="O92" s="287">
        <f t="shared" si="60"/>
        <v>1536.52</v>
      </c>
      <c r="P92" s="287">
        <f t="shared" si="88"/>
        <v>229.36999999999989</v>
      </c>
      <c r="Q92" s="287">
        <f t="shared" si="61"/>
        <v>1307.1500000000001</v>
      </c>
      <c r="R92" s="287">
        <f t="shared" si="70"/>
        <v>134.16999999999999</v>
      </c>
      <c r="S92" s="287">
        <f t="shared" si="62"/>
        <v>188.55</v>
      </c>
      <c r="T92" s="287">
        <f t="shared" si="49"/>
        <v>1859.24</v>
      </c>
      <c r="U92" s="287">
        <f t="shared" si="89"/>
        <v>7096.5000000000009</v>
      </c>
      <c r="V92" s="287">
        <f t="shared" si="90"/>
        <v>45145.180000000015</v>
      </c>
      <c r="W92" s="287">
        <f t="shared" si="63"/>
        <v>223853.50000000003</v>
      </c>
      <c r="X92" s="519">
        <f t="shared" si="82"/>
        <v>46719</v>
      </c>
      <c r="Y92" s="287">
        <f t="shared" si="64"/>
        <v>260561.5199999999</v>
      </c>
      <c r="Z92" s="511">
        <f t="shared" si="74"/>
        <v>3.3500000000000002E-2</v>
      </c>
      <c r="AA92" s="287">
        <f t="shared" si="75"/>
        <v>1216.1400000000001</v>
      </c>
      <c r="AB92" s="287">
        <f t="shared" si="65"/>
        <v>488.74000000000012</v>
      </c>
      <c r="AC92" s="287">
        <f t="shared" si="76"/>
        <v>727.4</v>
      </c>
      <c r="AD92" s="287">
        <f t="shared" si="50"/>
        <v>134.16999999999999</v>
      </c>
      <c r="AE92" s="287">
        <f t="shared" si="51"/>
        <v>188.55</v>
      </c>
      <c r="AF92" s="287">
        <f t="shared" si="66"/>
        <v>1538.8600000000001</v>
      </c>
      <c r="AG92" s="287">
        <f t="shared" si="67"/>
        <v>15876.020000000002</v>
      </c>
      <c r="AH92" s="287">
        <f t="shared" si="68"/>
        <v>25472.739999999994</v>
      </c>
      <c r="AI92" s="530">
        <f t="shared" si="52"/>
        <v>10892.919999999995</v>
      </c>
      <c r="AJ92" s="530">
        <f t="shared" si="91"/>
        <v>-36219.279999999882</v>
      </c>
      <c r="AK92" s="530">
        <f t="shared" si="53"/>
        <v>-25326.359999999888</v>
      </c>
      <c r="AL92" s="287">
        <f t="shared" si="69"/>
        <v>260072.77999999991</v>
      </c>
      <c r="AM92" s="428">
        <f t="shared" si="83"/>
        <v>2</v>
      </c>
      <c r="AN92" s="14">
        <f t="shared" si="54"/>
        <v>749.98</v>
      </c>
      <c r="AO92" s="14">
        <f t="shared" si="45"/>
        <v>110295.16999999998</v>
      </c>
      <c r="AP92" s="14">
        <f t="shared" si="55"/>
        <v>429.60000000000014</v>
      </c>
      <c r="AS92" s="14">
        <f t="shared" si="78"/>
        <v>749.98</v>
      </c>
      <c r="AT92" s="14">
        <f t="shared" si="84"/>
        <v>25018.759999999991</v>
      </c>
      <c r="AU92" s="287">
        <f t="shared" si="85"/>
        <v>994.67283927180176</v>
      </c>
      <c r="AV92" s="287">
        <f t="shared" si="86"/>
        <v>68446.524620812299</v>
      </c>
    </row>
    <row r="93" spans="1:50" x14ac:dyDescent="0.25">
      <c r="A93" s="519">
        <f t="shared" si="56"/>
        <v>46749</v>
      </c>
      <c r="B93" s="287">
        <f t="shared" si="79"/>
        <v>159023.52999999994</v>
      </c>
      <c r="C93" s="14">
        <f t="shared" si="71"/>
        <v>786.54</v>
      </c>
      <c r="D93" s="14">
        <f t="shared" si="87"/>
        <v>388.97999999999996</v>
      </c>
      <c r="E93" s="14">
        <f t="shared" si="72"/>
        <v>397.56</v>
      </c>
      <c r="F93" s="14">
        <f t="shared" si="46"/>
        <v>134.16999999999999</v>
      </c>
      <c r="G93" s="14">
        <f t="shared" si="47"/>
        <v>188.55</v>
      </c>
      <c r="H93" s="14">
        <f t="shared" si="48"/>
        <v>1109.26</v>
      </c>
      <c r="I93" s="287">
        <f t="shared" si="57"/>
        <v>28389.849999999991</v>
      </c>
      <c r="J93" s="287">
        <f t="shared" si="58"/>
        <v>34213.21</v>
      </c>
      <c r="K93" s="287">
        <f t="shared" si="59"/>
        <v>158634.54999999993</v>
      </c>
      <c r="L93" s="428">
        <f t="shared" si="73"/>
        <v>2</v>
      </c>
      <c r="M93" s="428">
        <f t="shared" si="80"/>
        <v>34</v>
      </c>
      <c r="N93" s="287">
        <f t="shared" si="81"/>
        <v>223853.50000000003</v>
      </c>
      <c r="O93" s="287">
        <f t="shared" si="60"/>
        <v>1536.52</v>
      </c>
      <c r="P93" s="287">
        <f t="shared" si="88"/>
        <v>230.71000000000004</v>
      </c>
      <c r="Q93" s="287">
        <f t="shared" si="61"/>
        <v>1305.81</v>
      </c>
      <c r="R93" s="287">
        <f t="shared" si="70"/>
        <v>134.16999999999999</v>
      </c>
      <c r="S93" s="287">
        <f t="shared" si="62"/>
        <v>188.55</v>
      </c>
      <c r="T93" s="287">
        <f t="shared" si="49"/>
        <v>1859.24</v>
      </c>
      <c r="U93" s="287">
        <f t="shared" si="89"/>
        <v>7327.2100000000009</v>
      </c>
      <c r="V93" s="287">
        <f t="shared" si="90"/>
        <v>46450.990000000013</v>
      </c>
      <c r="W93" s="287">
        <f t="shared" si="63"/>
        <v>223622.79000000004</v>
      </c>
      <c r="X93" s="519">
        <f t="shared" si="82"/>
        <v>46749</v>
      </c>
      <c r="Y93" s="287">
        <f t="shared" si="64"/>
        <v>260072.77999999991</v>
      </c>
      <c r="Z93" s="511">
        <f t="shared" si="74"/>
        <v>3.3500000000000002E-2</v>
      </c>
      <c r="AA93" s="287">
        <f t="shared" si="75"/>
        <v>1216.1400000000001</v>
      </c>
      <c r="AB93" s="287">
        <f t="shared" si="65"/>
        <v>490.10000000000014</v>
      </c>
      <c r="AC93" s="287">
        <f t="shared" si="76"/>
        <v>726.04</v>
      </c>
      <c r="AD93" s="287">
        <f t="shared" si="50"/>
        <v>134.16999999999999</v>
      </c>
      <c r="AE93" s="287">
        <f t="shared" si="51"/>
        <v>188.55</v>
      </c>
      <c r="AF93" s="287">
        <f t="shared" si="66"/>
        <v>1538.8600000000001</v>
      </c>
      <c r="AG93" s="287">
        <f t="shared" si="67"/>
        <v>16366.120000000003</v>
      </c>
      <c r="AH93" s="287">
        <f t="shared" si="68"/>
        <v>26198.779999999995</v>
      </c>
      <c r="AI93" s="530">
        <f t="shared" si="52"/>
        <v>11213.299999999994</v>
      </c>
      <c r="AJ93" s="530">
        <f t="shared" si="91"/>
        <v>-35959.889999999868</v>
      </c>
      <c r="AK93" s="530">
        <f t="shared" si="53"/>
        <v>-24746.589999999873</v>
      </c>
      <c r="AL93" s="287">
        <f t="shared" si="69"/>
        <v>259582.67999999991</v>
      </c>
      <c r="AM93" s="428">
        <f t="shared" si="83"/>
        <v>2</v>
      </c>
      <c r="AN93" s="14">
        <f t="shared" si="54"/>
        <v>749.98</v>
      </c>
      <c r="AO93" s="14">
        <f t="shared" si="45"/>
        <v>110453.43999999997</v>
      </c>
      <c r="AP93" s="14">
        <f t="shared" si="55"/>
        <v>429.60000000000014</v>
      </c>
      <c r="AS93" s="14">
        <f t="shared" si="78"/>
        <v>749.98</v>
      </c>
      <c r="AT93" s="14">
        <f t="shared" si="84"/>
        <v>25768.739999999991</v>
      </c>
      <c r="AU93" s="287">
        <f t="shared" si="85"/>
        <v>997.98841540270757</v>
      </c>
      <c r="AV93" s="287">
        <f t="shared" si="86"/>
        <v>69444.513036215008</v>
      </c>
    </row>
    <row r="94" spans="1:50" x14ac:dyDescent="0.25">
      <c r="A94" s="519">
        <f t="shared" si="56"/>
        <v>46779</v>
      </c>
      <c r="B94" s="287">
        <f t="shared" si="79"/>
        <v>158634.54999999993</v>
      </c>
      <c r="C94" s="14">
        <f t="shared" si="71"/>
        <v>786.54</v>
      </c>
      <c r="D94" s="14">
        <f t="shared" si="87"/>
        <v>389.95</v>
      </c>
      <c r="E94" s="14">
        <f t="shared" si="72"/>
        <v>396.59</v>
      </c>
      <c r="F94" s="14">
        <f t="shared" si="46"/>
        <v>134.16999999999999</v>
      </c>
      <c r="G94" s="14">
        <f t="shared" si="47"/>
        <v>188.55</v>
      </c>
      <c r="H94" s="14">
        <f t="shared" si="48"/>
        <v>1109.26</v>
      </c>
      <c r="I94" s="287">
        <f t="shared" si="57"/>
        <v>28779.799999999992</v>
      </c>
      <c r="J94" s="287">
        <f t="shared" si="58"/>
        <v>34609.799999999996</v>
      </c>
      <c r="K94" s="287">
        <f t="shared" si="59"/>
        <v>158244.59999999992</v>
      </c>
      <c r="L94" s="428">
        <f t="shared" si="73"/>
        <v>2</v>
      </c>
      <c r="M94" s="428">
        <f t="shared" si="80"/>
        <v>35</v>
      </c>
      <c r="N94" s="287">
        <f t="shared" si="81"/>
        <v>223622.79000000004</v>
      </c>
      <c r="O94" s="287">
        <f t="shared" si="60"/>
        <v>1536.52</v>
      </c>
      <c r="P94" s="287">
        <f t="shared" si="88"/>
        <v>232.04999999999995</v>
      </c>
      <c r="Q94" s="287">
        <f t="shared" si="61"/>
        <v>1304.47</v>
      </c>
      <c r="R94" s="287">
        <f t="shared" si="70"/>
        <v>134.16999999999999</v>
      </c>
      <c r="S94" s="287">
        <f t="shared" si="62"/>
        <v>188.55</v>
      </c>
      <c r="T94" s="287">
        <f t="shared" si="49"/>
        <v>1859.24</v>
      </c>
      <c r="U94" s="287">
        <f t="shared" si="89"/>
        <v>7559.2600000000011</v>
      </c>
      <c r="V94" s="287">
        <f t="shared" si="90"/>
        <v>47755.460000000014</v>
      </c>
      <c r="W94" s="287">
        <f t="shared" si="63"/>
        <v>223390.74000000005</v>
      </c>
      <c r="X94" s="519">
        <f t="shared" si="82"/>
        <v>46779</v>
      </c>
      <c r="Y94" s="287">
        <f t="shared" si="64"/>
        <v>259582.67999999991</v>
      </c>
      <c r="Z94" s="511">
        <f t="shared" si="74"/>
        <v>3.3500000000000002E-2</v>
      </c>
      <c r="AA94" s="287">
        <f t="shared" si="75"/>
        <v>1216.1400000000001</v>
      </c>
      <c r="AB94" s="287">
        <f t="shared" si="65"/>
        <v>491.47000000000014</v>
      </c>
      <c r="AC94" s="287">
        <f t="shared" si="76"/>
        <v>724.67</v>
      </c>
      <c r="AD94" s="287">
        <f t="shared" si="50"/>
        <v>134.16999999999999</v>
      </c>
      <c r="AE94" s="287">
        <f t="shared" si="51"/>
        <v>188.55</v>
      </c>
      <c r="AF94" s="287">
        <f t="shared" si="66"/>
        <v>1538.8600000000001</v>
      </c>
      <c r="AG94" s="287">
        <f t="shared" si="67"/>
        <v>16857.590000000004</v>
      </c>
      <c r="AH94" s="287">
        <f t="shared" si="68"/>
        <v>26923.449999999993</v>
      </c>
      <c r="AI94" s="530">
        <f t="shared" si="52"/>
        <v>11533.679999999993</v>
      </c>
      <c r="AJ94" s="530">
        <f t="shared" si="91"/>
        <v>-35700.469999999856</v>
      </c>
      <c r="AK94" s="530">
        <f t="shared" si="53"/>
        <v>-24166.789999999863</v>
      </c>
      <c r="AL94" s="287">
        <f t="shared" si="69"/>
        <v>259091.2099999999</v>
      </c>
      <c r="AM94" s="428">
        <f t="shared" si="83"/>
        <v>2</v>
      </c>
      <c r="AN94" s="14">
        <f t="shared" si="54"/>
        <v>749.98</v>
      </c>
      <c r="AO94" s="14">
        <f t="shared" si="45"/>
        <v>110611.33999999998</v>
      </c>
      <c r="AP94" s="14">
        <f t="shared" si="55"/>
        <v>429.60000000000014</v>
      </c>
      <c r="AS94" s="14">
        <f t="shared" si="78"/>
        <v>749.98</v>
      </c>
      <c r="AT94" s="14">
        <f t="shared" si="84"/>
        <v>26518.71999999999</v>
      </c>
      <c r="AU94" s="287">
        <f t="shared" si="85"/>
        <v>1001.3150434540499</v>
      </c>
      <c r="AV94" s="287">
        <f t="shared" si="86"/>
        <v>70445.828079669052</v>
      </c>
    </row>
    <row r="95" spans="1:50" x14ac:dyDescent="0.25">
      <c r="A95" s="519">
        <f t="shared" si="56"/>
        <v>46809</v>
      </c>
      <c r="B95" s="287">
        <f t="shared" si="79"/>
        <v>158244.59999999992</v>
      </c>
      <c r="C95" s="14">
        <f t="shared" si="71"/>
        <v>786.54</v>
      </c>
      <c r="D95" s="14">
        <f t="shared" si="87"/>
        <v>390.92999999999995</v>
      </c>
      <c r="E95" s="14">
        <f t="shared" si="72"/>
        <v>395.61</v>
      </c>
      <c r="F95" s="14">
        <f t="shared" si="46"/>
        <v>134.16999999999999</v>
      </c>
      <c r="G95" s="14">
        <f t="shared" si="47"/>
        <v>188.55</v>
      </c>
      <c r="H95" s="14">
        <f t="shared" si="48"/>
        <v>1109.26</v>
      </c>
      <c r="I95" s="287">
        <f t="shared" si="57"/>
        <v>29170.729999999992</v>
      </c>
      <c r="J95" s="287">
        <f t="shared" si="58"/>
        <v>35005.409999999996</v>
      </c>
      <c r="K95" s="287">
        <f t="shared" si="59"/>
        <v>157853.66999999993</v>
      </c>
      <c r="L95" s="428">
        <f t="shared" si="73"/>
        <v>3</v>
      </c>
      <c r="M95" s="428">
        <f t="shared" si="80"/>
        <v>36</v>
      </c>
      <c r="N95" s="287">
        <f t="shared" si="81"/>
        <v>223390.74000000005</v>
      </c>
      <c r="O95" s="287">
        <f t="shared" si="60"/>
        <v>1536.52</v>
      </c>
      <c r="P95" s="287">
        <f t="shared" si="88"/>
        <v>233.41000000000008</v>
      </c>
      <c r="Q95" s="287">
        <f t="shared" si="61"/>
        <v>1303.1099999999999</v>
      </c>
      <c r="R95" s="287">
        <f t="shared" si="70"/>
        <v>134.16999999999999</v>
      </c>
      <c r="S95" s="287">
        <f t="shared" si="62"/>
        <v>188.55</v>
      </c>
      <c r="T95" s="287">
        <f t="shared" si="49"/>
        <v>1859.24</v>
      </c>
      <c r="U95" s="287">
        <f t="shared" si="89"/>
        <v>7792.670000000001</v>
      </c>
      <c r="V95" s="287">
        <f t="shared" si="90"/>
        <v>49058.570000000014</v>
      </c>
      <c r="W95" s="287">
        <f t="shared" si="63"/>
        <v>223157.33000000005</v>
      </c>
      <c r="X95" s="519">
        <f t="shared" si="82"/>
        <v>46809</v>
      </c>
      <c r="Y95" s="287">
        <f t="shared" si="64"/>
        <v>259091.2099999999</v>
      </c>
      <c r="Z95" s="511">
        <f t="shared" si="74"/>
        <v>3.3500000000000002E-2</v>
      </c>
      <c r="AA95" s="287">
        <f t="shared" si="75"/>
        <v>1216.1400000000001</v>
      </c>
      <c r="AB95" s="287">
        <f t="shared" si="65"/>
        <v>492.84000000000015</v>
      </c>
      <c r="AC95" s="287">
        <f t="shared" si="76"/>
        <v>723.3</v>
      </c>
      <c r="AD95" s="287">
        <f t="shared" si="50"/>
        <v>134.16999999999999</v>
      </c>
      <c r="AE95" s="287">
        <f t="shared" si="51"/>
        <v>188.55</v>
      </c>
      <c r="AF95" s="287">
        <f t="shared" si="66"/>
        <v>1538.8600000000001</v>
      </c>
      <c r="AG95" s="287">
        <f t="shared" si="67"/>
        <v>17350.430000000004</v>
      </c>
      <c r="AH95" s="287">
        <f t="shared" si="68"/>
        <v>27646.749999999993</v>
      </c>
      <c r="AI95" s="530">
        <f t="shared" si="52"/>
        <v>11854.059999999992</v>
      </c>
      <c r="AJ95" s="530">
        <f t="shared" si="91"/>
        <v>-35441.039999999863</v>
      </c>
      <c r="AK95" s="530">
        <f t="shared" si="53"/>
        <v>-23586.979999999872</v>
      </c>
      <c r="AL95" s="287">
        <f t="shared" si="69"/>
        <v>258598.36999999991</v>
      </c>
      <c r="AM95" s="428">
        <f t="shared" si="83"/>
        <v>3</v>
      </c>
      <c r="AN95" s="14">
        <f t="shared" si="54"/>
        <v>749.98</v>
      </c>
      <c r="AO95" s="14">
        <f t="shared" si="45"/>
        <v>110768.85999999999</v>
      </c>
      <c r="AP95" s="14">
        <f t="shared" si="55"/>
        <v>429.60000000000014</v>
      </c>
      <c r="AS95" s="14">
        <f t="shared" si="78"/>
        <v>749.98</v>
      </c>
      <c r="AT95" s="14">
        <f t="shared" si="84"/>
        <v>27268.69999999999</v>
      </c>
      <c r="AU95" s="287">
        <f t="shared" si="85"/>
        <v>1004.6527602655634</v>
      </c>
      <c r="AV95" s="287">
        <f t="shared" si="86"/>
        <v>71450.480839934622</v>
      </c>
      <c r="AX95" s="487"/>
    </row>
    <row r="96" spans="1:50" x14ac:dyDescent="0.25">
      <c r="A96" s="519">
        <f t="shared" si="56"/>
        <v>46839</v>
      </c>
      <c r="B96" s="287">
        <f t="shared" si="79"/>
        <v>157853.66999999993</v>
      </c>
      <c r="C96" s="14">
        <f t="shared" si="71"/>
        <v>786.54</v>
      </c>
      <c r="D96" s="14">
        <f t="shared" si="87"/>
        <v>391.90999999999997</v>
      </c>
      <c r="E96" s="14">
        <f t="shared" si="72"/>
        <v>394.63</v>
      </c>
      <c r="F96" s="14">
        <f t="shared" si="46"/>
        <v>134.16999999999999</v>
      </c>
      <c r="G96" s="14">
        <f t="shared" si="47"/>
        <v>188.55</v>
      </c>
      <c r="H96" s="14">
        <f t="shared" si="48"/>
        <v>1109.26</v>
      </c>
      <c r="I96" s="287">
        <f t="shared" si="57"/>
        <v>29562.639999999992</v>
      </c>
      <c r="J96" s="287">
        <f t="shared" si="58"/>
        <v>35400.039999999994</v>
      </c>
      <c r="K96" s="287">
        <f t="shared" si="59"/>
        <v>157461.75999999992</v>
      </c>
      <c r="L96" s="428">
        <f t="shared" si="73"/>
        <v>3</v>
      </c>
      <c r="M96" s="428">
        <f t="shared" si="80"/>
        <v>37</v>
      </c>
      <c r="N96" s="287">
        <f t="shared" si="81"/>
        <v>223157.33000000005</v>
      </c>
      <c r="O96" s="287">
        <f t="shared" si="60"/>
        <v>1536.52</v>
      </c>
      <c r="P96" s="287">
        <f t="shared" si="88"/>
        <v>234.76999999999998</v>
      </c>
      <c r="Q96" s="287">
        <f t="shared" si="61"/>
        <v>1301.75</v>
      </c>
      <c r="R96" s="287">
        <f t="shared" si="70"/>
        <v>134.16999999999999</v>
      </c>
      <c r="S96" s="287">
        <f t="shared" si="62"/>
        <v>188.55</v>
      </c>
      <c r="T96" s="287">
        <f t="shared" si="49"/>
        <v>1859.24</v>
      </c>
      <c r="U96" s="287">
        <f t="shared" si="89"/>
        <v>8027.4400000000005</v>
      </c>
      <c r="V96" s="287">
        <f t="shared" si="90"/>
        <v>50360.320000000014</v>
      </c>
      <c r="W96" s="287">
        <f t="shared" si="63"/>
        <v>222922.56000000006</v>
      </c>
      <c r="X96" s="519">
        <f t="shared" si="82"/>
        <v>46839</v>
      </c>
      <c r="Y96" s="287">
        <f t="shared" si="64"/>
        <v>258598.36999999991</v>
      </c>
      <c r="Z96" s="511">
        <f t="shared" si="74"/>
        <v>3.3500000000000002E-2</v>
      </c>
      <c r="AA96" s="287">
        <f t="shared" si="75"/>
        <v>1216.1400000000001</v>
      </c>
      <c r="AB96" s="287">
        <f t="shared" si="65"/>
        <v>494.22000000000014</v>
      </c>
      <c r="AC96" s="287">
        <f t="shared" si="76"/>
        <v>721.92</v>
      </c>
      <c r="AD96" s="287">
        <f t="shared" si="50"/>
        <v>134.16999999999999</v>
      </c>
      <c r="AE96" s="287">
        <f t="shared" si="51"/>
        <v>188.55</v>
      </c>
      <c r="AF96" s="287">
        <f t="shared" si="66"/>
        <v>1538.8600000000001</v>
      </c>
      <c r="AG96" s="287">
        <f t="shared" si="67"/>
        <v>17844.650000000005</v>
      </c>
      <c r="AH96" s="287">
        <f t="shared" si="68"/>
        <v>28368.669999999991</v>
      </c>
      <c r="AI96" s="530">
        <f t="shared" si="52"/>
        <v>12174.439999999991</v>
      </c>
      <c r="AJ96" s="530">
        <f t="shared" si="91"/>
        <v>-35181.589999999851</v>
      </c>
      <c r="AK96" s="530">
        <f t="shared" si="53"/>
        <v>-23007.14999999986</v>
      </c>
      <c r="AL96" s="287">
        <f t="shared" si="69"/>
        <v>258104.14999999991</v>
      </c>
      <c r="AM96" s="428">
        <f t="shared" si="83"/>
        <v>3</v>
      </c>
      <c r="AN96" s="14">
        <f t="shared" si="54"/>
        <v>749.98</v>
      </c>
      <c r="AO96" s="14">
        <f t="shared" si="45"/>
        <v>110925.99999999997</v>
      </c>
      <c r="AP96" s="14">
        <f t="shared" si="55"/>
        <v>429.60000000000014</v>
      </c>
      <c r="AS96" s="14">
        <f t="shared" si="78"/>
        <v>749.98</v>
      </c>
      <c r="AT96" s="14">
        <f t="shared" si="84"/>
        <v>28018.679999999989</v>
      </c>
      <c r="AU96" s="287">
        <f t="shared" si="85"/>
        <v>1008.0016027997821</v>
      </c>
      <c r="AV96" s="287">
        <f t="shared" si="86"/>
        <v>72458.482442734399</v>
      </c>
      <c r="AX96" s="487"/>
    </row>
    <row r="97" spans="1:50" x14ac:dyDescent="0.25">
      <c r="A97" s="519">
        <f t="shared" si="56"/>
        <v>46869</v>
      </c>
      <c r="B97" s="287">
        <f t="shared" si="79"/>
        <v>157461.75999999992</v>
      </c>
      <c r="C97" s="14">
        <f t="shared" si="71"/>
        <v>786.54</v>
      </c>
      <c r="D97" s="14">
        <f t="shared" si="87"/>
        <v>392.89</v>
      </c>
      <c r="E97" s="14">
        <f t="shared" si="72"/>
        <v>393.65</v>
      </c>
      <c r="F97" s="14">
        <f t="shared" si="46"/>
        <v>134.16999999999999</v>
      </c>
      <c r="G97" s="14">
        <f t="shared" si="47"/>
        <v>188.55</v>
      </c>
      <c r="H97" s="14">
        <f t="shared" si="48"/>
        <v>1109.26</v>
      </c>
      <c r="I97" s="287">
        <f t="shared" si="57"/>
        <v>29955.529999999992</v>
      </c>
      <c r="J97" s="287">
        <f t="shared" si="58"/>
        <v>35793.689999999995</v>
      </c>
      <c r="K97" s="287">
        <f t="shared" si="59"/>
        <v>157068.86999999991</v>
      </c>
      <c r="L97" s="428">
        <f t="shared" si="73"/>
        <v>3</v>
      </c>
      <c r="M97" s="428">
        <f t="shared" si="80"/>
        <v>38</v>
      </c>
      <c r="N97" s="287">
        <f t="shared" si="81"/>
        <v>222922.56000000006</v>
      </c>
      <c r="O97" s="287">
        <f t="shared" si="60"/>
        <v>1536.52</v>
      </c>
      <c r="P97" s="287">
        <f t="shared" si="88"/>
        <v>236.13999999999987</v>
      </c>
      <c r="Q97" s="287">
        <f t="shared" si="61"/>
        <v>1300.3800000000001</v>
      </c>
      <c r="R97" s="287">
        <f t="shared" si="70"/>
        <v>134.16999999999999</v>
      </c>
      <c r="S97" s="287">
        <f t="shared" si="62"/>
        <v>188.55</v>
      </c>
      <c r="T97" s="287">
        <f t="shared" si="49"/>
        <v>1859.24</v>
      </c>
      <c r="U97" s="287">
        <f t="shared" si="89"/>
        <v>8263.58</v>
      </c>
      <c r="V97" s="287">
        <f t="shared" si="90"/>
        <v>51660.700000000012</v>
      </c>
      <c r="W97" s="287">
        <f t="shared" si="63"/>
        <v>222686.42000000004</v>
      </c>
      <c r="X97" s="519">
        <f t="shared" si="82"/>
        <v>46869</v>
      </c>
      <c r="Y97" s="287">
        <f t="shared" si="64"/>
        <v>258104.14999999991</v>
      </c>
      <c r="Z97" s="511">
        <f t="shared" si="74"/>
        <v>3.3500000000000002E-2</v>
      </c>
      <c r="AA97" s="287">
        <f t="shared" si="75"/>
        <v>1216.1400000000001</v>
      </c>
      <c r="AB97" s="287">
        <f t="shared" si="65"/>
        <v>495.60000000000014</v>
      </c>
      <c r="AC97" s="287">
        <f t="shared" si="76"/>
        <v>720.54</v>
      </c>
      <c r="AD97" s="287">
        <f t="shared" si="50"/>
        <v>134.16999999999999</v>
      </c>
      <c r="AE97" s="287">
        <f t="shared" si="51"/>
        <v>188.55</v>
      </c>
      <c r="AF97" s="287">
        <f t="shared" si="66"/>
        <v>1538.8600000000001</v>
      </c>
      <c r="AG97" s="287">
        <f t="shared" si="67"/>
        <v>18340.250000000004</v>
      </c>
      <c r="AH97" s="287">
        <f t="shared" si="68"/>
        <v>29089.209999999992</v>
      </c>
      <c r="AI97" s="530">
        <f t="shared" si="52"/>
        <v>12494.819999999991</v>
      </c>
      <c r="AJ97" s="530">
        <f t="shared" si="91"/>
        <v>-34922.129999999859</v>
      </c>
      <c r="AK97" s="530">
        <f t="shared" si="53"/>
        <v>-22427.309999999867</v>
      </c>
      <c r="AL97" s="287">
        <f t="shared" si="69"/>
        <v>257608.5499999999</v>
      </c>
      <c r="AM97" s="428">
        <f t="shared" si="83"/>
        <v>3</v>
      </c>
      <c r="AN97" s="14">
        <f t="shared" si="54"/>
        <v>749.98</v>
      </c>
      <c r="AO97" s="14">
        <f t="shared" si="45"/>
        <v>111082.74999999999</v>
      </c>
      <c r="AP97" s="14">
        <f t="shared" si="55"/>
        <v>429.60000000000014</v>
      </c>
      <c r="AS97" s="14">
        <f t="shared" si="78"/>
        <v>749.98</v>
      </c>
      <c r="AT97" s="14">
        <f t="shared" si="84"/>
        <v>28768.659999999989</v>
      </c>
      <c r="AU97" s="287">
        <f t="shared" si="85"/>
        <v>1011.3616081424481</v>
      </c>
      <c r="AV97" s="287">
        <f t="shared" si="86"/>
        <v>73469.844050876854</v>
      </c>
    </row>
    <row r="98" spans="1:50" ht="15.75" thickBot="1" x14ac:dyDescent="0.3">
      <c r="A98" s="522">
        <f t="shared" si="56"/>
        <v>46899</v>
      </c>
      <c r="B98" s="348">
        <f t="shared" si="79"/>
        <v>157068.86999999991</v>
      </c>
      <c r="C98" s="21">
        <f t="shared" si="71"/>
        <v>786.54</v>
      </c>
      <c r="D98" s="21">
        <f t="shared" si="87"/>
        <v>393.86999999999995</v>
      </c>
      <c r="E98" s="21">
        <f t="shared" si="72"/>
        <v>392.67</v>
      </c>
      <c r="F98" s="21">
        <f t="shared" si="46"/>
        <v>134.16999999999999</v>
      </c>
      <c r="G98" s="21">
        <f t="shared" si="47"/>
        <v>188.55</v>
      </c>
      <c r="H98" s="21">
        <f t="shared" si="48"/>
        <v>1109.26</v>
      </c>
      <c r="I98" s="348">
        <f t="shared" si="57"/>
        <v>30349.399999999991</v>
      </c>
      <c r="J98" s="348">
        <f t="shared" si="58"/>
        <v>36186.359999999993</v>
      </c>
      <c r="K98" s="348">
        <f t="shared" si="59"/>
        <v>156674.99999999991</v>
      </c>
      <c r="L98" s="429">
        <f t="shared" si="73"/>
        <v>3</v>
      </c>
      <c r="M98" s="429">
        <f t="shared" si="80"/>
        <v>39</v>
      </c>
      <c r="N98" s="348">
        <f t="shared" si="81"/>
        <v>222686.42000000004</v>
      </c>
      <c r="O98" s="348">
        <f t="shared" si="60"/>
        <v>1536.52</v>
      </c>
      <c r="P98" s="348">
        <f t="shared" si="88"/>
        <v>237.51999999999998</v>
      </c>
      <c r="Q98" s="348">
        <f t="shared" si="61"/>
        <v>1299</v>
      </c>
      <c r="R98" s="348">
        <f t="shared" si="70"/>
        <v>134.16999999999999</v>
      </c>
      <c r="S98" s="348">
        <f t="shared" si="62"/>
        <v>188.55</v>
      </c>
      <c r="T98" s="348">
        <f t="shared" si="49"/>
        <v>1859.24</v>
      </c>
      <c r="U98" s="348">
        <f t="shared" si="89"/>
        <v>8501.1</v>
      </c>
      <c r="V98" s="348">
        <f t="shared" si="90"/>
        <v>52959.700000000012</v>
      </c>
      <c r="W98" s="348">
        <f t="shared" si="63"/>
        <v>222448.90000000005</v>
      </c>
      <c r="X98" s="522">
        <f t="shared" si="82"/>
        <v>46899</v>
      </c>
      <c r="Y98" s="348">
        <f t="shared" si="64"/>
        <v>257608.5499999999</v>
      </c>
      <c r="Z98" s="512">
        <f t="shared" si="74"/>
        <v>3.3500000000000002E-2</v>
      </c>
      <c r="AA98" s="348">
        <f t="shared" si="75"/>
        <v>1216.1400000000001</v>
      </c>
      <c r="AB98" s="348">
        <f t="shared" si="65"/>
        <v>496.98000000000013</v>
      </c>
      <c r="AC98" s="348">
        <f t="shared" si="76"/>
        <v>719.16</v>
      </c>
      <c r="AD98" s="348">
        <f t="shared" si="50"/>
        <v>134.16999999999999</v>
      </c>
      <c r="AE98" s="348">
        <f t="shared" si="51"/>
        <v>188.55</v>
      </c>
      <c r="AF98" s="348">
        <f t="shared" si="66"/>
        <v>1538.8600000000001</v>
      </c>
      <c r="AG98" s="348">
        <f t="shared" si="67"/>
        <v>18837.230000000003</v>
      </c>
      <c r="AH98" s="348">
        <f t="shared" si="68"/>
        <v>29808.369999999992</v>
      </c>
      <c r="AI98" s="531">
        <f t="shared" si="52"/>
        <v>12815.19999999999</v>
      </c>
      <c r="AJ98" s="531">
        <f t="shared" si="91"/>
        <v>-34662.669999999838</v>
      </c>
      <c r="AK98" s="531">
        <f t="shared" si="53"/>
        <v>-21847.469999999848</v>
      </c>
      <c r="AL98" s="348">
        <f t="shared" si="69"/>
        <v>257111.56999999989</v>
      </c>
      <c r="AM98" s="429">
        <f t="shared" si="83"/>
        <v>3</v>
      </c>
      <c r="AN98" s="21">
        <f t="shared" si="54"/>
        <v>749.98</v>
      </c>
      <c r="AO98" s="21">
        <f t="shared" si="45"/>
        <v>111239.09999999998</v>
      </c>
      <c r="AP98" s="21">
        <f t="shared" si="55"/>
        <v>429.60000000000014</v>
      </c>
      <c r="AQ98" s="21"/>
      <c r="AR98" s="23"/>
      <c r="AS98" s="21">
        <f t="shared" si="78"/>
        <v>749.98</v>
      </c>
      <c r="AT98" s="21">
        <f t="shared" si="84"/>
        <v>29518.639999999989</v>
      </c>
      <c r="AU98" s="348">
        <f t="shared" si="85"/>
        <v>1014.7328135029229</v>
      </c>
      <c r="AV98" s="348">
        <f t="shared" si="86"/>
        <v>74484.576864379778</v>
      </c>
    </row>
    <row r="99" spans="1:50" x14ac:dyDescent="0.25">
      <c r="A99" s="519">
        <f t="shared" si="56"/>
        <v>46929</v>
      </c>
      <c r="B99" s="287">
        <f t="shared" si="79"/>
        <v>156674.99999999991</v>
      </c>
      <c r="C99" s="14">
        <f t="shared" si="71"/>
        <v>786.54</v>
      </c>
      <c r="D99" s="14">
        <f t="shared" si="87"/>
        <v>394.84999999999997</v>
      </c>
      <c r="E99" s="14">
        <f t="shared" si="72"/>
        <v>391.69</v>
      </c>
      <c r="F99" s="14">
        <f t="shared" si="46"/>
        <v>134.16999999999999</v>
      </c>
      <c r="G99" s="14">
        <f t="shared" si="47"/>
        <v>188.55</v>
      </c>
      <c r="H99" s="14">
        <f t="shared" si="48"/>
        <v>1109.26</v>
      </c>
      <c r="I99" s="287">
        <f t="shared" si="57"/>
        <v>30744.249999999989</v>
      </c>
      <c r="J99" s="287">
        <f t="shared" si="58"/>
        <v>36578.049999999996</v>
      </c>
      <c r="K99" s="287">
        <f t="shared" si="59"/>
        <v>156280.14999999991</v>
      </c>
      <c r="L99" s="428">
        <f t="shared" si="73"/>
        <v>3</v>
      </c>
      <c r="M99" s="428">
        <f t="shared" si="80"/>
        <v>40</v>
      </c>
      <c r="N99" s="287">
        <f t="shared" si="81"/>
        <v>222448.90000000005</v>
      </c>
      <c r="O99" s="287">
        <f t="shared" si="60"/>
        <v>1536.52</v>
      </c>
      <c r="P99" s="287">
        <f t="shared" si="88"/>
        <v>238.90000000000009</v>
      </c>
      <c r="Q99" s="287">
        <f t="shared" si="61"/>
        <v>1297.6199999999999</v>
      </c>
      <c r="R99" s="287">
        <f t="shared" si="70"/>
        <v>134.16999999999999</v>
      </c>
      <c r="S99" s="287">
        <f t="shared" si="62"/>
        <v>188.55</v>
      </c>
      <c r="T99" s="287">
        <f t="shared" si="49"/>
        <v>1859.24</v>
      </c>
      <c r="U99" s="287">
        <f t="shared" si="89"/>
        <v>8740</v>
      </c>
      <c r="V99" s="287">
        <f t="shared" si="90"/>
        <v>54257.320000000014</v>
      </c>
      <c r="W99" s="287">
        <f t="shared" si="63"/>
        <v>222210.00000000006</v>
      </c>
      <c r="X99" s="519">
        <f t="shared" si="82"/>
        <v>46929</v>
      </c>
      <c r="Y99" s="287">
        <f t="shared" si="64"/>
        <v>257111.56999999989</v>
      </c>
      <c r="Z99" s="511">
        <f t="shared" si="74"/>
        <v>3.3500000000000002E-2</v>
      </c>
      <c r="AA99" s="287">
        <f t="shared" si="75"/>
        <v>1216.1400000000001</v>
      </c>
      <c r="AB99" s="287">
        <f t="shared" si="65"/>
        <v>498.37000000000012</v>
      </c>
      <c r="AC99" s="287">
        <f t="shared" si="76"/>
        <v>717.77</v>
      </c>
      <c r="AD99" s="287">
        <f t="shared" si="50"/>
        <v>134.16999999999999</v>
      </c>
      <c r="AE99" s="287">
        <f t="shared" si="51"/>
        <v>188.55</v>
      </c>
      <c r="AF99" s="287">
        <f t="shared" si="66"/>
        <v>1538.8600000000001</v>
      </c>
      <c r="AG99" s="287">
        <f t="shared" si="67"/>
        <v>19335.600000000002</v>
      </c>
      <c r="AH99" s="287">
        <f t="shared" si="68"/>
        <v>30526.139999999992</v>
      </c>
      <c r="AI99" s="530">
        <f t="shared" si="52"/>
        <v>13135.579999999989</v>
      </c>
      <c r="AJ99" s="530">
        <f t="shared" si="91"/>
        <v>-34403.199999999837</v>
      </c>
      <c r="AK99" s="530">
        <f t="shared" si="53"/>
        <v>-21267.61999999985</v>
      </c>
      <c r="AL99" s="287">
        <f t="shared" si="69"/>
        <v>256613.1999999999</v>
      </c>
      <c r="AM99" s="428">
        <f t="shared" si="83"/>
        <v>3</v>
      </c>
      <c r="AN99" s="14">
        <f t="shared" si="54"/>
        <v>749.98</v>
      </c>
      <c r="AO99" s="14">
        <f t="shared" si="45"/>
        <v>111395.04999999997</v>
      </c>
      <c r="AP99" s="14">
        <f t="shared" si="55"/>
        <v>429.60000000000014</v>
      </c>
      <c r="AS99" s="14">
        <f t="shared" si="78"/>
        <v>749.98</v>
      </c>
      <c r="AT99" s="14">
        <f t="shared" si="84"/>
        <v>30268.619999999988</v>
      </c>
      <c r="AU99" s="287">
        <f t="shared" si="85"/>
        <v>1018.1152562145994</v>
      </c>
      <c r="AV99" s="287">
        <f t="shared" si="86"/>
        <v>75502.69212059438</v>
      </c>
    </row>
    <row r="100" spans="1:50" x14ac:dyDescent="0.25">
      <c r="A100" s="519">
        <f t="shared" si="56"/>
        <v>46959</v>
      </c>
      <c r="B100" s="287">
        <f t="shared" si="79"/>
        <v>156280.14999999991</v>
      </c>
      <c r="C100" s="14">
        <f t="shared" si="71"/>
        <v>786.54</v>
      </c>
      <c r="D100" s="14">
        <f t="shared" si="87"/>
        <v>395.84</v>
      </c>
      <c r="E100" s="14">
        <f t="shared" si="72"/>
        <v>390.7</v>
      </c>
      <c r="F100" s="14">
        <f t="shared" si="46"/>
        <v>134.16999999999999</v>
      </c>
      <c r="G100" s="14">
        <f t="shared" si="47"/>
        <v>188.55</v>
      </c>
      <c r="H100" s="14">
        <f t="shared" si="48"/>
        <v>1109.26</v>
      </c>
      <c r="I100" s="287">
        <f t="shared" si="57"/>
        <v>31140.089999999989</v>
      </c>
      <c r="J100" s="287">
        <f t="shared" si="58"/>
        <v>36968.749999999993</v>
      </c>
      <c r="K100" s="287">
        <f t="shared" si="59"/>
        <v>155884.30999999991</v>
      </c>
      <c r="L100" s="428">
        <f t="shared" si="73"/>
        <v>3</v>
      </c>
      <c r="M100" s="428">
        <f t="shared" si="80"/>
        <v>41</v>
      </c>
      <c r="N100" s="287">
        <f t="shared" si="81"/>
        <v>222210.00000000006</v>
      </c>
      <c r="O100" s="287">
        <f t="shared" si="60"/>
        <v>1536.52</v>
      </c>
      <c r="P100" s="287">
        <f t="shared" si="88"/>
        <v>240.28999999999996</v>
      </c>
      <c r="Q100" s="287">
        <f t="shared" si="61"/>
        <v>1296.23</v>
      </c>
      <c r="R100" s="287">
        <f t="shared" si="70"/>
        <v>134.16999999999999</v>
      </c>
      <c r="S100" s="287">
        <f t="shared" si="62"/>
        <v>188.55</v>
      </c>
      <c r="T100" s="287">
        <f t="shared" si="49"/>
        <v>1859.24</v>
      </c>
      <c r="U100" s="287">
        <f t="shared" si="89"/>
        <v>8980.2900000000009</v>
      </c>
      <c r="V100" s="287">
        <f t="shared" si="90"/>
        <v>55553.550000000017</v>
      </c>
      <c r="W100" s="287">
        <f t="shared" si="63"/>
        <v>221969.71000000005</v>
      </c>
      <c r="X100" s="519">
        <f t="shared" si="82"/>
        <v>46959</v>
      </c>
      <c r="Y100" s="287">
        <f t="shared" si="64"/>
        <v>256613.1999999999</v>
      </c>
      <c r="Z100" s="511">
        <f t="shared" si="74"/>
        <v>3.3500000000000002E-2</v>
      </c>
      <c r="AA100" s="287">
        <f t="shared" si="75"/>
        <v>1216.1400000000001</v>
      </c>
      <c r="AB100" s="287">
        <f t="shared" si="65"/>
        <v>499.7600000000001</v>
      </c>
      <c r="AC100" s="287">
        <f t="shared" si="76"/>
        <v>716.38</v>
      </c>
      <c r="AD100" s="287">
        <f t="shared" si="50"/>
        <v>134.16999999999999</v>
      </c>
      <c r="AE100" s="287">
        <f t="shared" si="51"/>
        <v>188.55</v>
      </c>
      <c r="AF100" s="287">
        <f t="shared" si="66"/>
        <v>1538.8600000000001</v>
      </c>
      <c r="AG100" s="287">
        <f t="shared" si="67"/>
        <v>19835.36</v>
      </c>
      <c r="AH100" s="287">
        <f t="shared" si="68"/>
        <v>31242.519999999993</v>
      </c>
      <c r="AI100" s="530">
        <f t="shared" si="52"/>
        <v>13455.959999999988</v>
      </c>
      <c r="AJ100" s="530">
        <f t="shared" si="91"/>
        <v>-34143.729999999836</v>
      </c>
      <c r="AK100" s="530">
        <f t="shared" si="53"/>
        <v>-20687.769999999848</v>
      </c>
      <c r="AL100" s="287">
        <f t="shared" si="69"/>
        <v>256113.43999999989</v>
      </c>
      <c r="AM100" s="428">
        <f t="shared" si="83"/>
        <v>3</v>
      </c>
      <c r="AN100" s="14">
        <f t="shared" si="54"/>
        <v>749.98</v>
      </c>
      <c r="AO100" s="14">
        <f t="shared" si="45"/>
        <v>111550.59999999998</v>
      </c>
      <c r="AP100" s="14">
        <f t="shared" si="55"/>
        <v>429.60000000000014</v>
      </c>
      <c r="AS100" s="14">
        <f t="shared" si="78"/>
        <v>749.98</v>
      </c>
      <c r="AT100" s="14">
        <f t="shared" si="84"/>
        <v>31018.599999999988</v>
      </c>
      <c r="AU100" s="287">
        <f t="shared" si="85"/>
        <v>1021.5089737353146</v>
      </c>
      <c r="AV100" s="287">
        <f t="shared" si="86"/>
        <v>76524.201094329692</v>
      </c>
    </row>
    <row r="101" spans="1:50" x14ac:dyDescent="0.25">
      <c r="A101" s="519">
        <f t="shared" si="56"/>
        <v>46989</v>
      </c>
      <c r="B101" s="287">
        <f t="shared" si="79"/>
        <v>155884.30999999991</v>
      </c>
      <c r="C101" s="14">
        <f t="shared" si="71"/>
        <v>786.54</v>
      </c>
      <c r="D101" s="14">
        <f t="shared" si="87"/>
        <v>396.83</v>
      </c>
      <c r="E101" s="14">
        <f t="shared" si="72"/>
        <v>389.71</v>
      </c>
      <c r="F101" s="14">
        <f t="shared" si="46"/>
        <v>134.16999999999999</v>
      </c>
      <c r="G101" s="14">
        <f t="shared" si="47"/>
        <v>188.55</v>
      </c>
      <c r="H101" s="14">
        <f t="shared" si="48"/>
        <v>1109.26</v>
      </c>
      <c r="I101" s="287">
        <f t="shared" si="57"/>
        <v>31536.919999999991</v>
      </c>
      <c r="J101" s="287">
        <f t="shared" si="58"/>
        <v>37358.459999999992</v>
      </c>
      <c r="K101" s="287">
        <f t="shared" si="59"/>
        <v>155487.47999999992</v>
      </c>
      <c r="L101" s="428">
        <f t="shared" si="73"/>
        <v>3</v>
      </c>
      <c r="M101" s="428">
        <f t="shared" si="80"/>
        <v>42</v>
      </c>
      <c r="N101" s="287">
        <f t="shared" si="81"/>
        <v>221969.71000000005</v>
      </c>
      <c r="O101" s="287">
        <f t="shared" si="60"/>
        <v>1536.52</v>
      </c>
      <c r="P101" s="287">
        <f t="shared" si="88"/>
        <v>241.70000000000005</v>
      </c>
      <c r="Q101" s="287">
        <f t="shared" si="61"/>
        <v>1294.82</v>
      </c>
      <c r="R101" s="287">
        <f t="shared" si="70"/>
        <v>134.16999999999999</v>
      </c>
      <c r="S101" s="287">
        <f t="shared" si="62"/>
        <v>188.55</v>
      </c>
      <c r="T101" s="287">
        <f t="shared" si="49"/>
        <v>1859.24</v>
      </c>
      <c r="U101" s="287">
        <f t="shared" si="89"/>
        <v>9221.9900000000016</v>
      </c>
      <c r="V101" s="287">
        <f t="shared" si="90"/>
        <v>56848.370000000017</v>
      </c>
      <c r="W101" s="287">
        <f t="shared" si="63"/>
        <v>221728.01000000004</v>
      </c>
      <c r="X101" s="519">
        <f t="shared" si="82"/>
        <v>46989</v>
      </c>
      <c r="Y101" s="287">
        <f t="shared" si="64"/>
        <v>256113.43999999989</v>
      </c>
      <c r="Z101" s="511">
        <f t="shared" si="74"/>
        <v>3.3500000000000002E-2</v>
      </c>
      <c r="AA101" s="287">
        <f t="shared" si="75"/>
        <v>1216.1400000000001</v>
      </c>
      <c r="AB101" s="287">
        <f t="shared" si="65"/>
        <v>501.16000000000008</v>
      </c>
      <c r="AC101" s="287">
        <f t="shared" si="76"/>
        <v>714.98</v>
      </c>
      <c r="AD101" s="287">
        <f t="shared" si="50"/>
        <v>134.16999999999999</v>
      </c>
      <c r="AE101" s="287">
        <f t="shared" si="51"/>
        <v>188.55</v>
      </c>
      <c r="AF101" s="287">
        <f t="shared" si="66"/>
        <v>1538.8600000000001</v>
      </c>
      <c r="AG101" s="287">
        <f t="shared" si="67"/>
        <v>20336.52</v>
      </c>
      <c r="AH101" s="287">
        <f t="shared" si="68"/>
        <v>31957.499999999993</v>
      </c>
      <c r="AI101" s="530">
        <f t="shared" si="52"/>
        <v>13776.339999999987</v>
      </c>
      <c r="AJ101" s="530">
        <f t="shared" si="91"/>
        <v>-33884.269999999844</v>
      </c>
      <c r="AK101" s="530">
        <f t="shared" si="53"/>
        <v>-20107.929999999855</v>
      </c>
      <c r="AL101" s="287">
        <f t="shared" si="69"/>
        <v>255612.27999999988</v>
      </c>
      <c r="AM101" s="428">
        <f t="shared" si="83"/>
        <v>3</v>
      </c>
      <c r="AN101" s="14">
        <f t="shared" si="54"/>
        <v>749.98</v>
      </c>
      <c r="AO101" s="14">
        <f t="shared" si="45"/>
        <v>111705.72999999997</v>
      </c>
      <c r="AP101" s="14">
        <f t="shared" si="55"/>
        <v>429.60000000000014</v>
      </c>
      <c r="AS101" s="14">
        <f t="shared" si="78"/>
        <v>749.98</v>
      </c>
      <c r="AT101" s="14">
        <f t="shared" si="84"/>
        <v>31768.579999999987</v>
      </c>
      <c r="AU101" s="287">
        <f t="shared" si="85"/>
        <v>1024.9140036477656</v>
      </c>
      <c r="AV101" s="287">
        <f t="shared" si="86"/>
        <v>77549.115097977454</v>
      </c>
    </row>
    <row r="102" spans="1:50" x14ac:dyDescent="0.25">
      <c r="A102" s="519">
        <f t="shared" si="56"/>
        <v>47019</v>
      </c>
      <c r="B102" s="287">
        <f t="shared" si="79"/>
        <v>155487.47999999992</v>
      </c>
      <c r="C102" s="14">
        <f t="shared" si="71"/>
        <v>786.54</v>
      </c>
      <c r="D102" s="14">
        <f t="shared" si="87"/>
        <v>397.81999999999994</v>
      </c>
      <c r="E102" s="14">
        <f t="shared" si="72"/>
        <v>388.72</v>
      </c>
      <c r="F102" s="14">
        <f t="shared" si="46"/>
        <v>134.16999999999999</v>
      </c>
      <c r="G102" s="14">
        <f t="shared" si="47"/>
        <v>188.55</v>
      </c>
      <c r="H102" s="14">
        <f t="shared" si="48"/>
        <v>1109.26</v>
      </c>
      <c r="I102" s="287">
        <f t="shared" si="57"/>
        <v>31934.739999999991</v>
      </c>
      <c r="J102" s="287">
        <f t="shared" si="58"/>
        <v>37747.179999999993</v>
      </c>
      <c r="K102" s="287">
        <f t="shared" si="59"/>
        <v>155089.65999999992</v>
      </c>
      <c r="L102" s="428">
        <f t="shared" si="73"/>
        <v>3</v>
      </c>
      <c r="M102" s="428">
        <f t="shared" si="80"/>
        <v>43</v>
      </c>
      <c r="N102" s="287">
        <f t="shared" si="81"/>
        <v>221728.01000000004</v>
      </c>
      <c r="O102" s="287">
        <f t="shared" si="60"/>
        <v>1536.52</v>
      </c>
      <c r="P102" s="287">
        <f t="shared" si="88"/>
        <v>243.1099999999999</v>
      </c>
      <c r="Q102" s="287">
        <f t="shared" si="61"/>
        <v>1293.4100000000001</v>
      </c>
      <c r="R102" s="287">
        <f t="shared" si="70"/>
        <v>134.16999999999999</v>
      </c>
      <c r="S102" s="287">
        <f t="shared" si="62"/>
        <v>188.55</v>
      </c>
      <c r="T102" s="287">
        <f t="shared" si="49"/>
        <v>1859.24</v>
      </c>
      <c r="U102" s="287">
        <f t="shared" si="89"/>
        <v>9465.1000000000022</v>
      </c>
      <c r="V102" s="287">
        <f t="shared" si="90"/>
        <v>58141.780000000021</v>
      </c>
      <c r="W102" s="287">
        <f t="shared" si="63"/>
        <v>221484.90000000005</v>
      </c>
      <c r="X102" s="519">
        <f t="shared" si="82"/>
        <v>47019</v>
      </c>
      <c r="Y102" s="287">
        <f t="shared" si="64"/>
        <v>255612.27999999988</v>
      </c>
      <c r="Z102" s="511">
        <f t="shared" si="74"/>
        <v>3.3500000000000002E-2</v>
      </c>
      <c r="AA102" s="287">
        <f t="shared" si="75"/>
        <v>1216.1400000000001</v>
      </c>
      <c r="AB102" s="287">
        <f t="shared" si="65"/>
        <v>502.56000000000006</v>
      </c>
      <c r="AC102" s="287">
        <f t="shared" si="76"/>
        <v>713.58</v>
      </c>
      <c r="AD102" s="287">
        <f t="shared" si="50"/>
        <v>134.16999999999999</v>
      </c>
      <c r="AE102" s="287">
        <f t="shared" si="51"/>
        <v>188.55</v>
      </c>
      <c r="AF102" s="287">
        <f t="shared" si="66"/>
        <v>1538.8600000000001</v>
      </c>
      <c r="AG102" s="287">
        <f t="shared" si="67"/>
        <v>20839.080000000002</v>
      </c>
      <c r="AH102" s="287">
        <f t="shared" si="68"/>
        <v>32671.079999999994</v>
      </c>
      <c r="AI102" s="530">
        <f t="shared" si="52"/>
        <v>14096.719999999987</v>
      </c>
      <c r="AJ102" s="530">
        <f t="shared" si="91"/>
        <v>-33624.819999999832</v>
      </c>
      <c r="AK102" s="530">
        <f t="shared" si="53"/>
        <v>-19528.099999999846</v>
      </c>
      <c r="AL102" s="287">
        <f t="shared" si="69"/>
        <v>255109.71999999988</v>
      </c>
      <c r="AM102" s="428">
        <f t="shared" si="83"/>
        <v>3</v>
      </c>
      <c r="AN102" s="14">
        <f t="shared" si="54"/>
        <v>749.98</v>
      </c>
      <c r="AO102" s="14">
        <f t="shared" si="45"/>
        <v>111860.43999999997</v>
      </c>
      <c r="AP102" s="14">
        <f t="shared" si="55"/>
        <v>429.60000000000014</v>
      </c>
      <c r="AS102" s="14">
        <f t="shared" si="78"/>
        <v>749.98</v>
      </c>
      <c r="AT102" s="14">
        <f t="shared" si="84"/>
        <v>32518.559999999987</v>
      </c>
      <c r="AU102" s="287">
        <f t="shared" si="85"/>
        <v>1028.330383659925</v>
      </c>
      <c r="AV102" s="287">
        <f t="shared" si="86"/>
        <v>78577.445481637376</v>
      </c>
    </row>
    <row r="103" spans="1:50" x14ac:dyDescent="0.25">
      <c r="A103" s="519">
        <f t="shared" si="56"/>
        <v>47049</v>
      </c>
      <c r="B103" s="287">
        <f t="shared" si="79"/>
        <v>155089.65999999992</v>
      </c>
      <c r="C103" s="14">
        <f t="shared" si="71"/>
        <v>786.54</v>
      </c>
      <c r="D103" s="14">
        <f t="shared" si="87"/>
        <v>398.81999999999994</v>
      </c>
      <c r="E103" s="14">
        <f t="shared" si="72"/>
        <v>387.72</v>
      </c>
      <c r="F103" s="14">
        <f t="shared" si="46"/>
        <v>134.16999999999999</v>
      </c>
      <c r="G103" s="14">
        <f t="shared" si="47"/>
        <v>188.55</v>
      </c>
      <c r="H103" s="14">
        <f t="shared" si="48"/>
        <v>1109.26</v>
      </c>
      <c r="I103" s="287">
        <f t="shared" si="57"/>
        <v>32333.55999999999</v>
      </c>
      <c r="J103" s="287">
        <f t="shared" si="58"/>
        <v>38134.899999999994</v>
      </c>
      <c r="K103" s="287">
        <f t="shared" si="59"/>
        <v>154690.83999999991</v>
      </c>
      <c r="L103" s="428">
        <f t="shared" si="73"/>
        <v>3</v>
      </c>
      <c r="M103" s="428">
        <f t="shared" si="80"/>
        <v>44</v>
      </c>
      <c r="N103" s="287">
        <f t="shared" si="81"/>
        <v>221484.90000000005</v>
      </c>
      <c r="O103" s="287">
        <f t="shared" si="60"/>
        <v>1536.52</v>
      </c>
      <c r="P103" s="287">
        <f t="shared" si="88"/>
        <v>244.51999999999998</v>
      </c>
      <c r="Q103" s="287">
        <f t="shared" si="61"/>
        <v>1292</v>
      </c>
      <c r="R103" s="287">
        <f t="shared" si="70"/>
        <v>134.16999999999999</v>
      </c>
      <c r="S103" s="287">
        <f t="shared" si="62"/>
        <v>188.55</v>
      </c>
      <c r="T103" s="287">
        <f t="shared" si="49"/>
        <v>1859.24</v>
      </c>
      <c r="U103" s="287">
        <f t="shared" si="89"/>
        <v>9709.6200000000026</v>
      </c>
      <c r="V103" s="287">
        <f t="shared" si="90"/>
        <v>59433.780000000021</v>
      </c>
      <c r="W103" s="287">
        <f t="shared" si="63"/>
        <v>221240.38000000006</v>
      </c>
      <c r="X103" s="519">
        <f t="shared" si="82"/>
        <v>47049</v>
      </c>
      <c r="Y103" s="287">
        <f t="shared" si="64"/>
        <v>255109.71999999988</v>
      </c>
      <c r="Z103" s="511">
        <f t="shared" si="74"/>
        <v>3.3500000000000002E-2</v>
      </c>
      <c r="AA103" s="287">
        <f t="shared" si="75"/>
        <v>1216.1400000000001</v>
      </c>
      <c r="AB103" s="287">
        <f t="shared" si="65"/>
        <v>503.96000000000015</v>
      </c>
      <c r="AC103" s="287">
        <f t="shared" si="76"/>
        <v>712.18</v>
      </c>
      <c r="AD103" s="287">
        <f t="shared" si="50"/>
        <v>134.16999999999999</v>
      </c>
      <c r="AE103" s="287">
        <f t="shared" si="51"/>
        <v>188.55</v>
      </c>
      <c r="AF103" s="287">
        <f t="shared" si="66"/>
        <v>1538.8600000000001</v>
      </c>
      <c r="AG103" s="287">
        <f t="shared" si="67"/>
        <v>21343.040000000001</v>
      </c>
      <c r="AH103" s="287">
        <f t="shared" si="68"/>
        <v>33383.259999999995</v>
      </c>
      <c r="AI103" s="530">
        <f t="shared" si="52"/>
        <v>14417.099999999986</v>
      </c>
      <c r="AJ103" s="530">
        <f t="shared" si="91"/>
        <v>-33365.37999999983</v>
      </c>
      <c r="AK103" s="530">
        <f t="shared" si="53"/>
        <v>-18948.279999999846</v>
      </c>
      <c r="AL103" s="287">
        <f t="shared" si="69"/>
        <v>254605.75999999989</v>
      </c>
      <c r="AM103" s="428">
        <f t="shared" si="83"/>
        <v>3</v>
      </c>
      <c r="AN103" s="14">
        <f t="shared" si="54"/>
        <v>749.98</v>
      </c>
      <c r="AO103" s="14">
        <f t="shared" si="45"/>
        <v>112014.73999999999</v>
      </c>
      <c r="AP103" s="14">
        <f t="shared" si="55"/>
        <v>429.60000000000014</v>
      </c>
      <c r="AS103" s="14">
        <f t="shared" si="78"/>
        <v>749.98</v>
      </c>
      <c r="AT103" s="14">
        <f t="shared" si="84"/>
        <v>33268.539999999986</v>
      </c>
      <c r="AU103" s="287">
        <f t="shared" si="85"/>
        <v>1031.7581516054579</v>
      </c>
      <c r="AV103" s="287">
        <f t="shared" si="86"/>
        <v>79609.20363324284</v>
      </c>
    </row>
    <row r="104" spans="1:50" x14ac:dyDescent="0.25">
      <c r="A104" s="519">
        <f t="shared" si="56"/>
        <v>47079</v>
      </c>
      <c r="B104" s="287">
        <f t="shared" si="79"/>
        <v>154690.83999999991</v>
      </c>
      <c r="C104" s="14">
        <f t="shared" si="71"/>
        <v>786.54</v>
      </c>
      <c r="D104" s="14">
        <f t="shared" si="87"/>
        <v>399.80999999999995</v>
      </c>
      <c r="E104" s="14">
        <f t="shared" si="72"/>
        <v>386.73</v>
      </c>
      <c r="F104" s="14">
        <f t="shared" si="46"/>
        <v>134.16999999999999</v>
      </c>
      <c r="G104" s="14">
        <f t="shared" si="47"/>
        <v>188.55</v>
      </c>
      <c r="H104" s="14">
        <f t="shared" si="48"/>
        <v>1109.26</v>
      </c>
      <c r="I104" s="287">
        <f t="shared" si="57"/>
        <v>32733.369999999992</v>
      </c>
      <c r="J104" s="287">
        <f t="shared" si="58"/>
        <v>38521.629999999997</v>
      </c>
      <c r="K104" s="287">
        <f t="shared" si="59"/>
        <v>154291.02999999991</v>
      </c>
      <c r="L104" s="428">
        <f t="shared" si="73"/>
        <v>3</v>
      </c>
      <c r="M104" s="428">
        <f t="shared" si="80"/>
        <v>45</v>
      </c>
      <c r="N104" s="287">
        <f t="shared" si="81"/>
        <v>221240.38000000006</v>
      </c>
      <c r="O104" s="287">
        <f t="shared" si="60"/>
        <v>1536.52</v>
      </c>
      <c r="P104" s="287">
        <f t="shared" si="88"/>
        <v>245.95000000000005</v>
      </c>
      <c r="Q104" s="287">
        <f t="shared" si="61"/>
        <v>1290.57</v>
      </c>
      <c r="R104" s="287">
        <f t="shared" si="70"/>
        <v>134.16999999999999</v>
      </c>
      <c r="S104" s="287">
        <f t="shared" si="62"/>
        <v>188.55</v>
      </c>
      <c r="T104" s="287">
        <f t="shared" si="49"/>
        <v>1859.24</v>
      </c>
      <c r="U104" s="287">
        <f t="shared" si="89"/>
        <v>9955.5700000000033</v>
      </c>
      <c r="V104" s="287">
        <f t="shared" si="90"/>
        <v>60724.35000000002</v>
      </c>
      <c r="W104" s="287">
        <f t="shared" si="63"/>
        <v>220994.43000000005</v>
      </c>
      <c r="X104" s="519">
        <f t="shared" si="82"/>
        <v>47079</v>
      </c>
      <c r="Y104" s="287">
        <f t="shared" si="64"/>
        <v>254605.75999999989</v>
      </c>
      <c r="Z104" s="511">
        <f t="shared" si="74"/>
        <v>3.3500000000000002E-2</v>
      </c>
      <c r="AA104" s="287">
        <f t="shared" si="75"/>
        <v>1216.1400000000001</v>
      </c>
      <c r="AB104" s="287">
        <f t="shared" si="65"/>
        <v>505.37000000000012</v>
      </c>
      <c r="AC104" s="287">
        <f t="shared" si="76"/>
        <v>710.77</v>
      </c>
      <c r="AD104" s="287">
        <f t="shared" si="50"/>
        <v>134.16999999999999</v>
      </c>
      <c r="AE104" s="287">
        <f t="shared" si="51"/>
        <v>188.55</v>
      </c>
      <c r="AF104" s="287">
        <f t="shared" si="66"/>
        <v>1538.8600000000001</v>
      </c>
      <c r="AG104" s="287">
        <f t="shared" si="67"/>
        <v>21848.41</v>
      </c>
      <c r="AH104" s="287">
        <f t="shared" si="68"/>
        <v>34094.029999999992</v>
      </c>
      <c r="AI104" s="530">
        <f t="shared" si="52"/>
        <v>14737.479999999985</v>
      </c>
      <c r="AJ104" s="530">
        <f t="shared" si="91"/>
        <v>-33105.959999999846</v>
      </c>
      <c r="AK104" s="530">
        <f t="shared" si="53"/>
        <v>-18368.479999999861</v>
      </c>
      <c r="AL104" s="287">
        <f t="shared" si="69"/>
        <v>254100.3899999999</v>
      </c>
      <c r="AM104" s="428">
        <f t="shared" si="83"/>
        <v>3</v>
      </c>
      <c r="AN104" s="14">
        <f t="shared" si="54"/>
        <v>749.98</v>
      </c>
      <c r="AO104" s="14">
        <f t="shared" si="45"/>
        <v>112168.59999999998</v>
      </c>
      <c r="AP104" s="14">
        <f t="shared" si="55"/>
        <v>429.60000000000014</v>
      </c>
      <c r="AS104" s="14">
        <f t="shared" si="78"/>
        <v>749.98</v>
      </c>
      <c r="AT104" s="14">
        <f t="shared" si="84"/>
        <v>34018.51999999999</v>
      </c>
      <c r="AU104" s="287">
        <f t="shared" si="85"/>
        <v>1035.1973454441429</v>
      </c>
      <c r="AV104" s="287">
        <f t="shared" si="86"/>
        <v>80644.400978686986</v>
      </c>
    </row>
    <row r="105" spans="1:50" x14ac:dyDescent="0.25">
      <c r="A105" s="519">
        <f t="shared" si="56"/>
        <v>47109</v>
      </c>
      <c r="B105" s="287">
        <f t="shared" si="79"/>
        <v>154291.02999999991</v>
      </c>
      <c r="C105" s="14">
        <f t="shared" si="71"/>
        <v>786.54</v>
      </c>
      <c r="D105" s="14">
        <f t="shared" si="87"/>
        <v>400.80999999999995</v>
      </c>
      <c r="E105" s="14">
        <f t="shared" si="72"/>
        <v>385.73</v>
      </c>
      <c r="F105" s="14">
        <f t="shared" si="46"/>
        <v>134.16999999999999</v>
      </c>
      <c r="G105" s="14">
        <f t="shared" si="47"/>
        <v>188.55</v>
      </c>
      <c r="H105" s="14">
        <f t="shared" si="48"/>
        <v>1109.26</v>
      </c>
      <c r="I105" s="287">
        <f t="shared" si="57"/>
        <v>33134.179999999993</v>
      </c>
      <c r="J105" s="287">
        <f t="shared" si="58"/>
        <v>38907.360000000001</v>
      </c>
      <c r="K105" s="287">
        <f t="shared" si="59"/>
        <v>153890.21999999991</v>
      </c>
      <c r="L105" s="428">
        <f t="shared" si="73"/>
        <v>3</v>
      </c>
      <c r="M105" s="428">
        <f t="shared" si="80"/>
        <v>46</v>
      </c>
      <c r="N105" s="287">
        <f t="shared" si="81"/>
        <v>220994.43000000005</v>
      </c>
      <c r="O105" s="287">
        <f t="shared" si="60"/>
        <v>1536.52</v>
      </c>
      <c r="P105" s="287">
        <f t="shared" si="88"/>
        <v>247.38999999999987</v>
      </c>
      <c r="Q105" s="287">
        <f t="shared" si="61"/>
        <v>1289.1300000000001</v>
      </c>
      <c r="R105" s="287">
        <f t="shared" si="70"/>
        <v>134.16999999999999</v>
      </c>
      <c r="S105" s="287">
        <f t="shared" si="62"/>
        <v>188.55</v>
      </c>
      <c r="T105" s="287">
        <f t="shared" si="49"/>
        <v>1859.24</v>
      </c>
      <c r="U105" s="287">
        <f t="shared" si="89"/>
        <v>10202.960000000003</v>
      </c>
      <c r="V105" s="287">
        <f t="shared" si="90"/>
        <v>62013.480000000018</v>
      </c>
      <c r="W105" s="287">
        <f t="shared" si="63"/>
        <v>220747.04000000004</v>
      </c>
      <c r="X105" s="519">
        <f t="shared" si="82"/>
        <v>47109</v>
      </c>
      <c r="Y105" s="287">
        <f t="shared" si="64"/>
        <v>254100.3899999999</v>
      </c>
      <c r="Z105" s="511">
        <f t="shared" si="74"/>
        <v>3.3500000000000002E-2</v>
      </c>
      <c r="AA105" s="287">
        <f t="shared" si="75"/>
        <v>1216.1400000000001</v>
      </c>
      <c r="AB105" s="287">
        <f t="shared" si="65"/>
        <v>506.78000000000009</v>
      </c>
      <c r="AC105" s="287">
        <f t="shared" si="76"/>
        <v>709.36</v>
      </c>
      <c r="AD105" s="287">
        <f t="shared" si="50"/>
        <v>134.16999999999999</v>
      </c>
      <c r="AE105" s="287">
        <f t="shared" si="51"/>
        <v>188.55</v>
      </c>
      <c r="AF105" s="287">
        <f t="shared" si="66"/>
        <v>1538.8600000000001</v>
      </c>
      <c r="AG105" s="287">
        <f t="shared" si="67"/>
        <v>22355.19</v>
      </c>
      <c r="AH105" s="287">
        <f t="shared" si="68"/>
        <v>34803.389999999992</v>
      </c>
      <c r="AI105" s="530">
        <f t="shared" si="52"/>
        <v>15057.859999999984</v>
      </c>
      <c r="AJ105" s="530">
        <f t="shared" si="91"/>
        <v>-32846.569999999861</v>
      </c>
      <c r="AK105" s="530">
        <f t="shared" si="53"/>
        <v>-17788.709999999875</v>
      </c>
      <c r="AL105" s="287">
        <f t="shared" si="69"/>
        <v>253593.6099999999</v>
      </c>
      <c r="AM105" s="428">
        <f t="shared" si="83"/>
        <v>3</v>
      </c>
      <c r="AN105" s="14">
        <f t="shared" si="54"/>
        <v>749.98</v>
      </c>
      <c r="AO105" s="14">
        <f t="shared" si="45"/>
        <v>112322.01999999997</v>
      </c>
      <c r="AP105" s="14">
        <f t="shared" si="55"/>
        <v>429.60000000000014</v>
      </c>
      <c r="AS105" s="14">
        <f t="shared" si="78"/>
        <v>749.98</v>
      </c>
      <c r="AT105" s="14">
        <f t="shared" si="84"/>
        <v>34768.499999999993</v>
      </c>
      <c r="AU105" s="287">
        <f t="shared" si="85"/>
        <v>1038.6480032622901</v>
      </c>
      <c r="AV105" s="287">
        <f t="shared" si="86"/>
        <v>81683.04898194928</v>
      </c>
    </row>
    <row r="106" spans="1:50" x14ac:dyDescent="0.25">
      <c r="A106" s="519">
        <f t="shared" si="56"/>
        <v>47139</v>
      </c>
      <c r="B106" s="287">
        <f t="shared" si="79"/>
        <v>153890.21999999991</v>
      </c>
      <c r="C106" s="14">
        <f t="shared" si="71"/>
        <v>786.54</v>
      </c>
      <c r="D106" s="14">
        <f t="shared" si="87"/>
        <v>401.80999999999995</v>
      </c>
      <c r="E106" s="14">
        <f t="shared" si="72"/>
        <v>384.73</v>
      </c>
      <c r="F106" s="14">
        <f t="shared" si="46"/>
        <v>134.16999999999999</v>
      </c>
      <c r="G106" s="14">
        <f t="shared" si="47"/>
        <v>188.55</v>
      </c>
      <c r="H106" s="14">
        <f t="shared" si="48"/>
        <v>1109.26</v>
      </c>
      <c r="I106" s="287">
        <f t="shared" si="57"/>
        <v>33535.989999999991</v>
      </c>
      <c r="J106" s="287">
        <f t="shared" si="58"/>
        <v>39292.090000000004</v>
      </c>
      <c r="K106" s="287">
        <f t="shared" si="59"/>
        <v>153488.40999999992</v>
      </c>
      <c r="L106" s="428">
        <f t="shared" si="73"/>
        <v>3</v>
      </c>
      <c r="M106" s="428">
        <f t="shared" si="80"/>
        <v>47</v>
      </c>
      <c r="N106" s="287">
        <f t="shared" si="81"/>
        <v>220747.04000000004</v>
      </c>
      <c r="O106" s="287">
        <f t="shared" si="60"/>
        <v>1536.52</v>
      </c>
      <c r="P106" s="287">
        <f t="shared" si="88"/>
        <v>248.82999999999993</v>
      </c>
      <c r="Q106" s="287">
        <f t="shared" si="61"/>
        <v>1287.69</v>
      </c>
      <c r="R106" s="287">
        <f t="shared" si="70"/>
        <v>134.16999999999999</v>
      </c>
      <c r="S106" s="287">
        <f t="shared" si="62"/>
        <v>188.55</v>
      </c>
      <c r="T106" s="287">
        <f t="shared" si="49"/>
        <v>1859.24</v>
      </c>
      <c r="U106" s="287">
        <f t="shared" si="89"/>
        <v>10451.790000000003</v>
      </c>
      <c r="V106" s="287">
        <f t="shared" si="90"/>
        <v>63301.17000000002</v>
      </c>
      <c r="W106" s="287">
        <f t="shared" si="63"/>
        <v>220498.21000000005</v>
      </c>
      <c r="X106" s="519">
        <f t="shared" si="82"/>
        <v>47139</v>
      </c>
      <c r="Y106" s="287">
        <f t="shared" si="64"/>
        <v>253593.6099999999</v>
      </c>
      <c r="Z106" s="511">
        <f t="shared" si="74"/>
        <v>3.3500000000000002E-2</v>
      </c>
      <c r="AA106" s="287">
        <f t="shared" si="75"/>
        <v>1216.1400000000001</v>
      </c>
      <c r="AB106" s="287">
        <f t="shared" si="65"/>
        <v>508.19000000000005</v>
      </c>
      <c r="AC106" s="287">
        <f t="shared" si="76"/>
        <v>707.95</v>
      </c>
      <c r="AD106" s="287">
        <f t="shared" si="50"/>
        <v>134.16999999999999</v>
      </c>
      <c r="AE106" s="287">
        <f t="shared" si="51"/>
        <v>188.55</v>
      </c>
      <c r="AF106" s="287">
        <f t="shared" si="66"/>
        <v>1538.8600000000001</v>
      </c>
      <c r="AG106" s="287">
        <f t="shared" si="67"/>
        <v>22863.379999999997</v>
      </c>
      <c r="AH106" s="287">
        <f t="shared" si="68"/>
        <v>35511.339999999989</v>
      </c>
      <c r="AI106" s="530">
        <f t="shared" si="52"/>
        <v>15378.239999999983</v>
      </c>
      <c r="AJ106" s="530">
        <f t="shared" si="91"/>
        <v>-32587.209999999846</v>
      </c>
      <c r="AK106" s="530">
        <f t="shared" si="53"/>
        <v>-17208.969999999863</v>
      </c>
      <c r="AL106" s="287">
        <f t="shared" si="69"/>
        <v>253085.4199999999</v>
      </c>
      <c r="AM106" s="428">
        <f t="shared" si="83"/>
        <v>3</v>
      </c>
      <c r="AN106" s="14">
        <f t="shared" si="54"/>
        <v>749.98</v>
      </c>
      <c r="AO106" s="14">
        <f t="shared" si="45"/>
        <v>112474.99999999997</v>
      </c>
      <c r="AP106" s="14">
        <f t="shared" si="55"/>
        <v>429.60000000000014</v>
      </c>
      <c r="AS106" s="14">
        <f t="shared" si="78"/>
        <v>749.98</v>
      </c>
      <c r="AT106" s="14">
        <f t="shared" si="84"/>
        <v>35518.479999999996</v>
      </c>
      <c r="AU106" s="287">
        <f t="shared" si="85"/>
        <v>1042.1101632731643</v>
      </c>
      <c r="AV106" s="287">
        <f t="shared" si="86"/>
        <v>82725.159145222438</v>
      </c>
    </row>
    <row r="107" spans="1:50" x14ac:dyDescent="0.25">
      <c r="A107" s="519">
        <f t="shared" si="56"/>
        <v>47169</v>
      </c>
      <c r="B107" s="287">
        <f t="shared" si="79"/>
        <v>153488.40999999992</v>
      </c>
      <c r="C107" s="14">
        <f t="shared" si="71"/>
        <v>786.54</v>
      </c>
      <c r="D107" s="14">
        <f t="shared" si="87"/>
        <v>402.81999999999994</v>
      </c>
      <c r="E107" s="14">
        <f t="shared" si="72"/>
        <v>383.72</v>
      </c>
      <c r="F107" s="14">
        <f t="shared" si="46"/>
        <v>134.16999999999999</v>
      </c>
      <c r="G107" s="14">
        <f t="shared" si="47"/>
        <v>188.55</v>
      </c>
      <c r="H107" s="14">
        <f t="shared" si="48"/>
        <v>1109.26</v>
      </c>
      <c r="I107" s="287">
        <f t="shared" si="57"/>
        <v>33938.80999999999</v>
      </c>
      <c r="J107" s="287">
        <f t="shared" si="58"/>
        <v>39675.810000000005</v>
      </c>
      <c r="K107" s="287">
        <f t="shared" si="59"/>
        <v>153085.58999999991</v>
      </c>
      <c r="L107" s="428">
        <f t="shared" si="73"/>
        <v>4</v>
      </c>
      <c r="M107" s="428">
        <f t="shared" si="80"/>
        <v>48</v>
      </c>
      <c r="N107" s="287">
        <f t="shared" si="81"/>
        <v>220498.21000000005</v>
      </c>
      <c r="O107" s="287">
        <f t="shared" si="60"/>
        <v>1536.52</v>
      </c>
      <c r="P107" s="287">
        <f t="shared" si="88"/>
        <v>250.27999999999997</v>
      </c>
      <c r="Q107" s="287">
        <f t="shared" si="61"/>
        <v>1286.24</v>
      </c>
      <c r="R107" s="287">
        <f t="shared" si="70"/>
        <v>134.16999999999999</v>
      </c>
      <c r="S107" s="287">
        <f t="shared" si="62"/>
        <v>188.55</v>
      </c>
      <c r="T107" s="287">
        <f t="shared" si="49"/>
        <v>1859.24</v>
      </c>
      <c r="U107" s="287">
        <f t="shared" si="89"/>
        <v>10702.070000000003</v>
      </c>
      <c r="V107" s="287">
        <f t="shared" si="90"/>
        <v>64587.410000000018</v>
      </c>
      <c r="W107" s="287">
        <f t="shared" si="63"/>
        <v>220247.93000000005</v>
      </c>
      <c r="X107" s="519">
        <f t="shared" si="82"/>
        <v>47169</v>
      </c>
      <c r="Y107" s="287">
        <f t="shared" si="64"/>
        <v>253085.4199999999</v>
      </c>
      <c r="Z107" s="511">
        <f t="shared" si="74"/>
        <v>3.3500000000000002E-2</v>
      </c>
      <c r="AA107" s="287">
        <f t="shared" si="75"/>
        <v>1216.1400000000001</v>
      </c>
      <c r="AB107" s="287">
        <f t="shared" si="65"/>
        <v>509.61000000000013</v>
      </c>
      <c r="AC107" s="287">
        <f t="shared" si="76"/>
        <v>706.53</v>
      </c>
      <c r="AD107" s="287">
        <f t="shared" si="50"/>
        <v>134.16999999999999</v>
      </c>
      <c r="AE107" s="287">
        <f t="shared" si="51"/>
        <v>188.55</v>
      </c>
      <c r="AF107" s="287">
        <f t="shared" si="66"/>
        <v>1538.8600000000001</v>
      </c>
      <c r="AG107" s="287">
        <f t="shared" si="67"/>
        <v>23372.989999999998</v>
      </c>
      <c r="AH107" s="287">
        <f t="shared" si="68"/>
        <v>36217.869999999988</v>
      </c>
      <c r="AI107" s="530">
        <f t="shared" si="52"/>
        <v>15698.619999999983</v>
      </c>
      <c r="AJ107" s="530">
        <f t="shared" si="91"/>
        <v>-32327.879999999859</v>
      </c>
      <c r="AK107" s="530">
        <f t="shared" si="53"/>
        <v>-16629.259999999878</v>
      </c>
      <c r="AL107" s="287">
        <f t="shared" si="69"/>
        <v>252575.80999999991</v>
      </c>
      <c r="AM107" s="428">
        <f t="shared" si="83"/>
        <v>4</v>
      </c>
      <c r="AN107" s="14">
        <f t="shared" si="54"/>
        <v>749.98</v>
      </c>
      <c r="AO107" s="14">
        <f t="shared" si="45"/>
        <v>112627.53999999998</v>
      </c>
      <c r="AP107" s="14">
        <f t="shared" si="55"/>
        <v>429.60000000000014</v>
      </c>
      <c r="AS107" s="14">
        <f t="shared" si="78"/>
        <v>749.98</v>
      </c>
      <c r="AT107" s="14">
        <f t="shared" si="84"/>
        <v>36268.46</v>
      </c>
      <c r="AU107" s="287">
        <f t="shared" si="85"/>
        <v>1045.5838638174082</v>
      </c>
      <c r="AV107" s="287">
        <f t="shared" si="86"/>
        <v>83770.743009039841</v>
      </c>
      <c r="AX107" s="487"/>
    </row>
    <row r="108" spans="1:50" x14ac:dyDescent="0.25">
      <c r="A108" s="519">
        <f t="shared" si="56"/>
        <v>47199</v>
      </c>
      <c r="B108" s="287">
        <f t="shared" si="79"/>
        <v>153085.58999999991</v>
      </c>
      <c r="C108" s="14">
        <f t="shared" si="71"/>
        <v>786.54</v>
      </c>
      <c r="D108" s="14">
        <f t="shared" si="87"/>
        <v>403.83</v>
      </c>
      <c r="E108" s="14">
        <f t="shared" si="72"/>
        <v>382.71</v>
      </c>
      <c r="F108" s="14">
        <f t="shared" si="46"/>
        <v>134.16999999999999</v>
      </c>
      <c r="G108" s="14">
        <f t="shared" si="47"/>
        <v>188.55</v>
      </c>
      <c r="H108" s="14">
        <f t="shared" si="48"/>
        <v>1109.26</v>
      </c>
      <c r="I108" s="287">
        <f t="shared" si="57"/>
        <v>34342.639999999992</v>
      </c>
      <c r="J108" s="287">
        <f t="shared" si="58"/>
        <v>40058.520000000004</v>
      </c>
      <c r="K108" s="287">
        <f t="shared" si="59"/>
        <v>152681.75999999992</v>
      </c>
      <c r="L108" s="428">
        <f>IF(MOD(M108,12)=0,M108/12,L107)</f>
        <v>4</v>
      </c>
      <c r="M108" s="428">
        <f t="shared" si="80"/>
        <v>49</v>
      </c>
      <c r="N108" s="287">
        <f t="shared" si="81"/>
        <v>220247.93000000005</v>
      </c>
      <c r="O108" s="287">
        <f t="shared" si="60"/>
        <v>1536.52</v>
      </c>
      <c r="P108" s="287">
        <f t="shared" si="88"/>
        <v>251.74</v>
      </c>
      <c r="Q108" s="287">
        <f t="shared" si="61"/>
        <v>1284.78</v>
      </c>
      <c r="R108" s="287">
        <f t="shared" si="70"/>
        <v>134.16999999999999</v>
      </c>
      <c r="S108" s="287">
        <f t="shared" si="62"/>
        <v>188.55</v>
      </c>
      <c r="T108" s="287">
        <f t="shared" si="49"/>
        <v>1859.24</v>
      </c>
      <c r="U108" s="287">
        <f t="shared" si="89"/>
        <v>10953.810000000003</v>
      </c>
      <c r="V108" s="287">
        <f t="shared" si="90"/>
        <v>65872.190000000017</v>
      </c>
      <c r="W108" s="287">
        <f t="shared" si="63"/>
        <v>219996.19000000006</v>
      </c>
      <c r="X108" s="519">
        <f t="shared" si="82"/>
        <v>47199</v>
      </c>
      <c r="Y108" s="287">
        <f t="shared" si="64"/>
        <v>252575.80999999991</v>
      </c>
      <c r="Z108" s="511">
        <f t="shared" si="74"/>
        <v>3.3500000000000002E-2</v>
      </c>
      <c r="AA108" s="287">
        <f t="shared" si="75"/>
        <v>1216.1400000000001</v>
      </c>
      <c r="AB108" s="287">
        <f t="shared" si="65"/>
        <v>511.03000000000009</v>
      </c>
      <c r="AC108" s="287">
        <f t="shared" si="76"/>
        <v>705.11</v>
      </c>
      <c r="AD108" s="287">
        <f t="shared" si="50"/>
        <v>134.16999999999999</v>
      </c>
      <c r="AE108" s="287">
        <f t="shared" si="51"/>
        <v>188.55</v>
      </c>
      <c r="AF108" s="287">
        <f t="shared" si="66"/>
        <v>1538.8600000000001</v>
      </c>
      <c r="AG108" s="287">
        <f t="shared" si="67"/>
        <v>23884.019999999997</v>
      </c>
      <c r="AH108" s="287">
        <f t="shared" si="68"/>
        <v>36922.979999999989</v>
      </c>
      <c r="AI108" s="530">
        <f t="shared" si="52"/>
        <v>16018.999999999982</v>
      </c>
      <c r="AJ108" s="530">
        <f t="shared" si="91"/>
        <v>-32068.589999999851</v>
      </c>
      <c r="AK108" s="530">
        <f t="shared" si="53"/>
        <v>-16049.589999999869</v>
      </c>
      <c r="AL108" s="287">
        <f t="shared" si="69"/>
        <v>252064.77999999991</v>
      </c>
      <c r="AM108" s="428">
        <f t="shared" si="83"/>
        <v>4</v>
      </c>
      <c r="AN108" s="14">
        <f t="shared" si="54"/>
        <v>749.98</v>
      </c>
      <c r="AO108" s="14">
        <f t="shared" si="45"/>
        <v>112779.62999999998</v>
      </c>
      <c r="AP108" s="14">
        <f t="shared" si="55"/>
        <v>429.60000000000014</v>
      </c>
      <c r="AS108" s="14">
        <f t="shared" si="78"/>
        <v>749.98</v>
      </c>
      <c r="AT108" s="14">
        <f t="shared" si="84"/>
        <v>37018.44</v>
      </c>
      <c r="AU108" s="287">
        <f t="shared" si="85"/>
        <v>1049.0691433634663</v>
      </c>
      <c r="AV108" s="287">
        <f t="shared" si="86"/>
        <v>84819.812152403305</v>
      </c>
      <c r="AX108" s="487"/>
    </row>
    <row r="109" spans="1:50" x14ac:dyDescent="0.25">
      <c r="A109" s="519">
        <f t="shared" si="56"/>
        <v>47229</v>
      </c>
      <c r="B109" s="287">
        <f t="shared" si="79"/>
        <v>152681.75999999992</v>
      </c>
      <c r="C109" s="14">
        <f t="shared" si="71"/>
        <v>786.54</v>
      </c>
      <c r="D109" s="14">
        <f t="shared" si="87"/>
        <v>404.84</v>
      </c>
      <c r="E109" s="14">
        <f t="shared" si="72"/>
        <v>381.7</v>
      </c>
      <c r="F109" s="14">
        <f t="shared" si="46"/>
        <v>134.16999999999999</v>
      </c>
      <c r="G109" s="14">
        <f t="shared" si="47"/>
        <v>188.55</v>
      </c>
      <c r="H109" s="14">
        <f t="shared" si="48"/>
        <v>1109.26</v>
      </c>
      <c r="I109" s="287">
        <f t="shared" si="57"/>
        <v>34747.479999999989</v>
      </c>
      <c r="J109" s="287">
        <f t="shared" si="58"/>
        <v>40440.22</v>
      </c>
      <c r="K109" s="287">
        <f t="shared" si="59"/>
        <v>152276.91999999993</v>
      </c>
      <c r="L109" s="428">
        <f>IF(MOD(M109,12)=0,M109/12,L108)</f>
        <v>4</v>
      </c>
      <c r="M109" s="428">
        <f t="shared" si="80"/>
        <v>50</v>
      </c>
      <c r="N109" s="287">
        <f t="shared" si="81"/>
        <v>219996.19000000006</v>
      </c>
      <c r="O109" s="287">
        <f t="shared" si="60"/>
        <v>1536.52</v>
      </c>
      <c r="P109" s="287">
        <f t="shared" si="88"/>
        <v>253.21000000000004</v>
      </c>
      <c r="Q109" s="287">
        <f t="shared" si="61"/>
        <v>1283.31</v>
      </c>
      <c r="R109" s="287">
        <f t="shared" si="70"/>
        <v>134.16999999999999</v>
      </c>
      <c r="S109" s="287">
        <f t="shared" si="62"/>
        <v>188.55</v>
      </c>
      <c r="T109" s="287">
        <f t="shared" si="49"/>
        <v>1859.24</v>
      </c>
      <c r="U109" s="287">
        <f t="shared" si="89"/>
        <v>11207.020000000004</v>
      </c>
      <c r="V109" s="287">
        <f t="shared" si="90"/>
        <v>67155.500000000015</v>
      </c>
      <c r="W109" s="287">
        <f t="shared" si="63"/>
        <v>219742.98000000007</v>
      </c>
      <c r="X109" s="519">
        <f t="shared" si="82"/>
        <v>47229</v>
      </c>
      <c r="Y109" s="287">
        <f t="shared" si="64"/>
        <v>252064.77999999991</v>
      </c>
      <c r="Z109" s="511">
        <f t="shared" si="74"/>
        <v>3.3500000000000002E-2</v>
      </c>
      <c r="AA109" s="287">
        <f t="shared" si="75"/>
        <v>1216.1400000000001</v>
      </c>
      <c r="AB109" s="287">
        <f t="shared" si="65"/>
        <v>512.46000000000015</v>
      </c>
      <c r="AC109" s="287">
        <f t="shared" si="76"/>
        <v>703.68</v>
      </c>
      <c r="AD109" s="287">
        <f t="shared" si="50"/>
        <v>134.16999999999999</v>
      </c>
      <c r="AE109" s="287">
        <f t="shared" si="51"/>
        <v>188.55</v>
      </c>
      <c r="AF109" s="287">
        <f t="shared" si="66"/>
        <v>1538.8600000000001</v>
      </c>
      <c r="AG109" s="287">
        <f t="shared" si="67"/>
        <v>24396.479999999996</v>
      </c>
      <c r="AH109" s="287">
        <f t="shared" si="68"/>
        <v>37626.659999999989</v>
      </c>
      <c r="AI109" s="530">
        <f t="shared" si="52"/>
        <v>16339.379999999981</v>
      </c>
      <c r="AJ109" s="530">
        <f t="shared" si="91"/>
        <v>-31809.339999999851</v>
      </c>
      <c r="AK109" s="530">
        <f t="shared" si="53"/>
        <v>-15469.95999999987</v>
      </c>
      <c r="AL109" s="287">
        <f t="shared" si="69"/>
        <v>251552.31999999992</v>
      </c>
      <c r="AM109" s="428">
        <f t="shared" si="83"/>
        <v>4</v>
      </c>
      <c r="AN109" s="14">
        <f t="shared" si="54"/>
        <v>749.98</v>
      </c>
      <c r="AO109" s="14">
        <f t="shared" ref="AO109:AO172" si="92">IF(W109&lt;=0,0,+$AA$5-$C$2+I109-U109)</f>
        <v>112931.25999999997</v>
      </c>
      <c r="AP109" s="14">
        <f t="shared" si="55"/>
        <v>429.60000000000014</v>
      </c>
      <c r="AS109" s="14">
        <f t="shared" si="78"/>
        <v>749.98</v>
      </c>
      <c r="AT109" s="14">
        <f t="shared" si="84"/>
        <v>37768.420000000006</v>
      </c>
      <c r="AU109" s="287">
        <f t="shared" si="85"/>
        <v>1052.5660405080109</v>
      </c>
      <c r="AV109" s="287">
        <f t="shared" si="86"/>
        <v>85872.378192911317</v>
      </c>
    </row>
    <row r="110" spans="1:50" ht="15.75" thickBot="1" x14ac:dyDescent="0.3">
      <c r="A110" s="522">
        <f t="shared" si="56"/>
        <v>47259</v>
      </c>
      <c r="B110" s="348">
        <f t="shared" si="79"/>
        <v>152276.91999999993</v>
      </c>
      <c r="C110" s="21">
        <f t="shared" si="71"/>
        <v>786.54</v>
      </c>
      <c r="D110" s="21">
        <f t="shared" si="87"/>
        <v>405.84999999999997</v>
      </c>
      <c r="E110" s="21">
        <f t="shared" si="72"/>
        <v>380.69</v>
      </c>
      <c r="F110" s="21">
        <f t="shared" si="46"/>
        <v>134.16999999999999</v>
      </c>
      <c r="G110" s="21">
        <f t="shared" si="47"/>
        <v>188.55</v>
      </c>
      <c r="H110" s="21">
        <f t="shared" si="48"/>
        <v>1109.26</v>
      </c>
      <c r="I110" s="348">
        <f t="shared" si="57"/>
        <v>35153.329999999987</v>
      </c>
      <c r="J110" s="348">
        <f t="shared" si="58"/>
        <v>40820.910000000003</v>
      </c>
      <c r="K110" s="348">
        <f t="shared" si="59"/>
        <v>151871.06999999992</v>
      </c>
      <c r="L110" s="429">
        <f>IF(MOD(M110,12)=0,M110/12,L109)</f>
        <v>4</v>
      </c>
      <c r="M110" s="429">
        <f t="shared" si="80"/>
        <v>51</v>
      </c>
      <c r="N110" s="348">
        <f t="shared" si="81"/>
        <v>219742.98000000007</v>
      </c>
      <c r="O110" s="348">
        <f t="shared" si="60"/>
        <v>1536.52</v>
      </c>
      <c r="P110" s="348">
        <f t="shared" si="88"/>
        <v>254.69000000000005</v>
      </c>
      <c r="Q110" s="348">
        <f t="shared" si="61"/>
        <v>1281.83</v>
      </c>
      <c r="R110" s="348">
        <f t="shared" si="70"/>
        <v>134.16999999999999</v>
      </c>
      <c r="S110" s="348">
        <f t="shared" si="62"/>
        <v>188.55</v>
      </c>
      <c r="T110" s="348">
        <f t="shared" si="49"/>
        <v>1859.24</v>
      </c>
      <c r="U110" s="348">
        <f t="shared" si="89"/>
        <v>11461.710000000005</v>
      </c>
      <c r="V110" s="348">
        <f t="shared" si="90"/>
        <v>68437.330000000016</v>
      </c>
      <c r="W110" s="348">
        <f t="shared" si="63"/>
        <v>219488.29000000007</v>
      </c>
      <c r="X110" s="522">
        <f t="shared" si="82"/>
        <v>47259</v>
      </c>
      <c r="Y110" s="348">
        <f t="shared" si="64"/>
        <v>251552.31999999992</v>
      </c>
      <c r="Z110" s="512">
        <f t="shared" si="74"/>
        <v>3.3500000000000002E-2</v>
      </c>
      <c r="AA110" s="348">
        <f t="shared" si="75"/>
        <v>1216.1400000000001</v>
      </c>
      <c r="AB110" s="348">
        <f t="shared" si="65"/>
        <v>513.8900000000001</v>
      </c>
      <c r="AC110" s="348">
        <f t="shared" si="76"/>
        <v>702.25</v>
      </c>
      <c r="AD110" s="348">
        <f t="shared" si="50"/>
        <v>134.16999999999999</v>
      </c>
      <c r="AE110" s="348">
        <f t="shared" si="51"/>
        <v>188.55</v>
      </c>
      <c r="AF110" s="348">
        <f t="shared" si="66"/>
        <v>1538.8600000000001</v>
      </c>
      <c r="AG110" s="348">
        <f t="shared" si="67"/>
        <v>24910.369999999995</v>
      </c>
      <c r="AH110" s="348">
        <f t="shared" si="68"/>
        <v>38328.909999999989</v>
      </c>
      <c r="AI110" s="531">
        <f t="shared" si="52"/>
        <v>16659.75999999998</v>
      </c>
      <c r="AJ110" s="531">
        <f t="shared" si="91"/>
        <v>-31550.139999999839</v>
      </c>
      <c r="AK110" s="531">
        <f t="shared" si="53"/>
        <v>-14890.379999999859</v>
      </c>
      <c r="AL110" s="348">
        <f t="shared" si="69"/>
        <v>251038.42999999991</v>
      </c>
      <c r="AM110" s="429">
        <f t="shared" si="83"/>
        <v>4</v>
      </c>
      <c r="AN110" s="21">
        <f t="shared" si="54"/>
        <v>749.98</v>
      </c>
      <c r="AO110" s="21">
        <f t="shared" si="92"/>
        <v>113082.41999999997</v>
      </c>
      <c r="AP110" s="21">
        <f t="shared" si="55"/>
        <v>429.60000000000014</v>
      </c>
      <c r="AQ110" s="21"/>
      <c r="AR110" s="23"/>
      <c r="AS110" s="21">
        <f t="shared" si="78"/>
        <v>749.98</v>
      </c>
      <c r="AT110" s="21">
        <f t="shared" si="84"/>
        <v>38518.400000000009</v>
      </c>
      <c r="AU110" s="348">
        <f t="shared" si="85"/>
        <v>1056.0745939763713</v>
      </c>
      <c r="AV110" s="348">
        <f t="shared" si="86"/>
        <v>86928.45278688769</v>
      </c>
      <c r="AX110" s="487"/>
    </row>
    <row r="111" spans="1:50" x14ac:dyDescent="0.25">
      <c r="A111" s="519">
        <f t="shared" si="56"/>
        <v>47289</v>
      </c>
      <c r="B111" s="287">
        <f t="shared" si="79"/>
        <v>151871.06999999992</v>
      </c>
      <c r="C111" s="14">
        <f t="shared" si="71"/>
        <v>786.54</v>
      </c>
      <c r="D111" s="14">
        <f t="shared" si="87"/>
        <v>406.85999999999996</v>
      </c>
      <c r="E111" s="14">
        <f t="shared" si="72"/>
        <v>379.68</v>
      </c>
      <c r="F111" s="14">
        <f t="shared" si="46"/>
        <v>134.16999999999999</v>
      </c>
      <c r="G111" s="14">
        <f t="shared" si="47"/>
        <v>188.55</v>
      </c>
      <c r="H111" s="14">
        <f t="shared" si="48"/>
        <v>1109.26</v>
      </c>
      <c r="I111" s="287">
        <f t="shared" si="57"/>
        <v>35560.189999999988</v>
      </c>
      <c r="J111" s="287">
        <f t="shared" si="58"/>
        <v>41200.590000000004</v>
      </c>
      <c r="K111" s="287">
        <f t="shared" si="59"/>
        <v>151464.20999999993</v>
      </c>
      <c r="L111" s="428">
        <f t="shared" ref="L111:L174" si="93">IF(MOD(M111,12)=0,M111/12,L110)</f>
        <v>4</v>
      </c>
      <c r="M111" s="428">
        <f t="shared" si="80"/>
        <v>52</v>
      </c>
      <c r="N111" s="287">
        <f t="shared" si="81"/>
        <v>219488.29000000007</v>
      </c>
      <c r="O111" s="287">
        <f t="shared" si="60"/>
        <v>1536.52</v>
      </c>
      <c r="P111" s="287">
        <f t="shared" si="88"/>
        <v>256.17000000000007</v>
      </c>
      <c r="Q111" s="287">
        <f t="shared" si="61"/>
        <v>1280.3499999999999</v>
      </c>
      <c r="R111" s="287">
        <f t="shared" si="70"/>
        <v>134.16999999999999</v>
      </c>
      <c r="S111" s="287">
        <f t="shared" si="62"/>
        <v>188.55</v>
      </c>
      <c r="T111" s="287">
        <f t="shared" si="49"/>
        <v>1859.24</v>
      </c>
      <c r="U111" s="287">
        <f t="shared" si="89"/>
        <v>11717.880000000005</v>
      </c>
      <c r="V111" s="287">
        <f t="shared" si="90"/>
        <v>69717.680000000022</v>
      </c>
      <c r="W111" s="287">
        <f t="shared" si="63"/>
        <v>219232.12000000005</v>
      </c>
      <c r="X111" s="519">
        <f t="shared" si="82"/>
        <v>47289</v>
      </c>
      <c r="Y111" s="287">
        <f t="shared" si="64"/>
        <v>251038.42999999991</v>
      </c>
      <c r="Z111" s="511">
        <f t="shared" si="74"/>
        <v>3.3500000000000002E-2</v>
      </c>
      <c r="AA111" s="287">
        <f t="shared" si="75"/>
        <v>1216.1400000000001</v>
      </c>
      <c r="AB111" s="287">
        <f t="shared" si="65"/>
        <v>515.32000000000005</v>
      </c>
      <c r="AC111" s="287">
        <f t="shared" si="76"/>
        <v>700.82</v>
      </c>
      <c r="AD111" s="287">
        <f t="shared" si="50"/>
        <v>134.16999999999999</v>
      </c>
      <c r="AE111" s="287">
        <f t="shared" si="51"/>
        <v>188.55</v>
      </c>
      <c r="AF111" s="287">
        <f t="shared" si="66"/>
        <v>1538.8600000000001</v>
      </c>
      <c r="AG111" s="287">
        <f t="shared" si="67"/>
        <v>25425.689999999995</v>
      </c>
      <c r="AH111" s="287">
        <f t="shared" si="68"/>
        <v>39029.729999999989</v>
      </c>
      <c r="AI111" s="530">
        <f t="shared" si="52"/>
        <v>16980.139999999981</v>
      </c>
      <c r="AJ111" s="530">
        <f t="shared" si="91"/>
        <v>-31290.989999999845</v>
      </c>
      <c r="AK111" s="530">
        <f t="shared" si="53"/>
        <v>-14310.849999999864</v>
      </c>
      <c r="AL111" s="287">
        <f t="shared" si="69"/>
        <v>250523.1099999999</v>
      </c>
      <c r="AM111" s="428">
        <f t="shared" si="83"/>
        <v>4</v>
      </c>
      <c r="AN111" s="14">
        <f t="shared" si="54"/>
        <v>749.98</v>
      </c>
      <c r="AO111" s="14">
        <f t="shared" si="92"/>
        <v>113233.10999999997</v>
      </c>
      <c r="AP111" s="14">
        <f t="shared" si="55"/>
        <v>429.60000000000014</v>
      </c>
      <c r="AS111" s="14">
        <f t="shared" si="78"/>
        <v>749.98</v>
      </c>
      <c r="AT111" s="14">
        <f t="shared" si="84"/>
        <v>39268.380000000012</v>
      </c>
      <c r="AU111" s="287">
        <f t="shared" si="85"/>
        <v>1059.594842622959</v>
      </c>
      <c r="AV111" s="287">
        <f t="shared" si="86"/>
        <v>87988.047629510649</v>
      </c>
    </row>
    <row r="112" spans="1:50" x14ac:dyDescent="0.25">
      <c r="A112" s="519">
        <f t="shared" si="56"/>
        <v>47319</v>
      </c>
      <c r="B112" s="287">
        <f t="shared" si="79"/>
        <v>151464.20999999993</v>
      </c>
      <c r="C112" s="14">
        <f t="shared" si="71"/>
        <v>786.54</v>
      </c>
      <c r="D112" s="14">
        <f t="shared" si="87"/>
        <v>407.87999999999994</v>
      </c>
      <c r="E112" s="14">
        <f t="shared" si="72"/>
        <v>378.66</v>
      </c>
      <c r="F112" s="14">
        <f t="shared" si="46"/>
        <v>134.16999999999999</v>
      </c>
      <c r="G112" s="14">
        <f t="shared" si="47"/>
        <v>188.55</v>
      </c>
      <c r="H112" s="14">
        <f t="shared" si="48"/>
        <v>1109.26</v>
      </c>
      <c r="I112" s="287">
        <f t="shared" si="57"/>
        <v>35968.069999999985</v>
      </c>
      <c r="J112" s="287">
        <f t="shared" si="58"/>
        <v>41579.250000000007</v>
      </c>
      <c r="K112" s="287">
        <f t="shared" si="59"/>
        <v>151056.32999999993</v>
      </c>
      <c r="L112" s="428">
        <f t="shared" si="93"/>
        <v>4</v>
      </c>
      <c r="M112" s="428">
        <f t="shared" si="80"/>
        <v>53</v>
      </c>
      <c r="N112" s="287">
        <f t="shared" si="81"/>
        <v>219232.12000000005</v>
      </c>
      <c r="O112" s="287">
        <f t="shared" si="60"/>
        <v>1536.52</v>
      </c>
      <c r="P112" s="287">
        <f t="shared" si="88"/>
        <v>257.67000000000007</v>
      </c>
      <c r="Q112" s="287">
        <f t="shared" si="61"/>
        <v>1278.8499999999999</v>
      </c>
      <c r="R112" s="287">
        <f t="shared" si="70"/>
        <v>134.16999999999999</v>
      </c>
      <c r="S112" s="287">
        <f t="shared" si="62"/>
        <v>188.55</v>
      </c>
      <c r="T112" s="287">
        <f t="shared" si="49"/>
        <v>1859.24</v>
      </c>
      <c r="U112" s="287">
        <f t="shared" si="89"/>
        <v>11975.550000000005</v>
      </c>
      <c r="V112" s="287">
        <f t="shared" si="90"/>
        <v>70996.530000000028</v>
      </c>
      <c r="W112" s="287">
        <f t="shared" si="63"/>
        <v>218974.45000000004</v>
      </c>
      <c r="X112" s="519">
        <f t="shared" si="82"/>
        <v>47319</v>
      </c>
      <c r="Y112" s="287">
        <f t="shared" si="64"/>
        <v>250523.1099999999</v>
      </c>
      <c r="Z112" s="511">
        <f t="shared" si="74"/>
        <v>3.3500000000000002E-2</v>
      </c>
      <c r="AA112" s="287">
        <f t="shared" si="75"/>
        <v>1216.1400000000001</v>
      </c>
      <c r="AB112" s="287">
        <f t="shared" si="65"/>
        <v>516.7600000000001</v>
      </c>
      <c r="AC112" s="287">
        <f t="shared" si="76"/>
        <v>699.38</v>
      </c>
      <c r="AD112" s="287">
        <f t="shared" si="50"/>
        <v>134.16999999999999</v>
      </c>
      <c r="AE112" s="287">
        <f t="shared" si="51"/>
        <v>188.55</v>
      </c>
      <c r="AF112" s="287">
        <f t="shared" si="66"/>
        <v>1538.8600000000001</v>
      </c>
      <c r="AG112" s="287">
        <f t="shared" si="67"/>
        <v>25942.449999999993</v>
      </c>
      <c r="AH112" s="287">
        <f t="shared" si="68"/>
        <v>39729.109999999986</v>
      </c>
      <c r="AI112" s="530">
        <f t="shared" si="52"/>
        <v>17300.519999999982</v>
      </c>
      <c r="AJ112" s="530">
        <f t="shared" si="91"/>
        <v>-31031.899999999849</v>
      </c>
      <c r="AK112" s="530">
        <f t="shared" si="53"/>
        <v>-13731.379999999866</v>
      </c>
      <c r="AL112" s="287">
        <f t="shared" si="69"/>
        <v>250006.34999999989</v>
      </c>
      <c r="AM112" s="428">
        <f t="shared" si="83"/>
        <v>4</v>
      </c>
      <c r="AN112" s="14">
        <f t="shared" si="54"/>
        <v>749.98</v>
      </c>
      <c r="AO112" s="14">
        <f t="shared" si="92"/>
        <v>113383.31999999996</v>
      </c>
      <c r="AP112" s="14">
        <f t="shared" si="55"/>
        <v>429.60000000000014</v>
      </c>
      <c r="AS112" s="14">
        <f t="shared" si="78"/>
        <v>749.98</v>
      </c>
      <c r="AT112" s="14">
        <f t="shared" si="84"/>
        <v>40018.360000000015</v>
      </c>
      <c r="AU112" s="287">
        <f t="shared" si="85"/>
        <v>1063.1268254317022</v>
      </c>
      <c r="AV112" s="287">
        <f t="shared" si="86"/>
        <v>89051.174454942346</v>
      </c>
    </row>
    <row r="113" spans="1:50" x14ac:dyDescent="0.25">
      <c r="A113" s="519">
        <f t="shared" si="56"/>
        <v>47349</v>
      </c>
      <c r="B113" s="287">
        <f t="shared" si="79"/>
        <v>151056.32999999993</v>
      </c>
      <c r="C113" s="14">
        <f t="shared" si="71"/>
        <v>786.54</v>
      </c>
      <c r="D113" s="14">
        <f t="shared" si="87"/>
        <v>408.9</v>
      </c>
      <c r="E113" s="14">
        <f t="shared" si="72"/>
        <v>377.64</v>
      </c>
      <c r="F113" s="14">
        <f t="shared" si="46"/>
        <v>134.16999999999999</v>
      </c>
      <c r="G113" s="14">
        <f t="shared" si="47"/>
        <v>188.55</v>
      </c>
      <c r="H113" s="14">
        <f t="shared" si="48"/>
        <v>1109.26</v>
      </c>
      <c r="I113" s="287">
        <f t="shared" si="57"/>
        <v>36376.969999999987</v>
      </c>
      <c r="J113" s="287">
        <f t="shared" si="58"/>
        <v>41956.890000000007</v>
      </c>
      <c r="K113" s="287">
        <f t="shared" si="59"/>
        <v>150647.42999999993</v>
      </c>
      <c r="L113" s="428">
        <f t="shared" si="93"/>
        <v>4</v>
      </c>
      <c r="M113" s="428">
        <f t="shared" si="80"/>
        <v>54</v>
      </c>
      <c r="N113" s="287">
        <f t="shared" si="81"/>
        <v>218974.45000000004</v>
      </c>
      <c r="O113" s="287">
        <f t="shared" si="60"/>
        <v>1536.52</v>
      </c>
      <c r="P113" s="287">
        <f t="shared" si="88"/>
        <v>259.17000000000007</v>
      </c>
      <c r="Q113" s="287">
        <f t="shared" si="61"/>
        <v>1277.3499999999999</v>
      </c>
      <c r="R113" s="287">
        <f t="shared" si="70"/>
        <v>134.16999999999999</v>
      </c>
      <c r="S113" s="287">
        <f t="shared" si="62"/>
        <v>188.55</v>
      </c>
      <c r="T113" s="287">
        <f t="shared" si="49"/>
        <v>1859.24</v>
      </c>
      <c r="U113" s="287">
        <f t="shared" si="89"/>
        <v>12234.720000000005</v>
      </c>
      <c r="V113" s="287">
        <f t="shared" si="90"/>
        <v>72273.880000000034</v>
      </c>
      <c r="W113" s="287">
        <f t="shared" si="63"/>
        <v>218715.28000000003</v>
      </c>
      <c r="X113" s="519">
        <f t="shared" si="82"/>
        <v>47349</v>
      </c>
      <c r="Y113" s="287">
        <f t="shared" si="64"/>
        <v>250006.34999999989</v>
      </c>
      <c r="Z113" s="511">
        <f t="shared" si="74"/>
        <v>3.3500000000000002E-2</v>
      </c>
      <c r="AA113" s="287">
        <f t="shared" si="75"/>
        <v>1216.1400000000001</v>
      </c>
      <c r="AB113" s="287">
        <f t="shared" si="65"/>
        <v>518.21000000000015</v>
      </c>
      <c r="AC113" s="287">
        <f t="shared" si="76"/>
        <v>697.93</v>
      </c>
      <c r="AD113" s="287">
        <f t="shared" si="50"/>
        <v>134.16999999999999</v>
      </c>
      <c r="AE113" s="287">
        <f t="shared" si="51"/>
        <v>188.55</v>
      </c>
      <c r="AF113" s="287">
        <f t="shared" si="66"/>
        <v>1538.8600000000001</v>
      </c>
      <c r="AG113" s="287">
        <f t="shared" si="67"/>
        <v>26460.659999999993</v>
      </c>
      <c r="AH113" s="287">
        <f t="shared" si="68"/>
        <v>40427.039999999986</v>
      </c>
      <c r="AI113" s="530">
        <f t="shared" si="52"/>
        <v>17620.899999999983</v>
      </c>
      <c r="AJ113" s="530">
        <f t="shared" si="91"/>
        <v>-30772.85999999987</v>
      </c>
      <c r="AK113" s="530">
        <f t="shared" si="53"/>
        <v>-13151.959999999886</v>
      </c>
      <c r="AL113" s="287">
        <f t="shared" si="69"/>
        <v>249488.1399999999</v>
      </c>
      <c r="AM113" s="428">
        <f t="shared" si="83"/>
        <v>4</v>
      </c>
      <c r="AN113" s="14">
        <f t="shared" si="54"/>
        <v>749.98</v>
      </c>
      <c r="AO113" s="14">
        <f t="shared" si="92"/>
        <v>113533.04999999997</v>
      </c>
      <c r="AP113" s="14">
        <f t="shared" si="55"/>
        <v>429.60000000000014</v>
      </c>
      <c r="AS113" s="14">
        <f t="shared" si="78"/>
        <v>749.98</v>
      </c>
      <c r="AT113" s="14">
        <f t="shared" si="84"/>
        <v>40768.340000000018</v>
      </c>
      <c r="AU113" s="287">
        <f t="shared" si="85"/>
        <v>1066.6705815164744</v>
      </c>
      <c r="AV113" s="287">
        <f t="shared" si="86"/>
        <v>90117.845036458821</v>
      </c>
    </row>
    <row r="114" spans="1:50" x14ac:dyDescent="0.25">
      <c r="A114" s="519">
        <f t="shared" si="56"/>
        <v>47379</v>
      </c>
      <c r="B114" s="287">
        <f t="shared" si="79"/>
        <v>150647.42999999993</v>
      </c>
      <c r="C114" s="14">
        <f t="shared" si="71"/>
        <v>786.54</v>
      </c>
      <c r="D114" s="14">
        <f t="shared" si="87"/>
        <v>409.91999999999996</v>
      </c>
      <c r="E114" s="14">
        <f t="shared" si="72"/>
        <v>376.62</v>
      </c>
      <c r="F114" s="14">
        <f t="shared" si="46"/>
        <v>134.16999999999999</v>
      </c>
      <c r="G114" s="14">
        <f t="shared" si="47"/>
        <v>188.55</v>
      </c>
      <c r="H114" s="14">
        <f t="shared" si="48"/>
        <v>1109.26</v>
      </c>
      <c r="I114" s="287">
        <f t="shared" si="57"/>
        <v>36786.889999999985</v>
      </c>
      <c r="J114" s="287">
        <f t="shared" si="58"/>
        <v>42333.510000000009</v>
      </c>
      <c r="K114" s="287">
        <f t="shared" si="59"/>
        <v>150237.50999999992</v>
      </c>
      <c r="L114" s="428">
        <f t="shared" si="93"/>
        <v>4</v>
      </c>
      <c r="M114" s="428">
        <f t="shared" si="80"/>
        <v>55</v>
      </c>
      <c r="N114" s="287">
        <f t="shared" si="81"/>
        <v>218715.28000000003</v>
      </c>
      <c r="O114" s="287">
        <f t="shared" si="60"/>
        <v>1536.52</v>
      </c>
      <c r="P114" s="287">
        <f t="shared" si="88"/>
        <v>260.68000000000006</v>
      </c>
      <c r="Q114" s="287">
        <f t="shared" si="61"/>
        <v>1275.8399999999999</v>
      </c>
      <c r="R114" s="287">
        <f t="shared" si="70"/>
        <v>134.16999999999999</v>
      </c>
      <c r="S114" s="287">
        <f t="shared" si="62"/>
        <v>188.55</v>
      </c>
      <c r="T114" s="287">
        <f t="shared" si="49"/>
        <v>1859.24</v>
      </c>
      <c r="U114" s="287">
        <f t="shared" si="89"/>
        <v>12495.400000000005</v>
      </c>
      <c r="V114" s="287">
        <f t="shared" si="90"/>
        <v>73549.72000000003</v>
      </c>
      <c r="W114" s="287">
        <f t="shared" si="63"/>
        <v>218454.60000000003</v>
      </c>
      <c r="X114" s="519">
        <f t="shared" si="82"/>
        <v>47379</v>
      </c>
      <c r="Y114" s="287">
        <f t="shared" si="64"/>
        <v>249488.1399999999</v>
      </c>
      <c r="Z114" s="511">
        <f t="shared" si="74"/>
        <v>3.3500000000000002E-2</v>
      </c>
      <c r="AA114" s="287">
        <f t="shared" si="75"/>
        <v>1216.1400000000001</v>
      </c>
      <c r="AB114" s="287">
        <f t="shared" si="65"/>
        <v>519.65000000000009</v>
      </c>
      <c r="AC114" s="287">
        <f t="shared" si="76"/>
        <v>696.49</v>
      </c>
      <c r="AD114" s="287">
        <f t="shared" si="50"/>
        <v>134.16999999999999</v>
      </c>
      <c r="AE114" s="287">
        <f t="shared" si="51"/>
        <v>188.55</v>
      </c>
      <c r="AF114" s="287">
        <f t="shared" si="66"/>
        <v>1538.8600000000001</v>
      </c>
      <c r="AG114" s="287">
        <f t="shared" si="67"/>
        <v>26980.309999999994</v>
      </c>
      <c r="AH114" s="287">
        <f t="shared" si="68"/>
        <v>41123.529999999984</v>
      </c>
      <c r="AI114" s="530">
        <f t="shared" si="52"/>
        <v>17941.279999999984</v>
      </c>
      <c r="AJ114" s="530">
        <f t="shared" si="91"/>
        <v>-30513.889999999868</v>
      </c>
      <c r="AK114" s="530">
        <f t="shared" si="53"/>
        <v>-12572.609999999884</v>
      </c>
      <c r="AL114" s="287">
        <f t="shared" si="69"/>
        <v>248968.4899999999</v>
      </c>
      <c r="AM114" s="428">
        <f t="shared" si="83"/>
        <v>4</v>
      </c>
      <c r="AN114" s="14">
        <f t="shared" si="54"/>
        <v>749.98</v>
      </c>
      <c r="AO114" s="14">
        <f t="shared" si="92"/>
        <v>113682.28999999996</v>
      </c>
      <c r="AP114" s="14">
        <f t="shared" si="55"/>
        <v>429.60000000000014</v>
      </c>
      <c r="AS114" s="14">
        <f t="shared" si="78"/>
        <v>749.98</v>
      </c>
      <c r="AT114" s="14">
        <f t="shared" si="84"/>
        <v>41518.320000000022</v>
      </c>
      <c r="AU114" s="287">
        <f t="shared" si="85"/>
        <v>1070.2261501215294</v>
      </c>
      <c r="AV114" s="287">
        <f t="shared" si="86"/>
        <v>91188.071186580346</v>
      </c>
    </row>
    <row r="115" spans="1:50" x14ac:dyDescent="0.25">
      <c r="A115" s="519">
        <f t="shared" si="56"/>
        <v>47409</v>
      </c>
      <c r="B115" s="287">
        <f t="shared" si="79"/>
        <v>150237.50999999992</v>
      </c>
      <c r="C115" s="14">
        <f t="shared" si="71"/>
        <v>786.54</v>
      </c>
      <c r="D115" s="14">
        <f t="shared" si="87"/>
        <v>410.95</v>
      </c>
      <c r="E115" s="14">
        <f t="shared" si="72"/>
        <v>375.59</v>
      </c>
      <c r="F115" s="14">
        <f t="shared" si="46"/>
        <v>134.16999999999999</v>
      </c>
      <c r="G115" s="14">
        <f t="shared" si="47"/>
        <v>188.55</v>
      </c>
      <c r="H115" s="14">
        <f t="shared" si="48"/>
        <v>1109.26</v>
      </c>
      <c r="I115" s="287">
        <f t="shared" si="57"/>
        <v>37197.839999999982</v>
      </c>
      <c r="J115" s="287">
        <f t="shared" si="58"/>
        <v>42709.100000000006</v>
      </c>
      <c r="K115" s="287">
        <f t="shared" si="59"/>
        <v>149826.55999999991</v>
      </c>
      <c r="L115" s="428">
        <f t="shared" si="93"/>
        <v>4</v>
      </c>
      <c r="M115" s="428">
        <f t="shared" si="80"/>
        <v>56</v>
      </c>
      <c r="N115" s="287">
        <f t="shared" si="81"/>
        <v>218454.60000000003</v>
      </c>
      <c r="O115" s="287">
        <f t="shared" si="60"/>
        <v>1536.52</v>
      </c>
      <c r="P115" s="287">
        <f t="shared" si="88"/>
        <v>262.20000000000005</v>
      </c>
      <c r="Q115" s="287">
        <f t="shared" si="61"/>
        <v>1274.32</v>
      </c>
      <c r="R115" s="287">
        <f t="shared" si="70"/>
        <v>134.16999999999999</v>
      </c>
      <c r="S115" s="287">
        <f t="shared" si="62"/>
        <v>188.55</v>
      </c>
      <c r="T115" s="287">
        <f t="shared" si="49"/>
        <v>1859.24</v>
      </c>
      <c r="U115" s="287">
        <f t="shared" si="89"/>
        <v>12757.600000000006</v>
      </c>
      <c r="V115" s="287">
        <f t="shared" si="90"/>
        <v>74824.040000000037</v>
      </c>
      <c r="W115" s="287">
        <f t="shared" si="63"/>
        <v>218192.40000000002</v>
      </c>
      <c r="X115" s="519">
        <f t="shared" si="82"/>
        <v>47409</v>
      </c>
      <c r="Y115" s="287">
        <f t="shared" si="64"/>
        <v>248968.4899999999</v>
      </c>
      <c r="Z115" s="511">
        <f t="shared" si="74"/>
        <v>3.3500000000000002E-2</v>
      </c>
      <c r="AA115" s="287">
        <f t="shared" si="75"/>
        <v>1216.1400000000001</v>
      </c>
      <c r="AB115" s="287">
        <f t="shared" si="65"/>
        <v>521.10000000000014</v>
      </c>
      <c r="AC115" s="287">
        <f t="shared" si="76"/>
        <v>695.04</v>
      </c>
      <c r="AD115" s="287">
        <f t="shared" si="50"/>
        <v>134.16999999999999</v>
      </c>
      <c r="AE115" s="287">
        <f t="shared" si="51"/>
        <v>188.55</v>
      </c>
      <c r="AF115" s="287">
        <f t="shared" si="66"/>
        <v>1538.8600000000001</v>
      </c>
      <c r="AG115" s="287">
        <f t="shared" si="67"/>
        <v>27501.409999999993</v>
      </c>
      <c r="AH115" s="287">
        <f t="shared" si="68"/>
        <v>41818.569999999985</v>
      </c>
      <c r="AI115" s="530">
        <f t="shared" si="52"/>
        <v>18261.659999999985</v>
      </c>
      <c r="AJ115" s="530">
        <f t="shared" si="91"/>
        <v>-30254.989999999874</v>
      </c>
      <c r="AK115" s="530">
        <f t="shared" si="53"/>
        <v>-11993.329999999889</v>
      </c>
      <c r="AL115" s="287">
        <f t="shared" si="69"/>
        <v>248447.3899999999</v>
      </c>
      <c r="AM115" s="428">
        <f t="shared" si="83"/>
        <v>4</v>
      </c>
      <c r="AN115" s="14">
        <f t="shared" si="54"/>
        <v>749.98</v>
      </c>
      <c r="AO115" s="14">
        <f t="shared" si="92"/>
        <v>113831.03999999996</v>
      </c>
      <c r="AP115" s="14">
        <f t="shared" si="55"/>
        <v>429.60000000000014</v>
      </c>
      <c r="AS115" s="14">
        <f t="shared" si="78"/>
        <v>749.98</v>
      </c>
      <c r="AT115" s="14">
        <f t="shared" si="84"/>
        <v>42268.300000000025</v>
      </c>
      <c r="AU115" s="287">
        <f t="shared" si="85"/>
        <v>1073.7935706219346</v>
      </c>
      <c r="AV115" s="287">
        <f t="shared" si="86"/>
        <v>92261.864757202275</v>
      </c>
    </row>
    <row r="116" spans="1:50" x14ac:dyDescent="0.25">
      <c r="A116" s="519">
        <f t="shared" si="56"/>
        <v>47439</v>
      </c>
      <c r="B116" s="287">
        <f t="shared" si="79"/>
        <v>149826.55999999991</v>
      </c>
      <c r="C116" s="14">
        <f t="shared" si="71"/>
        <v>786.54</v>
      </c>
      <c r="D116" s="14">
        <f t="shared" si="87"/>
        <v>411.96999999999997</v>
      </c>
      <c r="E116" s="14">
        <f t="shared" si="72"/>
        <v>374.57</v>
      </c>
      <c r="F116" s="14">
        <f t="shared" si="46"/>
        <v>134.16999999999999</v>
      </c>
      <c r="G116" s="14">
        <f t="shared" si="47"/>
        <v>188.55</v>
      </c>
      <c r="H116" s="14">
        <f t="shared" si="48"/>
        <v>1109.26</v>
      </c>
      <c r="I116" s="287">
        <f t="shared" si="57"/>
        <v>37609.809999999983</v>
      </c>
      <c r="J116" s="287">
        <f t="shared" si="58"/>
        <v>43083.670000000006</v>
      </c>
      <c r="K116" s="287">
        <f t="shared" si="59"/>
        <v>149414.58999999991</v>
      </c>
      <c r="L116" s="428">
        <f t="shared" si="93"/>
        <v>4</v>
      </c>
      <c r="M116" s="428">
        <f t="shared" si="80"/>
        <v>57</v>
      </c>
      <c r="N116" s="287">
        <f t="shared" si="81"/>
        <v>218192.40000000002</v>
      </c>
      <c r="O116" s="287">
        <f t="shared" si="60"/>
        <v>1536.52</v>
      </c>
      <c r="P116" s="287">
        <f t="shared" si="88"/>
        <v>263.73</v>
      </c>
      <c r="Q116" s="287">
        <f t="shared" si="61"/>
        <v>1272.79</v>
      </c>
      <c r="R116" s="287">
        <f t="shared" si="70"/>
        <v>134.16999999999999</v>
      </c>
      <c r="S116" s="287">
        <f t="shared" si="62"/>
        <v>188.55</v>
      </c>
      <c r="T116" s="287">
        <f t="shared" si="49"/>
        <v>1859.24</v>
      </c>
      <c r="U116" s="287">
        <f t="shared" si="89"/>
        <v>13021.330000000005</v>
      </c>
      <c r="V116" s="287">
        <f t="shared" si="90"/>
        <v>76096.830000000031</v>
      </c>
      <c r="W116" s="287">
        <f t="shared" si="63"/>
        <v>217928.67</v>
      </c>
      <c r="X116" s="519">
        <f t="shared" si="82"/>
        <v>47439</v>
      </c>
      <c r="Y116" s="287">
        <f t="shared" si="64"/>
        <v>248447.3899999999</v>
      </c>
      <c r="Z116" s="511">
        <f t="shared" si="74"/>
        <v>3.3500000000000002E-2</v>
      </c>
      <c r="AA116" s="287">
        <f t="shared" si="75"/>
        <v>1216.1400000000001</v>
      </c>
      <c r="AB116" s="287">
        <f t="shared" si="65"/>
        <v>522.56000000000006</v>
      </c>
      <c r="AC116" s="287">
        <f t="shared" si="76"/>
        <v>693.58</v>
      </c>
      <c r="AD116" s="287">
        <f t="shared" si="50"/>
        <v>134.16999999999999</v>
      </c>
      <c r="AE116" s="287">
        <f t="shared" si="51"/>
        <v>188.55</v>
      </c>
      <c r="AF116" s="287">
        <f t="shared" si="66"/>
        <v>1538.8600000000001</v>
      </c>
      <c r="AG116" s="287">
        <f t="shared" si="67"/>
        <v>28023.969999999994</v>
      </c>
      <c r="AH116" s="287">
        <f t="shared" si="68"/>
        <v>42512.149999999987</v>
      </c>
      <c r="AI116" s="530">
        <f t="shared" si="52"/>
        <v>18582.039999999986</v>
      </c>
      <c r="AJ116" s="530">
        <f t="shared" si="91"/>
        <v>-29996.159999999887</v>
      </c>
      <c r="AK116" s="530">
        <f t="shared" si="53"/>
        <v>-11414.119999999901</v>
      </c>
      <c r="AL116" s="287">
        <f t="shared" si="69"/>
        <v>247924.8299999999</v>
      </c>
      <c r="AM116" s="428">
        <f t="shared" si="83"/>
        <v>4</v>
      </c>
      <c r="AN116" s="14">
        <f t="shared" si="54"/>
        <v>749.98</v>
      </c>
      <c r="AO116" s="14">
        <f t="shared" si="92"/>
        <v>113979.27999999997</v>
      </c>
      <c r="AP116" s="14">
        <f t="shared" si="55"/>
        <v>429.60000000000014</v>
      </c>
      <c r="AS116" s="14">
        <f t="shared" si="78"/>
        <v>749.98</v>
      </c>
      <c r="AT116" s="14">
        <f t="shared" si="84"/>
        <v>43018.280000000028</v>
      </c>
      <c r="AU116" s="287">
        <f t="shared" si="85"/>
        <v>1077.3728825240075</v>
      </c>
      <c r="AV116" s="287">
        <f t="shared" si="86"/>
        <v>93339.237639726285</v>
      </c>
    </row>
    <row r="117" spans="1:50" x14ac:dyDescent="0.25">
      <c r="A117" s="519">
        <f t="shared" si="56"/>
        <v>47469</v>
      </c>
      <c r="B117" s="287">
        <f t="shared" si="79"/>
        <v>149414.58999999991</v>
      </c>
      <c r="C117" s="14">
        <f t="shared" si="71"/>
        <v>786.54</v>
      </c>
      <c r="D117" s="14">
        <f t="shared" si="87"/>
        <v>412.99999999999994</v>
      </c>
      <c r="E117" s="14">
        <f t="shared" si="72"/>
        <v>373.54</v>
      </c>
      <c r="F117" s="14">
        <f t="shared" si="46"/>
        <v>134.16999999999999</v>
      </c>
      <c r="G117" s="14">
        <f t="shared" si="47"/>
        <v>188.55</v>
      </c>
      <c r="H117" s="14">
        <f t="shared" si="48"/>
        <v>1109.26</v>
      </c>
      <c r="I117" s="287">
        <f t="shared" si="57"/>
        <v>38022.809999999983</v>
      </c>
      <c r="J117" s="287">
        <f t="shared" si="58"/>
        <v>43457.210000000006</v>
      </c>
      <c r="K117" s="287">
        <f t="shared" si="59"/>
        <v>149001.58999999991</v>
      </c>
      <c r="L117" s="428">
        <f t="shared" si="93"/>
        <v>4</v>
      </c>
      <c r="M117" s="428">
        <f t="shared" si="80"/>
        <v>58</v>
      </c>
      <c r="N117" s="287">
        <f t="shared" si="81"/>
        <v>217928.67</v>
      </c>
      <c r="O117" s="287">
        <f t="shared" si="60"/>
        <v>1536.52</v>
      </c>
      <c r="P117" s="287">
        <f t="shared" si="88"/>
        <v>265.27</v>
      </c>
      <c r="Q117" s="287">
        <f t="shared" si="61"/>
        <v>1271.25</v>
      </c>
      <c r="R117" s="287">
        <f t="shared" si="70"/>
        <v>134.16999999999999</v>
      </c>
      <c r="S117" s="287">
        <f t="shared" si="62"/>
        <v>188.55</v>
      </c>
      <c r="T117" s="287">
        <f t="shared" si="49"/>
        <v>1859.24</v>
      </c>
      <c r="U117" s="287">
        <f t="shared" si="89"/>
        <v>13286.600000000006</v>
      </c>
      <c r="V117" s="287">
        <f t="shared" si="90"/>
        <v>77368.080000000031</v>
      </c>
      <c r="W117" s="287">
        <f t="shared" si="63"/>
        <v>217663.40000000002</v>
      </c>
      <c r="X117" s="519">
        <f t="shared" si="82"/>
        <v>47469</v>
      </c>
      <c r="Y117" s="287">
        <f t="shared" si="64"/>
        <v>247924.8299999999</v>
      </c>
      <c r="Z117" s="511">
        <f t="shared" si="74"/>
        <v>3.3500000000000002E-2</v>
      </c>
      <c r="AA117" s="287">
        <f t="shared" si="75"/>
        <v>1216.1400000000001</v>
      </c>
      <c r="AB117" s="287">
        <f t="shared" si="65"/>
        <v>524.0200000000001</v>
      </c>
      <c r="AC117" s="287">
        <f t="shared" si="76"/>
        <v>692.12</v>
      </c>
      <c r="AD117" s="287">
        <f t="shared" si="50"/>
        <v>134.16999999999999</v>
      </c>
      <c r="AE117" s="287">
        <f t="shared" si="51"/>
        <v>188.55</v>
      </c>
      <c r="AF117" s="287">
        <f t="shared" si="66"/>
        <v>1538.8600000000001</v>
      </c>
      <c r="AG117" s="287">
        <f t="shared" si="67"/>
        <v>28547.989999999994</v>
      </c>
      <c r="AH117" s="287">
        <f t="shared" si="68"/>
        <v>43204.26999999999</v>
      </c>
      <c r="AI117" s="530">
        <f t="shared" si="52"/>
        <v>18902.419999999987</v>
      </c>
      <c r="AJ117" s="530">
        <f t="shared" si="91"/>
        <v>-29737.409999999887</v>
      </c>
      <c r="AK117" s="530">
        <f t="shared" si="53"/>
        <v>-10834.9899999999</v>
      </c>
      <c r="AL117" s="287">
        <f t="shared" si="69"/>
        <v>247400.80999999991</v>
      </c>
      <c r="AM117" s="428">
        <f t="shared" si="83"/>
        <v>4</v>
      </c>
      <c r="AN117" s="14">
        <f t="shared" si="54"/>
        <v>749.98</v>
      </c>
      <c r="AO117" s="14">
        <f t="shared" si="92"/>
        <v>114127.00999999997</v>
      </c>
      <c r="AP117" s="14">
        <f t="shared" si="55"/>
        <v>429.60000000000014</v>
      </c>
      <c r="AS117" s="14">
        <f t="shared" si="78"/>
        <v>749.98</v>
      </c>
      <c r="AT117" s="14">
        <f t="shared" si="84"/>
        <v>43768.260000000031</v>
      </c>
      <c r="AU117" s="287">
        <f t="shared" si="85"/>
        <v>1080.9641254657543</v>
      </c>
      <c r="AV117" s="287">
        <f t="shared" si="86"/>
        <v>94420.201765192032</v>
      </c>
      <c r="AX117" s="487"/>
    </row>
    <row r="118" spans="1:50" x14ac:dyDescent="0.25">
      <c r="A118" s="519">
        <f t="shared" si="56"/>
        <v>47499</v>
      </c>
      <c r="B118" s="287">
        <f t="shared" si="79"/>
        <v>149001.58999999991</v>
      </c>
      <c r="C118" s="14">
        <f t="shared" si="71"/>
        <v>786.54</v>
      </c>
      <c r="D118" s="14">
        <f t="shared" si="87"/>
        <v>414.03999999999996</v>
      </c>
      <c r="E118" s="14">
        <f t="shared" si="72"/>
        <v>372.5</v>
      </c>
      <c r="F118" s="14">
        <f t="shared" si="46"/>
        <v>134.16999999999999</v>
      </c>
      <c r="G118" s="14">
        <f t="shared" si="47"/>
        <v>188.55</v>
      </c>
      <c r="H118" s="14">
        <f t="shared" si="48"/>
        <v>1109.26</v>
      </c>
      <c r="I118" s="287">
        <f t="shared" si="57"/>
        <v>38436.849999999984</v>
      </c>
      <c r="J118" s="287">
        <f t="shared" si="58"/>
        <v>43829.710000000006</v>
      </c>
      <c r="K118" s="287">
        <f t="shared" si="59"/>
        <v>148587.5499999999</v>
      </c>
      <c r="L118" s="428">
        <f t="shared" si="93"/>
        <v>4</v>
      </c>
      <c r="M118" s="428">
        <f t="shared" si="80"/>
        <v>59</v>
      </c>
      <c r="N118" s="287">
        <f t="shared" si="81"/>
        <v>217663.40000000002</v>
      </c>
      <c r="O118" s="287">
        <f t="shared" si="60"/>
        <v>1536.52</v>
      </c>
      <c r="P118" s="287">
        <f t="shared" si="88"/>
        <v>266.81999999999994</v>
      </c>
      <c r="Q118" s="287">
        <f t="shared" si="61"/>
        <v>1269.7</v>
      </c>
      <c r="R118" s="287">
        <f t="shared" si="70"/>
        <v>134.16999999999999</v>
      </c>
      <c r="S118" s="287">
        <f t="shared" si="62"/>
        <v>188.55</v>
      </c>
      <c r="T118" s="287">
        <f t="shared" si="49"/>
        <v>1859.24</v>
      </c>
      <c r="U118" s="287">
        <f t="shared" si="89"/>
        <v>13553.420000000006</v>
      </c>
      <c r="V118" s="287">
        <f t="shared" si="90"/>
        <v>78637.780000000028</v>
      </c>
      <c r="W118" s="287">
        <f t="shared" si="63"/>
        <v>217396.58000000002</v>
      </c>
      <c r="X118" s="519">
        <f t="shared" si="82"/>
        <v>47499</v>
      </c>
      <c r="Y118" s="287">
        <f t="shared" si="64"/>
        <v>247400.80999999991</v>
      </c>
      <c r="Z118" s="511">
        <f t="shared" si="74"/>
        <v>3.3500000000000002E-2</v>
      </c>
      <c r="AA118" s="287">
        <f t="shared" si="75"/>
        <v>1216.1400000000001</v>
      </c>
      <c r="AB118" s="287">
        <f t="shared" si="65"/>
        <v>525.48000000000013</v>
      </c>
      <c r="AC118" s="287">
        <f t="shared" si="76"/>
        <v>690.66</v>
      </c>
      <c r="AD118" s="287">
        <f t="shared" si="50"/>
        <v>134.16999999999999</v>
      </c>
      <c r="AE118" s="287">
        <f t="shared" si="51"/>
        <v>188.55</v>
      </c>
      <c r="AF118" s="287">
        <f t="shared" si="66"/>
        <v>1538.8600000000001</v>
      </c>
      <c r="AG118" s="287">
        <f t="shared" si="67"/>
        <v>29073.469999999994</v>
      </c>
      <c r="AH118" s="287">
        <f t="shared" si="68"/>
        <v>43894.929999999993</v>
      </c>
      <c r="AI118" s="530">
        <f t="shared" si="52"/>
        <v>19222.799999999988</v>
      </c>
      <c r="AJ118" s="530">
        <f t="shared" si="91"/>
        <v>-29478.749999999884</v>
      </c>
      <c r="AK118" s="530">
        <f t="shared" si="53"/>
        <v>-10255.949999999895</v>
      </c>
      <c r="AL118" s="287">
        <f t="shared" si="69"/>
        <v>246875.3299999999</v>
      </c>
      <c r="AM118" s="428">
        <f t="shared" si="83"/>
        <v>4</v>
      </c>
      <c r="AN118" s="14">
        <f t="shared" si="54"/>
        <v>749.98</v>
      </c>
      <c r="AO118" s="14">
        <f t="shared" si="92"/>
        <v>114274.22999999995</v>
      </c>
      <c r="AP118" s="14">
        <f t="shared" si="55"/>
        <v>429.60000000000014</v>
      </c>
      <c r="AS118" s="14">
        <f t="shared" si="78"/>
        <v>749.98</v>
      </c>
      <c r="AT118" s="14">
        <f t="shared" si="84"/>
        <v>44518.240000000034</v>
      </c>
      <c r="AU118" s="287">
        <f t="shared" si="85"/>
        <v>1084.5673392173069</v>
      </c>
      <c r="AV118" s="287">
        <f t="shared" si="86"/>
        <v>95504.769104409337</v>
      </c>
      <c r="AX118" s="487"/>
    </row>
    <row r="119" spans="1:50" x14ac:dyDescent="0.25">
      <c r="A119" s="519">
        <f t="shared" si="56"/>
        <v>47529</v>
      </c>
      <c r="B119" s="287">
        <f t="shared" si="79"/>
        <v>148587.5499999999</v>
      </c>
      <c r="C119" s="14">
        <f t="shared" si="71"/>
        <v>786.54</v>
      </c>
      <c r="D119" s="14">
        <f t="shared" si="87"/>
        <v>415.06999999999994</v>
      </c>
      <c r="E119" s="14">
        <f t="shared" si="72"/>
        <v>371.47</v>
      </c>
      <c r="F119" s="14">
        <f t="shared" si="46"/>
        <v>134.16999999999999</v>
      </c>
      <c r="G119" s="14">
        <f t="shared" si="47"/>
        <v>188.55</v>
      </c>
      <c r="H119" s="14">
        <f t="shared" si="48"/>
        <v>1109.26</v>
      </c>
      <c r="I119" s="287">
        <f t="shared" si="57"/>
        <v>38851.919999999984</v>
      </c>
      <c r="J119" s="287">
        <f t="shared" si="58"/>
        <v>44201.180000000008</v>
      </c>
      <c r="K119" s="287">
        <f t="shared" si="59"/>
        <v>148172.47999999989</v>
      </c>
      <c r="L119" s="428">
        <f t="shared" si="93"/>
        <v>5</v>
      </c>
      <c r="M119" s="428">
        <f t="shared" si="80"/>
        <v>60</v>
      </c>
      <c r="N119" s="287">
        <f t="shared" si="81"/>
        <v>217396.58000000002</v>
      </c>
      <c r="O119" s="287">
        <f t="shared" si="60"/>
        <v>1536.52</v>
      </c>
      <c r="P119" s="287">
        <f t="shared" si="88"/>
        <v>268.36999999999989</v>
      </c>
      <c r="Q119" s="287">
        <f t="shared" si="61"/>
        <v>1268.1500000000001</v>
      </c>
      <c r="R119" s="287">
        <f t="shared" si="70"/>
        <v>134.16999999999999</v>
      </c>
      <c r="S119" s="287">
        <f t="shared" si="62"/>
        <v>188.55</v>
      </c>
      <c r="T119" s="287">
        <f t="shared" si="49"/>
        <v>1859.24</v>
      </c>
      <c r="U119" s="287">
        <f t="shared" si="89"/>
        <v>13821.790000000005</v>
      </c>
      <c r="V119" s="287">
        <f t="shared" si="90"/>
        <v>79905.930000000022</v>
      </c>
      <c r="W119" s="287">
        <f t="shared" si="63"/>
        <v>217128.21000000002</v>
      </c>
      <c r="X119" s="519">
        <f t="shared" si="82"/>
        <v>47529</v>
      </c>
      <c r="Y119" s="287">
        <f t="shared" si="64"/>
        <v>246875.3299999999</v>
      </c>
      <c r="Z119" s="511">
        <f t="shared" si="74"/>
        <v>7.0000000000000007E-2</v>
      </c>
      <c r="AA119" s="287">
        <f t="shared" si="75"/>
        <v>1746.44</v>
      </c>
      <c r="AB119" s="287">
        <f t="shared" si="65"/>
        <v>306.33000000000015</v>
      </c>
      <c r="AC119" s="287">
        <f t="shared" si="76"/>
        <v>1440.11</v>
      </c>
      <c r="AD119" s="287">
        <f t="shared" si="50"/>
        <v>134.16999999999999</v>
      </c>
      <c r="AE119" s="287">
        <f t="shared" si="51"/>
        <v>188.55</v>
      </c>
      <c r="AF119" s="287">
        <f t="shared" si="66"/>
        <v>2069.1600000000003</v>
      </c>
      <c r="AG119" s="287">
        <f t="shared" si="67"/>
        <v>29379.799999999996</v>
      </c>
      <c r="AH119" s="287">
        <f t="shared" si="68"/>
        <v>45335.039999999994</v>
      </c>
      <c r="AI119" s="530">
        <f t="shared" si="52"/>
        <v>19012.87999999999</v>
      </c>
      <c r="AJ119" s="530">
        <f t="shared" si="91"/>
        <v>-29440.789999999892</v>
      </c>
      <c r="AK119" s="530">
        <f t="shared" si="53"/>
        <v>-10427.909999999902</v>
      </c>
      <c r="AL119" s="287">
        <f t="shared" si="69"/>
        <v>246568.99999999991</v>
      </c>
      <c r="AM119" s="428">
        <f t="shared" si="83"/>
        <v>5</v>
      </c>
      <c r="AN119" s="14">
        <f t="shared" si="54"/>
        <v>749.98</v>
      </c>
      <c r="AO119" s="14">
        <f t="shared" si="92"/>
        <v>114420.92999999996</v>
      </c>
      <c r="AP119" s="14">
        <f t="shared" si="55"/>
        <v>959.90000000000009</v>
      </c>
      <c r="AS119" s="14">
        <f t="shared" si="78"/>
        <v>749.98</v>
      </c>
      <c r="AT119" s="14">
        <f t="shared" si="84"/>
        <v>45268.220000000038</v>
      </c>
      <c r="AU119" s="287">
        <f t="shared" si="85"/>
        <v>1088.1825636813644</v>
      </c>
      <c r="AV119" s="287">
        <f t="shared" si="86"/>
        <v>96592.951668090696</v>
      </c>
      <c r="AX119" s="487"/>
    </row>
    <row r="120" spans="1:50" x14ac:dyDescent="0.25">
      <c r="A120" s="519">
        <f t="shared" si="56"/>
        <v>47559</v>
      </c>
      <c r="B120" s="287">
        <f t="shared" si="79"/>
        <v>148172.47999999989</v>
      </c>
      <c r="C120" s="14">
        <f t="shared" si="71"/>
        <v>786.54</v>
      </c>
      <c r="D120" s="14">
        <f t="shared" si="87"/>
        <v>416.10999999999996</v>
      </c>
      <c r="E120" s="14">
        <f t="shared" si="72"/>
        <v>370.43</v>
      </c>
      <c r="F120" s="14">
        <f t="shared" si="46"/>
        <v>134.16999999999999</v>
      </c>
      <c r="G120" s="14">
        <f t="shared" si="47"/>
        <v>188.55</v>
      </c>
      <c r="H120" s="14">
        <f t="shared" si="48"/>
        <v>1109.26</v>
      </c>
      <c r="I120" s="287">
        <f t="shared" si="57"/>
        <v>39268.029999999984</v>
      </c>
      <c r="J120" s="287">
        <f t="shared" si="58"/>
        <v>44571.610000000008</v>
      </c>
      <c r="K120" s="287">
        <f t="shared" si="59"/>
        <v>147756.36999999991</v>
      </c>
      <c r="L120" s="428">
        <f t="shared" si="93"/>
        <v>5</v>
      </c>
      <c r="M120" s="428">
        <f t="shared" si="80"/>
        <v>61</v>
      </c>
      <c r="N120" s="287">
        <f t="shared" si="81"/>
        <v>217128.21000000002</v>
      </c>
      <c r="O120" s="287">
        <f t="shared" si="60"/>
        <v>1536.52</v>
      </c>
      <c r="P120" s="287">
        <f t="shared" si="88"/>
        <v>269.94000000000005</v>
      </c>
      <c r="Q120" s="287">
        <f t="shared" si="61"/>
        <v>1266.58</v>
      </c>
      <c r="R120" s="287">
        <f t="shared" si="70"/>
        <v>134.16999999999999</v>
      </c>
      <c r="S120" s="287">
        <f t="shared" si="62"/>
        <v>188.55</v>
      </c>
      <c r="T120" s="287">
        <f t="shared" si="49"/>
        <v>1859.24</v>
      </c>
      <c r="U120" s="287">
        <f t="shared" si="89"/>
        <v>14091.730000000005</v>
      </c>
      <c r="V120" s="287">
        <f t="shared" si="90"/>
        <v>81172.510000000024</v>
      </c>
      <c r="W120" s="287">
        <f t="shared" si="63"/>
        <v>216858.27000000002</v>
      </c>
      <c r="X120" s="519">
        <f t="shared" si="82"/>
        <v>47559</v>
      </c>
      <c r="Y120" s="287">
        <f t="shared" si="64"/>
        <v>246568.99999999991</v>
      </c>
      <c r="Z120" s="511">
        <f t="shared" si="74"/>
        <v>7.0000000000000007E-2</v>
      </c>
      <c r="AA120" s="287">
        <f t="shared" si="75"/>
        <v>1746.44</v>
      </c>
      <c r="AB120" s="287">
        <f t="shared" si="65"/>
        <v>308.12000000000012</v>
      </c>
      <c r="AC120" s="287">
        <f t="shared" si="76"/>
        <v>1438.32</v>
      </c>
      <c r="AD120" s="287">
        <f t="shared" si="50"/>
        <v>134.16999999999999</v>
      </c>
      <c r="AE120" s="287">
        <f t="shared" si="51"/>
        <v>188.55</v>
      </c>
      <c r="AF120" s="287">
        <f t="shared" si="66"/>
        <v>2069.1600000000003</v>
      </c>
      <c r="AG120" s="287">
        <f t="shared" si="67"/>
        <v>29687.919999999995</v>
      </c>
      <c r="AH120" s="287">
        <f t="shared" si="68"/>
        <v>46773.359999999993</v>
      </c>
      <c r="AI120" s="530">
        <f t="shared" si="52"/>
        <v>18802.959999999992</v>
      </c>
      <c r="AJ120" s="530">
        <f t="shared" si="91"/>
        <v>-29402.609999999899</v>
      </c>
      <c r="AK120" s="530">
        <f t="shared" si="53"/>
        <v>-10599.649999999907</v>
      </c>
      <c r="AL120" s="287">
        <f t="shared" si="69"/>
        <v>246260.87999999992</v>
      </c>
      <c r="AM120" s="428">
        <f t="shared" si="83"/>
        <v>5</v>
      </c>
      <c r="AN120" s="14">
        <f t="shared" si="54"/>
        <v>749.98</v>
      </c>
      <c r="AO120" s="14">
        <f t="shared" si="92"/>
        <v>114567.09999999996</v>
      </c>
      <c r="AP120" s="14">
        <f t="shared" si="55"/>
        <v>959.90000000000009</v>
      </c>
      <c r="AS120" s="14">
        <f t="shared" si="78"/>
        <v>749.98</v>
      </c>
      <c r="AT120" s="14">
        <f t="shared" si="84"/>
        <v>46018.200000000041</v>
      </c>
      <c r="AU120" s="287">
        <f t="shared" si="85"/>
        <v>1091.8098388936357</v>
      </c>
      <c r="AV120" s="287">
        <f t="shared" si="86"/>
        <v>97684.76150698433</v>
      </c>
    </row>
    <row r="121" spans="1:50" x14ac:dyDescent="0.25">
      <c r="A121" s="519">
        <f t="shared" si="56"/>
        <v>47589</v>
      </c>
      <c r="B121" s="287">
        <f t="shared" si="79"/>
        <v>147756.36999999991</v>
      </c>
      <c r="C121" s="14">
        <f t="shared" si="71"/>
        <v>786.54</v>
      </c>
      <c r="D121" s="14">
        <f t="shared" si="87"/>
        <v>417.15</v>
      </c>
      <c r="E121" s="14">
        <f t="shared" si="72"/>
        <v>369.39</v>
      </c>
      <c r="F121" s="14">
        <f t="shared" si="46"/>
        <v>134.16999999999999</v>
      </c>
      <c r="G121" s="14">
        <f t="shared" si="47"/>
        <v>188.55</v>
      </c>
      <c r="H121" s="14">
        <f t="shared" si="48"/>
        <v>1109.26</v>
      </c>
      <c r="I121" s="287">
        <f t="shared" si="57"/>
        <v>39685.179999999986</v>
      </c>
      <c r="J121" s="287">
        <f t="shared" si="58"/>
        <v>44941.000000000007</v>
      </c>
      <c r="K121" s="287">
        <f t="shared" si="59"/>
        <v>147339.21999999991</v>
      </c>
      <c r="L121" s="428">
        <f t="shared" si="93"/>
        <v>5</v>
      </c>
      <c r="M121" s="428">
        <f t="shared" si="80"/>
        <v>62</v>
      </c>
      <c r="N121" s="287">
        <f t="shared" si="81"/>
        <v>216858.27000000002</v>
      </c>
      <c r="O121" s="287">
        <f t="shared" si="60"/>
        <v>1536.52</v>
      </c>
      <c r="P121" s="287">
        <f>+O121-Q121</f>
        <v>271.51</v>
      </c>
      <c r="Q121" s="287">
        <f t="shared" si="61"/>
        <v>1265.01</v>
      </c>
      <c r="R121" s="287">
        <f t="shared" si="70"/>
        <v>134.16999999999999</v>
      </c>
      <c r="S121" s="287">
        <f t="shared" si="62"/>
        <v>188.55</v>
      </c>
      <c r="T121" s="287">
        <f t="shared" si="49"/>
        <v>1859.24</v>
      </c>
      <c r="U121" s="287">
        <f t="shared" si="89"/>
        <v>14363.240000000005</v>
      </c>
      <c r="V121" s="287">
        <f t="shared" si="90"/>
        <v>82437.520000000019</v>
      </c>
      <c r="W121" s="287">
        <f t="shared" si="63"/>
        <v>216586.76</v>
      </c>
      <c r="X121" s="519">
        <f t="shared" si="82"/>
        <v>47589</v>
      </c>
      <c r="Y121" s="287">
        <f t="shared" si="64"/>
        <v>246260.87999999992</v>
      </c>
      <c r="Z121" s="511">
        <f t="shared" si="74"/>
        <v>7.0000000000000007E-2</v>
      </c>
      <c r="AA121" s="287">
        <f t="shared" si="75"/>
        <v>1746.44</v>
      </c>
      <c r="AB121" s="287">
        <f t="shared" si="65"/>
        <v>309.92000000000007</v>
      </c>
      <c r="AC121" s="287">
        <f t="shared" si="76"/>
        <v>1436.52</v>
      </c>
      <c r="AD121" s="287">
        <f t="shared" si="50"/>
        <v>134.16999999999999</v>
      </c>
      <c r="AE121" s="287">
        <f t="shared" si="51"/>
        <v>188.55</v>
      </c>
      <c r="AF121" s="287">
        <f t="shared" si="66"/>
        <v>2069.1600000000003</v>
      </c>
      <c r="AG121" s="287">
        <f t="shared" si="67"/>
        <v>29997.839999999997</v>
      </c>
      <c r="AH121" s="287">
        <f t="shared" si="68"/>
        <v>48209.87999999999</v>
      </c>
      <c r="AI121" s="530">
        <f t="shared" si="52"/>
        <v>18593.039999999994</v>
      </c>
      <c r="AJ121" s="530">
        <f t="shared" si="91"/>
        <v>-29364.199999999895</v>
      </c>
      <c r="AK121" s="530">
        <f t="shared" si="53"/>
        <v>-10771.159999999902</v>
      </c>
      <c r="AL121" s="287">
        <f t="shared" si="69"/>
        <v>245950.9599999999</v>
      </c>
      <c r="AM121" s="428">
        <f t="shared" si="83"/>
        <v>5</v>
      </c>
      <c r="AN121" s="14">
        <f t="shared" si="54"/>
        <v>749.98</v>
      </c>
      <c r="AO121" s="14">
        <f t="shared" si="92"/>
        <v>114712.73999999998</v>
      </c>
      <c r="AP121" s="14">
        <f t="shared" si="55"/>
        <v>959.90000000000009</v>
      </c>
      <c r="AS121" s="14">
        <f t="shared" si="78"/>
        <v>749.98</v>
      </c>
      <c r="AT121" s="14">
        <f t="shared" si="84"/>
        <v>46768.180000000044</v>
      </c>
      <c r="AU121" s="287">
        <f t="shared" si="85"/>
        <v>1095.4492050232814</v>
      </c>
      <c r="AV121" s="287">
        <f t="shared" si="86"/>
        <v>98780.210712007611</v>
      </c>
    </row>
    <row r="122" spans="1:50" ht="15.75" thickBot="1" x14ac:dyDescent="0.3">
      <c r="A122" s="522">
        <f t="shared" si="56"/>
        <v>47619</v>
      </c>
      <c r="B122" s="348">
        <f t="shared" si="79"/>
        <v>147339.21999999991</v>
      </c>
      <c r="C122" s="21">
        <f t="shared" si="71"/>
        <v>786.54</v>
      </c>
      <c r="D122" s="21">
        <f t="shared" si="87"/>
        <v>418.18999999999994</v>
      </c>
      <c r="E122" s="21">
        <f t="shared" si="72"/>
        <v>368.35</v>
      </c>
      <c r="F122" s="21">
        <f t="shared" si="46"/>
        <v>134.16999999999999</v>
      </c>
      <c r="G122" s="21">
        <f t="shared" ref="G122:G185" si="94">+G121</f>
        <v>188.55</v>
      </c>
      <c r="H122" s="21">
        <f t="shared" ref="H122:H185" si="95">SUM(D122:G122)</f>
        <v>1109.26</v>
      </c>
      <c r="I122" s="348">
        <f t="shared" si="57"/>
        <v>40103.369999999988</v>
      </c>
      <c r="J122" s="348">
        <f t="shared" si="58"/>
        <v>45309.350000000006</v>
      </c>
      <c r="K122" s="348">
        <f t="shared" si="59"/>
        <v>146921.02999999991</v>
      </c>
      <c r="L122" s="429">
        <f t="shared" si="93"/>
        <v>5</v>
      </c>
      <c r="M122" s="429">
        <f t="shared" si="80"/>
        <v>63</v>
      </c>
      <c r="N122" s="348">
        <f t="shared" si="81"/>
        <v>216586.76</v>
      </c>
      <c r="O122" s="348">
        <f t="shared" si="60"/>
        <v>1536.52</v>
      </c>
      <c r="P122" s="348">
        <f t="shared" si="88"/>
        <v>273.09999999999991</v>
      </c>
      <c r="Q122" s="348">
        <f t="shared" si="61"/>
        <v>1263.42</v>
      </c>
      <c r="R122" s="348">
        <f t="shared" si="70"/>
        <v>134.16999999999999</v>
      </c>
      <c r="S122" s="348">
        <f t="shared" si="62"/>
        <v>188.55</v>
      </c>
      <c r="T122" s="348">
        <f t="shared" si="49"/>
        <v>1859.24</v>
      </c>
      <c r="U122" s="348">
        <f t="shared" si="89"/>
        <v>14636.340000000006</v>
      </c>
      <c r="V122" s="348">
        <f t="shared" si="90"/>
        <v>83700.940000000017</v>
      </c>
      <c r="W122" s="348">
        <f t="shared" si="63"/>
        <v>216313.66</v>
      </c>
      <c r="X122" s="522">
        <f t="shared" si="82"/>
        <v>47619</v>
      </c>
      <c r="Y122" s="348">
        <f t="shared" si="64"/>
        <v>245950.9599999999</v>
      </c>
      <c r="Z122" s="512">
        <f t="shared" si="74"/>
        <v>7.0000000000000007E-2</v>
      </c>
      <c r="AA122" s="348">
        <f t="shared" si="75"/>
        <v>1746.44</v>
      </c>
      <c r="AB122" s="348">
        <f t="shared" si="65"/>
        <v>311.73</v>
      </c>
      <c r="AC122" s="348">
        <f t="shared" si="76"/>
        <v>1434.71</v>
      </c>
      <c r="AD122" s="348">
        <f t="shared" si="50"/>
        <v>134.16999999999999</v>
      </c>
      <c r="AE122" s="348">
        <f t="shared" si="51"/>
        <v>188.55</v>
      </c>
      <c r="AF122" s="348">
        <f t="shared" si="66"/>
        <v>2069.1600000000003</v>
      </c>
      <c r="AG122" s="348">
        <f t="shared" si="67"/>
        <v>30309.569999999996</v>
      </c>
      <c r="AH122" s="348">
        <f t="shared" si="68"/>
        <v>49644.589999999989</v>
      </c>
      <c r="AI122" s="531">
        <f t="shared" si="52"/>
        <v>18383.119999999995</v>
      </c>
      <c r="AJ122" s="531">
        <f t="shared" si="91"/>
        <v>-29325.569999999891</v>
      </c>
      <c r="AK122" s="531">
        <f t="shared" si="53"/>
        <v>-10942.449999999895</v>
      </c>
      <c r="AL122" s="348">
        <f t="shared" si="69"/>
        <v>245639.22999999989</v>
      </c>
      <c r="AM122" s="429">
        <f t="shared" si="83"/>
        <v>5</v>
      </c>
      <c r="AN122" s="21">
        <f t="shared" si="54"/>
        <v>749.98</v>
      </c>
      <c r="AO122" s="21">
        <f t="shared" si="92"/>
        <v>114857.82999999997</v>
      </c>
      <c r="AP122" s="21">
        <f t="shared" si="55"/>
        <v>959.90000000000009</v>
      </c>
      <c r="AQ122" s="21"/>
      <c r="AR122" s="23"/>
      <c r="AS122" s="21">
        <f t="shared" si="78"/>
        <v>749.98</v>
      </c>
      <c r="AT122" s="21">
        <f t="shared" si="84"/>
        <v>47518.160000000047</v>
      </c>
      <c r="AU122" s="348">
        <f t="shared" si="85"/>
        <v>1099.1007023733587</v>
      </c>
      <c r="AV122" s="348">
        <f t="shared" si="86"/>
        <v>99879.311414380965</v>
      </c>
    </row>
    <row r="123" spans="1:50" x14ac:dyDescent="0.25">
      <c r="A123" s="519">
        <f t="shared" si="56"/>
        <v>47649</v>
      </c>
      <c r="B123" s="287">
        <f t="shared" si="79"/>
        <v>146921.02999999991</v>
      </c>
      <c r="C123" s="14">
        <f t="shared" si="71"/>
        <v>786.54</v>
      </c>
      <c r="D123" s="14">
        <f t="shared" si="87"/>
        <v>419.23999999999995</v>
      </c>
      <c r="E123" s="14">
        <f t="shared" si="72"/>
        <v>367.3</v>
      </c>
      <c r="F123" s="14">
        <f t="shared" ref="F123:F186" si="96">+F122</f>
        <v>134.16999999999999</v>
      </c>
      <c r="G123" s="14">
        <f t="shared" si="94"/>
        <v>188.55</v>
      </c>
      <c r="H123" s="14">
        <f t="shared" si="95"/>
        <v>1109.26</v>
      </c>
      <c r="I123" s="287">
        <f t="shared" si="57"/>
        <v>40522.609999999986</v>
      </c>
      <c r="J123" s="287">
        <f t="shared" si="58"/>
        <v>45676.650000000009</v>
      </c>
      <c r="K123" s="287">
        <f t="shared" si="59"/>
        <v>146501.78999999992</v>
      </c>
      <c r="L123" s="428">
        <f t="shared" si="93"/>
        <v>5</v>
      </c>
      <c r="M123" s="428">
        <f t="shared" si="80"/>
        <v>64</v>
      </c>
      <c r="N123" s="287">
        <f t="shared" si="81"/>
        <v>216313.66</v>
      </c>
      <c r="O123" s="287">
        <f t="shared" si="60"/>
        <v>1536.52</v>
      </c>
      <c r="P123" s="287">
        <f t="shared" si="88"/>
        <v>274.69000000000005</v>
      </c>
      <c r="Q123" s="287">
        <f t="shared" si="61"/>
        <v>1261.83</v>
      </c>
      <c r="R123" s="287">
        <f t="shared" si="70"/>
        <v>134.16999999999999</v>
      </c>
      <c r="S123" s="287">
        <f t="shared" si="62"/>
        <v>188.55</v>
      </c>
      <c r="T123" s="287">
        <f t="shared" ref="T123:T186" si="97">SUM(P123:S123)</f>
        <v>1859.24</v>
      </c>
      <c r="U123" s="287">
        <f t="shared" si="89"/>
        <v>14911.030000000006</v>
      </c>
      <c r="V123" s="287">
        <f t="shared" si="90"/>
        <v>84962.770000000019</v>
      </c>
      <c r="W123" s="287">
        <f t="shared" si="63"/>
        <v>216038.97</v>
      </c>
      <c r="X123" s="519">
        <f t="shared" si="82"/>
        <v>47649</v>
      </c>
      <c r="Y123" s="287">
        <f t="shared" si="64"/>
        <v>245639.22999999989</v>
      </c>
      <c r="Z123" s="511">
        <f t="shared" si="74"/>
        <v>7.0000000000000007E-2</v>
      </c>
      <c r="AA123" s="287">
        <f t="shared" si="75"/>
        <v>1746.44</v>
      </c>
      <c r="AB123" s="287">
        <f t="shared" si="65"/>
        <v>313.53999999999996</v>
      </c>
      <c r="AC123" s="287">
        <f t="shared" si="76"/>
        <v>1432.9</v>
      </c>
      <c r="AD123" s="287">
        <f t="shared" si="50"/>
        <v>134.16999999999999</v>
      </c>
      <c r="AE123" s="287">
        <f t="shared" si="51"/>
        <v>188.55</v>
      </c>
      <c r="AF123" s="287">
        <f t="shared" si="66"/>
        <v>2069.1600000000003</v>
      </c>
      <c r="AG123" s="287">
        <f t="shared" si="67"/>
        <v>30623.109999999997</v>
      </c>
      <c r="AH123" s="287">
        <f t="shared" si="68"/>
        <v>51077.489999999991</v>
      </c>
      <c r="AI123" s="530">
        <f t="shared" si="52"/>
        <v>18173.199999999997</v>
      </c>
      <c r="AJ123" s="530">
        <f t="shared" si="91"/>
        <v>-29286.719999999885</v>
      </c>
      <c r="AK123" s="530">
        <f t="shared" si="53"/>
        <v>-11113.519999999888</v>
      </c>
      <c r="AL123" s="287">
        <f t="shared" si="69"/>
        <v>245325.68999999989</v>
      </c>
      <c r="AM123" s="428">
        <f t="shared" si="83"/>
        <v>5</v>
      </c>
      <c r="AN123" s="14">
        <f t="shared" si="54"/>
        <v>749.98</v>
      </c>
      <c r="AO123" s="14">
        <f t="shared" si="92"/>
        <v>115002.37999999998</v>
      </c>
      <c r="AP123" s="14">
        <f t="shared" si="55"/>
        <v>959.90000000000009</v>
      </c>
      <c r="AS123" s="14">
        <f t="shared" si="78"/>
        <v>749.98</v>
      </c>
      <c r="AT123" s="14">
        <f t="shared" si="84"/>
        <v>48268.14000000005</v>
      </c>
      <c r="AU123" s="287">
        <f t="shared" si="85"/>
        <v>1102.7643713812699</v>
      </c>
      <c r="AV123" s="287">
        <f t="shared" si="86"/>
        <v>100982.07578576224</v>
      </c>
    </row>
    <row r="124" spans="1:50" x14ac:dyDescent="0.25">
      <c r="A124" s="519">
        <f t="shared" si="56"/>
        <v>47679</v>
      </c>
      <c r="B124" s="287">
        <f t="shared" si="79"/>
        <v>146501.78999999992</v>
      </c>
      <c r="C124" s="14">
        <f t="shared" si="71"/>
        <v>786.54</v>
      </c>
      <c r="D124" s="14">
        <f t="shared" si="87"/>
        <v>420.28999999999996</v>
      </c>
      <c r="E124" s="14">
        <f t="shared" si="72"/>
        <v>366.25</v>
      </c>
      <c r="F124" s="14">
        <f t="shared" si="96"/>
        <v>134.16999999999999</v>
      </c>
      <c r="G124" s="14">
        <f t="shared" si="94"/>
        <v>188.55</v>
      </c>
      <c r="H124" s="14">
        <f t="shared" si="95"/>
        <v>1109.26</v>
      </c>
      <c r="I124" s="287">
        <f t="shared" si="57"/>
        <v>40942.899999999987</v>
      </c>
      <c r="J124" s="287">
        <f t="shared" si="58"/>
        <v>46042.900000000009</v>
      </c>
      <c r="K124" s="287">
        <f t="shared" si="59"/>
        <v>146081.49999999991</v>
      </c>
      <c r="L124" s="428">
        <f t="shared" si="93"/>
        <v>5</v>
      </c>
      <c r="M124" s="428">
        <f t="shared" si="80"/>
        <v>65</v>
      </c>
      <c r="N124" s="287">
        <f t="shared" si="81"/>
        <v>216038.97</v>
      </c>
      <c r="O124" s="287">
        <f t="shared" si="60"/>
        <v>1536.52</v>
      </c>
      <c r="P124" s="287">
        <f t="shared" si="88"/>
        <v>276.28999999999996</v>
      </c>
      <c r="Q124" s="287">
        <f t="shared" si="61"/>
        <v>1260.23</v>
      </c>
      <c r="R124" s="287">
        <f t="shared" ref="R124:R187" si="98">+R123</f>
        <v>134.16999999999999</v>
      </c>
      <c r="S124" s="287">
        <f t="shared" ref="S124:S187" si="99">+S123</f>
        <v>188.55</v>
      </c>
      <c r="T124" s="287">
        <f t="shared" si="97"/>
        <v>1859.24</v>
      </c>
      <c r="U124" s="287">
        <f t="shared" si="89"/>
        <v>15187.320000000007</v>
      </c>
      <c r="V124" s="287">
        <f t="shared" si="90"/>
        <v>86223.000000000015</v>
      </c>
      <c r="W124" s="287">
        <f t="shared" si="63"/>
        <v>215762.68</v>
      </c>
      <c r="X124" s="519">
        <f t="shared" si="82"/>
        <v>47679</v>
      </c>
      <c r="Y124" s="287">
        <f t="shared" si="64"/>
        <v>245325.68999999989</v>
      </c>
      <c r="Z124" s="511">
        <f t="shared" si="74"/>
        <v>7.0000000000000007E-2</v>
      </c>
      <c r="AA124" s="287">
        <f t="shared" si="75"/>
        <v>1746.44</v>
      </c>
      <c r="AB124" s="287">
        <f t="shared" si="65"/>
        <v>315.37000000000012</v>
      </c>
      <c r="AC124" s="287">
        <f t="shared" si="76"/>
        <v>1431.07</v>
      </c>
      <c r="AD124" s="287">
        <f t="shared" ref="AD124:AD187" si="100">+AD123</f>
        <v>134.16999999999999</v>
      </c>
      <c r="AE124" s="287">
        <f t="shared" ref="AE124:AE187" si="101">+AE123</f>
        <v>188.55</v>
      </c>
      <c r="AF124" s="287">
        <f t="shared" si="66"/>
        <v>2069.1600000000003</v>
      </c>
      <c r="AG124" s="287">
        <f t="shared" si="67"/>
        <v>30938.479999999996</v>
      </c>
      <c r="AH124" s="287">
        <f t="shared" si="68"/>
        <v>52508.55999999999</v>
      </c>
      <c r="AI124" s="530">
        <f t="shared" ref="AI124:AI187" si="102">O124-AA124+AI123</f>
        <v>17963.28</v>
      </c>
      <c r="AJ124" s="530">
        <f t="shared" si="91"/>
        <v>-29247.639999999898</v>
      </c>
      <c r="AK124" s="530">
        <f t="shared" ref="AK124:AK187" si="103">SUM(AI124:AJ124)</f>
        <v>-11284.359999999899</v>
      </c>
      <c r="AL124" s="287">
        <f t="shared" si="69"/>
        <v>245010.31999999989</v>
      </c>
      <c r="AM124" s="428">
        <f t="shared" si="83"/>
        <v>5</v>
      </c>
      <c r="AN124" s="14">
        <f t="shared" ref="AN124:AN187" si="104">IF(O124=0,0,+O124-C124)</f>
        <v>749.98</v>
      </c>
      <c r="AO124" s="14">
        <f t="shared" si="92"/>
        <v>115146.37999999998</v>
      </c>
      <c r="AP124" s="14">
        <f t="shared" ref="AP124:AP187" si="105">IF($O124=0,0,+AA124-$C124)</f>
        <v>959.90000000000009</v>
      </c>
      <c r="AS124" s="14">
        <f t="shared" si="78"/>
        <v>749.98</v>
      </c>
      <c r="AT124" s="14">
        <f t="shared" si="84"/>
        <v>49018.120000000054</v>
      </c>
      <c r="AU124" s="287">
        <f t="shared" si="85"/>
        <v>1106.4402526192073</v>
      </c>
      <c r="AV124" s="287">
        <f t="shared" si="86"/>
        <v>102088.51603838145</v>
      </c>
    </row>
    <row r="125" spans="1:50" x14ac:dyDescent="0.25">
      <c r="A125" s="519">
        <f t="shared" si="56"/>
        <v>47709</v>
      </c>
      <c r="B125" s="287">
        <f t="shared" si="79"/>
        <v>146081.49999999991</v>
      </c>
      <c r="C125" s="14">
        <f t="shared" si="71"/>
        <v>786.54</v>
      </c>
      <c r="D125" s="14">
        <f t="shared" si="87"/>
        <v>421.34</v>
      </c>
      <c r="E125" s="14">
        <f t="shared" si="72"/>
        <v>365.2</v>
      </c>
      <c r="F125" s="14">
        <f t="shared" si="96"/>
        <v>134.16999999999999</v>
      </c>
      <c r="G125" s="14">
        <f t="shared" si="94"/>
        <v>188.55</v>
      </c>
      <c r="H125" s="14">
        <f t="shared" si="95"/>
        <v>1109.26</v>
      </c>
      <c r="I125" s="287">
        <f t="shared" si="57"/>
        <v>41364.239999999983</v>
      </c>
      <c r="J125" s="287">
        <f t="shared" si="58"/>
        <v>46408.100000000006</v>
      </c>
      <c r="K125" s="287">
        <f t="shared" si="59"/>
        <v>145660.15999999992</v>
      </c>
      <c r="L125" s="428">
        <f t="shared" si="93"/>
        <v>5</v>
      </c>
      <c r="M125" s="428">
        <f t="shared" si="80"/>
        <v>66</v>
      </c>
      <c r="N125" s="287">
        <f t="shared" si="81"/>
        <v>215762.68</v>
      </c>
      <c r="O125" s="287">
        <f t="shared" si="60"/>
        <v>1536.52</v>
      </c>
      <c r="P125" s="287">
        <f t="shared" si="88"/>
        <v>277.90000000000009</v>
      </c>
      <c r="Q125" s="287">
        <f t="shared" si="61"/>
        <v>1258.6199999999999</v>
      </c>
      <c r="R125" s="287">
        <f t="shared" si="98"/>
        <v>134.16999999999999</v>
      </c>
      <c r="S125" s="287">
        <f t="shared" si="99"/>
        <v>188.55</v>
      </c>
      <c r="T125" s="287">
        <f t="shared" si="97"/>
        <v>1859.24</v>
      </c>
      <c r="U125" s="287">
        <f t="shared" si="89"/>
        <v>15465.220000000007</v>
      </c>
      <c r="V125" s="287">
        <f t="shared" si="90"/>
        <v>87481.62000000001</v>
      </c>
      <c r="W125" s="287">
        <f t="shared" si="63"/>
        <v>215484.78</v>
      </c>
      <c r="X125" s="519">
        <f t="shared" si="82"/>
        <v>47709</v>
      </c>
      <c r="Y125" s="287">
        <f t="shared" si="64"/>
        <v>245010.31999999989</v>
      </c>
      <c r="Z125" s="511">
        <f t="shared" si="74"/>
        <v>7.0000000000000007E-2</v>
      </c>
      <c r="AA125" s="287">
        <f t="shared" si="75"/>
        <v>1746.44</v>
      </c>
      <c r="AB125" s="287">
        <f t="shared" si="65"/>
        <v>317.21000000000004</v>
      </c>
      <c r="AC125" s="287">
        <f t="shared" si="76"/>
        <v>1429.23</v>
      </c>
      <c r="AD125" s="287">
        <f t="shared" si="100"/>
        <v>134.16999999999999</v>
      </c>
      <c r="AE125" s="287">
        <f t="shared" si="101"/>
        <v>188.55</v>
      </c>
      <c r="AF125" s="287">
        <f t="shared" si="66"/>
        <v>2069.1600000000003</v>
      </c>
      <c r="AG125" s="287">
        <f t="shared" si="67"/>
        <v>31255.689999999995</v>
      </c>
      <c r="AH125" s="287">
        <f t="shared" si="68"/>
        <v>53937.789999999994</v>
      </c>
      <c r="AI125" s="530">
        <f t="shared" si="102"/>
        <v>17753.36</v>
      </c>
      <c r="AJ125" s="530">
        <f t="shared" si="91"/>
        <v>-29208.3299999999</v>
      </c>
      <c r="AK125" s="530">
        <f t="shared" si="103"/>
        <v>-11454.969999999899</v>
      </c>
      <c r="AL125" s="287">
        <f t="shared" si="69"/>
        <v>244693.1099999999</v>
      </c>
      <c r="AM125" s="428">
        <f t="shared" si="83"/>
        <v>5</v>
      </c>
      <c r="AN125" s="14">
        <f t="shared" si="104"/>
        <v>749.98</v>
      </c>
      <c r="AO125" s="14">
        <f t="shared" si="92"/>
        <v>115289.81999999998</v>
      </c>
      <c r="AP125" s="14">
        <f t="shared" si="105"/>
        <v>959.90000000000009</v>
      </c>
      <c r="AS125" s="14">
        <f t="shared" si="78"/>
        <v>749.98</v>
      </c>
      <c r="AT125" s="14">
        <f t="shared" si="84"/>
        <v>49768.100000000057</v>
      </c>
      <c r="AU125" s="287">
        <f t="shared" si="85"/>
        <v>1110.1283867946047</v>
      </c>
      <c r="AV125" s="287">
        <f t="shared" si="86"/>
        <v>103198.64442517605</v>
      </c>
    </row>
    <row r="126" spans="1:50" x14ac:dyDescent="0.25">
      <c r="A126" s="519">
        <f t="shared" ref="A126:A189" si="106">IF(K126&lt;=0," ",+A125+30)</f>
        <v>47739</v>
      </c>
      <c r="B126" s="287">
        <f t="shared" si="79"/>
        <v>145660.15999999992</v>
      </c>
      <c r="C126" s="14">
        <f t="shared" si="71"/>
        <v>786.54</v>
      </c>
      <c r="D126" s="14">
        <f t="shared" si="87"/>
        <v>422.39</v>
      </c>
      <c r="E126" s="14">
        <f t="shared" si="72"/>
        <v>364.15</v>
      </c>
      <c r="F126" s="14">
        <f t="shared" si="96"/>
        <v>134.16999999999999</v>
      </c>
      <c r="G126" s="14">
        <f t="shared" si="94"/>
        <v>188.55</v>
      </c>
      <c r="H126" s="14">
        <f t="shared" si="95"/>
        <v>1109.26</v>
      </c>
      <c r="I126" s="287">
        <f t="shared" ref="I126:I189" si="107">$D126+$I125</f>
        <v>41786.629999999983</v>
      </c>
      <c r="J126" s="287">
        <f t="shared" ref="J126:J189" si="108">$E126+$J125</f>
        <v>46772.250000000007</v>
      </c>
      <c r="K126" s="287">
        <f t="shared" ref="K126:K189" si="109">+B126-D126</f>
        <v>145237.7699999999</v>
      </c>
      <c r="L126" s="428">
        <f t="shared" si="93"/>
        <v>5</v>
      </c>
      <c r="M126" s="428">
        <f t="shared" si="80"/>
        <v>67</v>
      </c>
      <c r="N126" s="287">
        <f t="shared" si="81"/>
        <v>215484.78</v>
      </c>
      <c r="O126" s="287">
        <f t="shared" ref="O126:O189" si="110">IF($O$9&lt;=A126,IF(+$W125&lt;=0,0,$O$8),0)</f>
        <v>1536.52</v>
      </c>
      <c r="P126" s="287">
        <f t="shared" si="88"/>
        <v>279.52999999999997</v>
      </c>
      <c r="Q126" s="287">
        <f t="shared" ref="Q126:Q189" si="111">IF($O$9&lt;=A126,ROUND(N126*($O$6/12),2),0)</f>
        <v>1256.99</v>
      </c>
      <c r="R126" s="287">
        <f t="shared" si="98"/>
        <v>134.16999999999999</v>
      </c>
      <c r="S126" s="287">
        <f t="shared" si="99"/>
        <v>188.55</v>
      </c>
      <c r="T126" s="287">
        <f t="shared" si="97"/>
        <v>1859.24</v>
      </c>
      <c r="U126" s="287">
        <f t="shared" si="89"/>
        <v>15744.750000000007</v>
      </c>
      <c r="V126" s="287">
        <f t="shared" si="90"/>
        <v>88738.610000000015</v>
      </c>
      <c r="W126" s="287">
        <f t="shared" ref="W126:W189" si="112">+N126-P126</f>
        <v>215205.25</v>
      </c>
      <c r="X126" s="519">
        <f t="shared" si="82"/>
        <v>47739</v>
      </c>
      <c r="Y126" s="287">
        <f t="shared" ref="Y126:Y189" si="113">IF(+AL125&lt;0,0,+AL125)</f>
        <v>244693.1099999999</v>
      </c>
      <c r="Z126" s="511">
        <f t="shared" si="74"/>
        <v>7.0000000000000007E-2</v>
      </c>
      <c r="AA126" s="287">
        <f t="shared" si="75"/>
        <v>1746.44</v>
      </c>
      <c r="AB126" s="287">
        <f t="shared" ref="AB126:AB189" si="114">+AA126-AC126</f>
        <v>319.05999999999995</v>
      </c>
      <c r="AC126" s="287">
        <f t="shared" si="76"/>
        <v>1427.38</v>
      </c>
      <c r="AD126" s="287">
        <f t="shared" si="100"/>
        <v>134.16999999999999</v>
      </c>
      <c r="AE126" s="287">
        <f t="shared" si="101"/>
        <v>188.55</v>
      </c>
      <c r="AF126" s="287">
        <f t="shared" ref="AF126:AF189" si="115">SUM(AB126:AE126)</f>
        <v>2069.1600000000003</v>
      </c>
      <c r="AG126" s="287">
        <f t="shared" ref="AG126:AG189" si="116">+AB126+AG125</f>
        <v>31574.749999999996</v>
      </c>
      <c r="AH126" s="287">
        <f t="shared" ref="AH126:AH189" si="117">+AH125+AC126</f>
        <v>55365.169999999991</v>
      </c>
      <c r="AI126" s="530">
        <f t="shared" si="102"/>
        <v>17543.440000000002</v>
      </c>
      <c r="AJ126" s="530">
        <f t="shared" si="91"/>
        <v>-29168.799999999901</v>
      </c>
      <c r="AK126" s="530">
        <f t="shared" si="103"/>
        <v>-11625.359999999899</v>
      </c>
      <c r="AL126" s="287">
        <f t="shared" ref="AL126:AL189" si="118">+Y126-AB126</f>
        <v>244374.0499999999</v>
      </c>
      <c r="AM126" s="428">
        <f t="shared" si="83"/>
        <v>5</v>
      </c>
      <c r="AN126" s="14">
        <f t="shared" si="104"/>
        <v>749.98</v>
      </c>
      <c r="AO126" s="14">
        <f t="shared" si="92"/>
        <v>115432.67999999996</v>
      </c>
      <c r="AP126" s="14">
        <f t="shared" si="105"/>
        <v>959.90000000000009</v>
      </c>
      <c r="AS126" s="14">
        <f t="shared" si="78"/>
        <v>749.98</v>
      </c>
      <c r="AT126" s="14">
        <f t="shared" si="84"/>
        <v>50518.08000000006</v>
      </c>
      <c r="AU126" s="287">
        <f t="shared" si="85"/>
        <v>1113.8288147505871</v>
      </c>
      <c r="AV126" s="287">
        <f t="shared" si="86"/>
        <v>104312.47323992664</v>
      </c>
    </row>
    <row r="127" spans="1:50" x14ac:dyDescent="0.25">
      <c r="A127" s="519">
        <f t="shared" si="106"/>
        <v>47769</v>
      </c>
      <c r="B127" s="287">
        <f t="shared" si="79"/>
        <v>145237.7699999999</v>
      </c>
      <c r="C127" s="14">
        <f t="shared" si="71"/>
        <v>786.54</v>
      </c>
      <c r="D127" s="14">
        <f t="shared" si="87"/>
        <v>423.45</v>
      </c>
      <c r="E127" s="14">
        <f t="shared" si="72"/>
        <v>363.09</v>
      </c>
      <c r="F127" s="14">
        <f t="shared" si="96"/>
        <v>134.16999999999999</v>
      </c>
      <c r="G127" s="14">
        <f t="shared" si="94"/>
        <v>188.55</v>
      </c>
      <c r="H127" s="14">
        <f t="shared" si="95"/>
        <v>1109.26</v>
      </c>
      <c r="I127" s="287">
        <f t="shared" si="107"/>
        <v>42210.07999999998</v>
      </c>
      <c r="J127" s="287">
        <f t="shared" si="108"/>
        <v>47135.340000000004</v>
      </c>
      <c r="K127" s="287">
        <f t="shared" si="109"/>
        <v>144814.31999999989</v>
      </c>
      <c r="L127" s="428">
        <f t="shared" si="93"/>
        <v>5</v>
      </c>
      <c r="M127" s="428">
        <f t="shared" si="80"/>
        <v>68</v>
      </c>
      <c r="N127" s="287">
        <f t="shared" si="81"/>
        <v>215205.25</v>
      </c>
      <c r="O127" s="287">
        <f t="shared" si="110"/>
        <v>1536.52</v>
      </c>
      <c r="P127" s="287">
        <f t="shared" si="88"/>
        <v>281.16000000000008</v>
      </c>
      <c r="Q127" s="287">
        <f t="shared" si="111"/>
        <v>1255.3599999999999</v>
      </c>
      <c r="R127" s="287">
        <f t="shared" si="98"/>
        <v>134.16999999999999</v>
      </c>
      <c r="S127" s="287">
        <f t="shared" si="99"/>
        <v>188.55</v>
      </c>
      <c r="T127" s="287">
        <f t="shared" si="97"/>
        <v>1859.24</v>
      </c>
      <c r="U127" s="287">
        <f t="shared" si="89"/>
        <v>16025.910000000007</v>
      </c>
      <c r="V127" s="287">
        <f t="shared" si="90"/>
        <v>89993.970000000016</v>
      </c>
      <c r="W127" s="287">
        <f t="shared" si="112"/>
        <v>214924.09</v>
      </c>
      <c r="X127" s="519">
        <f t="shared" si="82"/>
        <v>47769</v>
      </c>
      <c r="Y127" s="287">
        <f t="shared" si="113"/>
        <v>244374.0499999999</v>
      </c>
      <c r="Z127" s="511">
        <f t="shared" si="74"/>
        <v>7.0000000000000007E-2</v>
      </c>
      <c r="AA127" s="287">
        <f t="shared" si="75"/>
        <v>1746.44</v>
      </c>
      <c r="AB127" s="287">
        <f t="shared" si="114"/>
        <v>320.92000000000007</v>
      </c>
      <c r="AC127" s="287">
        <f t="shared" si="76"/>
        <v>1425.52</v>
      </c>
      <c r="AD127" s="287">
        <f t="shared" si="100"/>
        <v>134.16999999999999</v>
      </c>
      <c r="AE127" s="287">
        <f t="shared" si="101"/>
        <v>188.55</v>
      </c>
      <c r="AF127" s="287">
        <f t="shared" si="115"/>
        <v>2069.1600000000003</v>
      </c>
      <c r="AG127" s="287">
        <f t="shared" si="116"/>
        <v>31895.67</v>
      </c>
      <c r="AH127" s="287">
        <f t="shared" si="117"/>
        <v>56790.689999999988</v>
      </c>
      <c r="AI127" s="530">
        <f t="shared" si="102"/>
        <v>17333.520000000004</v>
      </c>
      <c r="AJ127" s="530">
        <f t="shared" si="91"/>
        <v>-29129.039999999892</v>
      </c>
      <c r="AK127" s="530">
        <f t="shared" si="103"/>
        <v>-11795.519999999888</v>
      </c>
      <c r="AL127" s="287">
        <f t="shared" si="118"/>
        <v>244053.12999999989</v>
      </c>
      <c r="AM127" s="428">
        <f t="shared" si="83"/>
        <v>5</v>
      </c>
      <c r="AN127" s="14">
        <f t="shared" si="104"/>
        <v>749.98</v>
      </c>
      <c r="AO127" s="14">
        <f t="shared" si="92"/>
        <v>115574.96999999997</v>
      </c>
      <c r="AP127" s="14">
        <f t="shared" si="105"/>
        <v>959.90000000000009</v>
      </c>
      <c r="AS127" s="14">
        <f t="shared" si="78"/>
        <v>749.98</v>
      </c>
      <c r="AT127" s="14">
        <f t="shared" si="84"/>
        <v>51268.060000000063</v>
      </c>
      <c r="AU127" s="287">
        <f t="shared" si="85"/>
        <v>1117.541577466422</v>
      </c>
      <c r="AV127" s="287">
        <f t="shared" si="86"/>
        <v>105430.01481739306</v>
      </c>
    </row>
    <row r="128" spans="1:50" x14ac:dyDescent="0.25">
      <c r="A128" s="519">
        <f t="shared" si="106"/>
        <v>47799</v>
      </c>
      <c r="B128" s="287">
        <f t="shared" si="79"/>
        <v>144814.31999999989</v>
      </c>
      <c r="C128" s="14">
        <f t="shared" si="71"/>
        <v>786.54</v>
      </c>
      <c r="D128" s="14">
        <f t="shared" si="87"/>
        <v>424.49999999999994</v>
      </c>
      <c r="E128" s="14">
        <f t="shared" si="72"/>
        <v>362.04</v>
      </c>
      <c r="F128" s="14">
        <f t="shared" si="96"/>
        <v>134.16999999999999</v>
      </c>
      <c r="G128" s="14">
        <f t="shared" si="94"/>
        <v>188.55</v>
      </c>
      <c r="H128" s="14">
        <f t="shared" si="95"/>
        <v>1109.26</v>
      </c>
      <c r="I128" s="287">
        <f t="shared" si="107"/>
        <v>42634.57999999998</v>
      </c>
      <c r="J128" s="287">
        <f t="shared" si="108"/>
        <v>47497.380000000005</v>
      </c>
      <c r="K128" s="287">
        <f t="shared" si="109"/>
        <v>144389.81999999989</v>
      </c>
      <c r="L128" s="428">
        <f t="shared" si="93"/>
        <v>5</v>
      </c>
      <c r="M128" s="428">
        <f t="shared" si="80"/>
        <v>69</v>
      </c>
      <c r="N128" s="287">
        <f t="shared" si="81"/>
        <v>214924.09</v>
      </c>
      <c r="O128" s="287">
        <f t="shared" si="110"/>
        <v>1536.52</v>
      </c>
      <c r="P128" s="287">
        <f t="shared" si="88"/>
        <v>282.79999999999995</v>
      </c>
      <c r="Q128" s="287">
        <f t="shared" si="111"/>
        <v>1253.72</v>
      </c>
      <c r="R128" s="287">
        <f t="shared" si="98"/>
        <v>134.16999999999999</v>
      </c>
      <c r="S128" s="287">
        <f t="shared" si="99"/>
        <v>188.55</v>
      </c>
      <c r="T128" s="287">
        <f t="shared" si="97"/>
        <v>1859.24</v>
      </c>
      <c r="U128" s="287">
        <f t="shared" si="89"/>
        <v>16308.710000000006</v>
      </c>
      <c r="V128" s="287">
        <f t="shared" si="90"/>
        <v>91247.690000000017</v>
      </c>
      <c r="W128" s="287">
        <f t="shared" si="112"/>
        <v>214641.29</v>
      </c>
      <c r="X128" s="519">
        <f t="shared" si="82"/>
        <v>47799</v>
      </c>
      <c r="Y128" s="287">
        <f t="shared" si="113"/>
        <v>244053.12999999989</v>
      </c>
      <c r="Z128" s="511">
        <f t="shared" si="74"/>
        <v>7.0000000000000007E-2</v>
      </c>
      <c r="AA128" s="287">
        <f t="shared" si="75"/>
        <v>1746.44</v>
      </c>
      <c r="AB128" s="287">
        <f t="shared" si="114"/>
        <v>322.79999999999995</v>
      </c>
      <c r="AC128" s="287">
        <f t="shared" si="76"/>
        <v>1423.64</v>
      </c>
      <c r="AD128" s="287">
        <f t="shared" si="100"/>
        <v>134.16999999999999</v>
      </c>
      <c r="AE128" s="287">
        <f t="shared" si="101"/>
        <v>188.55</v>
      </c>
      <c r="AF128" s="287">
        <f t="shared" si="115"/>
        <v>2069.1600000000003</v>
      </c>
      <c r="AG128" s="287">
        <f t="shared" si="116"/>
        <v>32218.469999999998</v>
      </c>
      <c r="AH128" s="287">
        <f t="shared" si="117"/>
        <v>58214.329999999987</v>
      </c>
      <c r="AI128" s="530">
        <f t="shared" si="102"/>
        <v>17123.600000000006</v>
      </c>
      <c r="AJ128" s="530">
        <f t="shared" si="91"/>
        <v>-29089.039999999892</v>
      </c>
      <c r="AK128" s="530">
        <f t="shared" si="103"/>
        <v>-11965.439999999886</v>
      </c>
      <c r="AL128" s="287">
        <f t="shared" si="118"/>
        <v>243730.3299999999</v>
      </c>
      <c r="AM128" s="428">
        <f t="shared" si="83"/>
        <v>5</v>
      </c>
      <c r="AN128" s="14">
        <f t="shared" si="104"/>
        <v>749.98</v>
      </c>
      <c r="AO128" s="14">
        <f t="shared" si="92"/>
        <v>115716.66999999997</v>
      </c>
      <c r="AP128" s="14">
        <f t="shared" si="105"/>
        <v>959.90000000000009</v>
      </c>
      <c r="AS128" s="14">
        <f t="shared" si="78"/>
        <v>749.98</v>
      </c>
      <c r="AT128" s="14">
        <f t="shared" si="84"/>
        <v>52018.040000000066</v>
      </c>
      <c r="AU128" s="287">
        <f t="shared" si="85"/>
        <v>1121.2667160579767</v>
      </c>
      <c r="AV128" s="287">
        <f t="shared" si="86"/>
        <v>106551.28153345104</v>
      </c>
    </row>
    <row r="129" spans="1:48" x14ac:dyDescent="0.25">
      <c r="A129" s="519">
        <f t="shared" si="106"/>
        <v>47829</v>
      </c>
      <c r="B129" s="287">
        <f t="shared" si="79"/>
        <v>144389.81999999989</v>
      </c>
      <c r="C129" s="14">
        <f t="shared" si="71"/>
        <v>786.54</v>
      </c>
      <c r="D129" s="14">
        <f t="shared" si="87"/>
        <v>425.56999999999994</v>
      </c>
      <c r="E129" s="14">
        <f t="shared" si="72"/>
        <v>360.97</v>
      </c>
      <c r="F129" s="14">
        <f t="shared" si="96"/>
        <v>134.16999999999999</v>
      </c>
      <c r="G129" s="14">
        <f t="shared" si="94"/>
        <v>188.55</v>
      </c>
      <c r="H129" s="14">
        <f t="shared" si="95"/>
        <v>1109.26</v>
      </c>
      <c r="I129" s="287">
        <f t="shared" si="107"/>
        <v>43060.14999999998</v>
      </c>
      <c r="J129" s="287">
        <f t="shared" si="108"/>
        <v>47858.350000000006</v>
      </c>
      <c r="K129" s="287">
        <f t="shared" si="109"/>
        <v>143964.24999999988</v>
      </c>
      <c r="L129" s="428">
        <f t="shared" si="93"/>
        <v>5</v>
      </c>
      <c r="M129" s="428">
        <f t="shared" si="80"/>
        <v>70</v>
      </c>
      <c r="N129" s="287">
        <f t="shared" si="81"/>
        <v>214641.29</v>
      </c>
      <c r="O129" s="287">
        <f t="shared" si="110"/>
        <v>1536.52</v>
      </c>
      <c r="P129" s="287">
        <f t="shared" si="88"/>
        <v>284.45000000000005</v>
      </c>
      <c r="Q129" s="287">
        <f t="shared" si="111"/>
        <v>1252.07</v>
      </c>
      <c r="R129" s="287">
        <f t="shared" si="98"/>
        <v>134.16999999999999</v>
      </c>
      <c r="S129" s="287">
        <f t="shared" si="99"/>
        <v>188.55</v>
      </c>
      <c r="T129" s="287">
        <f t="shared" si="97"/>
        <v>1859.24</v>
      </c>
      <c r="U129" s="287">
        <f t="shared" si="89"/>
        <v>16593.160000000007</v>
      </c>
      <c r="V129" s="287">
        <f t="shared" si="90"/>
        <v>92499.760000000024</v>
      </c>
      <c r="W129" s="287">
        <f t="shared" si="112"/>
        <v>214356.84</v>
      </c>
      <c r="X129" s="519">
        <f t="shared" si="82"/>
        <v>47829</v>
      </c>
      <c r="Y129" s="287">
        <f t="shared" si="113"/>
        <v>243730.3299999999</v>
      </c>
      <c r="Z129" s="511">
        <f t="shared" si="74"/>
        <v>7.0000000000000007E-2</v>
      </c>
      <c r="AA129" s="287">
        <f t="shared" si="75"/>
        <v>1746.44</v>
      </c>
      <c r="AB129" s="287">
        <f t="shared" si="114"/>
        <v>324.68000000000006</v>
      </c>
      <c r="AC129" s="287">
        <f t="shared" si="76"/>
        <v>1421.76</v>
      </c>
      <c r="AD129" s="287">
        <f t="shared" si="100"/>
        <v>134.16999999999999</v>
      </c>
      <c r="AE129" s="287">
        <f t="shared" si="101"/>
        <v>188.55</v>
      </c>
      <c r="AF129" s="287">
        <f t="shared" si="115"/>
        <v>2069.1600000000003</v>
      </c>
      <c r="AG129" s="287">
        <f t="shared" si="116"/>
        <v>32543.149999999998</v>
      </c>
      <c r="AH129" s="287">
        <f t="shared" si="117"/>
        <v>59636.089999999989</v>
      </c>
      <c r="AI129" s="530">
        <f t="shared" si="102"/>
        <v>16913.680000000008</v>
      </c>
      <c r="AJ129" s="530">
        <f t="shared" si="91"/>
        <v>-29048.80999999991</v>
      </c>
      <c r="AK129" s="530">
        <f t="shared" si="103"/>
        <v>-12135.129999999903</v>
      </c>
      <c r="AL129" s="287">
        <f t="shared" si="118"/>
        <v>243405.64999999991</v>
      </c>
      <c r="AM129" s="428">
        <f t="shared" si="83"/>
        <v>5</v>
      </c>
      <c r="AN129" s="14">
        <f t="shared" si="104"/>
        <v>749.98</v>
      </c>
      <c r="AO129" s="14">
        <f t="shared" si="92"/>
        <v>115857.78999999995</v>
      </c>
      <c r="AP129" s="14">
        <f t="shared" si="105"/>
        <v>959.90000000000009</v>
      </c>
      <c r="AS129" s="14">
        <f t="shared" si="78"/>
        <v>749.98</v>
      </c>
      <c r="AT129" s="14">
        <f t="shared" si="84"/>
        <v>52768.02000000007</v>
      </c>
      <c r="AU129" s="287">
        <f t="shared" si="85"/>
        <v>1125.0042717781701</v>
      </c>
      <c r="AV129" s="287">
        <f t="shared" si="86"/>
        <v>107676.28580522921</v>
      </c>
    </row>
    <row r="130" spans="1:48" x14ac:dyDescent="0.25">
      <c r="A130" s="519">
        <f t="shared" si="106"/>
        <v>47859</v>
      </c>
      <c r="B130" s="287">
        <f t="shared" si="79"/>
        <v>143964.24999999988</v>
      </c>
      <c r="C130" s="14">
        <f t="shared" si="71"/>
        <v>786.54</v>
      </c>
      <c r="D130" s="14">
        <f t="shared" si="87"/>
        <v>426.62999999999994</v>
      </c>
      <c r="E130" s="14">
        <f t="shared" si="72"/>
        <v>359.91</v>
      </c>
      <c r="F130" s="14">
        <f t="shared" si="96"/>
        <v>134.16999999999999</v>
      </c>
      <c r="G130" s="14">
        <f t="shared" si="94"/>
        <v>188.55</v>
      </c>
      <c r="H130" s="14">
        <f t="shared" si="95"/>
        <v>1109.26</v>
      </c>
      <c r="I130" s="287">
        <f t="shared" si="107"/>
        <v>43486.779999999977</v>
      </c>
      <c r="J130" s="287">
        <f t="shared" si="108"/>
        <v>48218.260000000009</v>
      </c>
      <c r="K130" s="287">
        <f t="shared" si="109"/>
        <v>143537.61999999988</v>
      </c>
      <c r="L130" s="428">
        <f t="shared" si="93"/>
        <v>5</v>
      </c>
      <c r="M130" s="428">
        <f t="shared" si="80"/>
        <v>71</v>
      </c>
      <c r="N130" s="287">
        <f t="shared" si="81"/>
        <v>214356.84</v>
      </c>
      <c r="O130" s="287">
        <f t="shared" si="110"/>
        <v>1536.52</v>
      </c>
      <c r="P130" s="287">
        <f t="shared" si="88"/>
        <v>286.1099999999999</v>
      </c>
      <c r="Q130" s="287">
        <f t="shared" si="111"/>
        <v>1250.4100000000001</v>
      </c>
      <c r="R130" s="287">
        <f t="shared" si="98"/>
        <v>134.16999999999999</v>
      </c>
      <c r="S130" s="287">
        <f t="shared" si="99"/>
        <v>188.55</v>
      </c>
      <c r="T130" s="287">
        <f t="shared" si="97"/>
        <v>1859.24</v>
      </c>
      <c r="U130" s="287">
        <f t="shared" si="89"/>
        <v>16879.270000000008</v>
      </c>
      <c r="V130" s="287">
        <f t="shared" si="90"/>
        <v>93750.170000000027</v>
      </c>
      <c r="W130" s="287">
        <f t="shared" si="112"/>
        <v>214070.73</v>
      </c>
      <c r="X130" s="519">
        <f t="shared" si="82"/>
        <v>47859</v>
      </c>
      <c r="Y130" s="287">
        <f t="shared" si="113"/>
        <v>243405.64999999991</v>
      </c>
      <c r="Z130" s="511">
        <f t="shared" si="74"/>
        <v>7.0000000000000007E-2</v>
      </c>
      <c r="AA130" s="287">
        <f t="shared" si="75"/>
        <v>1746.44</v>
      </c>
      <c r="AB130" s="287">
        <f t="shared" si="114"/>
        <v>326.57000000000016</v>
      </c>
      <c r="AC130" s="287">
        <f t="shared" si="76"/>
        <v>1419.87</v>
      </c>
      <c r="AD130" s="287">
        <f t="shared" si="100"/>
        <v>134.16999999999999</v>
      </c>
      <c r="AE130" s="287">
        <f t="shared" si="101"/>
        <v>188.55</v>
      </c>
      <c r="AF130" s="287">
        <f t="shared" si="115"/>
        <v>2069.1600000000003</v>
      </c>
      <c r="AG130" s="287">
        <f t="shared" si="116"/>
        <v>32869.72</v>
      </c>
      <c r="AH130" s="287">
        <f t="shared" si="117"/>
        <v>61055.959999999992</v>
      </c>
      <c r="AI130" s="530">
        <f t="shared" si="102"/>
        <v>16703.760000000009</v>
      </c>
      <c r="AJ130" s="530">
        <f t="shared" si="91"/>
        <v>-29008.349999999889</v>
      </c>
      <c r="AK130" s="530">
        <f t="shared" si="103"/>
        <v>-12304.58999999988</v>
      </c>
      <c r="AL130" s="287">
        <f t="shared" si="118"/>
        <v>243079.0799999999</v>
      </c>
      <c r="AM130" s="428">
        <f t="shared" si="83"/>
        <v>5</v>
      </c>
      <c r="AN130" s="14">
        <f t="shared" si="104"/>
        <v>749.98</v>
      </c>
      <c r="AO130" s="14">
        <f t="shared" si="92"/>
        <v>115998.30999999995</v>
      </c>
      <c r="AP130" s="14">
        <f t="shared" si="105"/>
        <v>959.90000000000009</v>
      </c>
      <c r="AS130" s="14">
        <f t="shared" si="78"/>
        <v>749.98</v>
      </c>
      <c r="AT130" s="14">
        <f t="shared" si="84"/>
        <v>53518.000000000073</v>
      </c>
      <c r="AU130" s="287">
        <f t="shared" si="85"/>
        <v>1128.7542860174308</v>
      </c>
      <c r="AV130" s="287">
        <f t="shared" si="86"/>
        <v>108805.04009124664</v>
      </c>
    </row>
    <row r="131" spans="1:48" x14ac:dyDescent="0.25">
      <c r="A131" s="519">
        <f t="shared" si="106"/>
        <v>47889</v>
      </c>
      <c r="B131" s="287">
        <f t="shared" si="79"/>
        <v>143537.61999999988</v>
      </c>
      <c r="C131" s="14">
        <f t="shared" si="71"/>
        <v>786.54</v>
      </c>
      <c r="D131" s="14">
        <f t="shared" si="87"/>
        <v>427.7</v>
      </c>
      <c r="E131" s="14">
        <f t="shared" si="72"/>
        <v>358.84</v>
      </c>
      <c r="F131" s="14">
        <f t="shared" si="96"/>
        <v>134.16999999999999</v>
      </c>
      <c r="G131" s="14">
        <f t="shared" si="94"/>
        <v>188.55</v>
      </c>
      <c r="H131" s="14">
        <f t="shared" si="95"/>
        <v>1109.26</v>
      </c>
      <c r="I131" s="287">
        <f t="shared" si="107"/>
        <v>43914.479999999974</v>
      </c>
      <c r="J131" s="287">
        <f t="shared" si="108"/>
        <v>48577.100000000006</v>
      </c>
      <c r="K131" s="287">
        <f t="shared" si="109"/>
        <v>143109.91999999987</v>
      </c>
      <c r="L131" s="428">
        <f t="shared" si="93"/>
        <v>6</v>
      </c>
      <c r="M131" s="428">
        <f t="shared" si="80"/>
        <v>72</v>
      </c>
      <c r="N131" s="287">
        <f t="shared" si="81"/>
        <v>214070.73</v>
      </c>
      <c r="O131" s="287">
        <f t="shared" si="110"/>
        <v>1536.52</v>
      </c>
      <c r="P131" s="287">
        <f t="shared" si="88"/>
        <v>287.77</v>
      </c>
      <c r="Q131" s="287">
        <f t="shared" si="111"/>
        <v>1248.75</v>
      </c>
      <c r="R131" s="287">
        <f t="shared" si="98"/>
        <v>134.16999999999999</v>
      </c>
      <c r="S131" s="287">
        <f t="shared" si="99"/>
        <v>188.55</v>
      </c>
      <c r="T131" s="287">
        <f t="shared" si="97"/>
        <v>1859.24</v>
      </c>
      <c r="U131" s="287">
        <f t="shared" si="89"/>
        <v>17167.040000000008</v>
      </c>
      <c r="V131" s="287">
        <f t="shared" si="90"/>
        <v>94998.920000000027</v>
      </c>
      <c r="W131" s="287">
        <f t="shared" si="112"/>
        <v>213782.96000000002</v>
      </c>
      <c r="X131" s="519">
        <f t="shared" si="82"/>
        <v>47889</v>
      </c>
      <c r="Y131" s="287">
        <f t="shared" si="113"/>
        <v>243079.0799999999</v>
      </c>
      <c r="Z131" s="511">
        <f t="shared" si="74"/>
        <v>7.0000000000000007E-2</v>
      </c>
      <c r="AA131" s="287">
        <f t="shared" si="75"/>
        <v>1746.44</v>
      </c>
      <c r="AB131" s="287">
        <f t="shared" si="114"/>
        <v>328.48</v>
      </c>
      <c r="AC131" s="287">
        <f t="shared" si="76"/>
        <v>1417.96</v>
      </c>
      <c r="AD131" s="287">
        <f t="shared" si="100"/>
        <v>134.16999999999999</v>
      </c>
      <c r="AE131" s="287">
        <f t="shared" si="101"/>
        <v>188.55</v>
      </c>
      <c r="AF131" s="287">
        <f t="shared" si="115"/>
        <v>2069.1600000000003</v>
      </c>
      <c r="AG131" s="287">
        <f t="shared" si="116"/>
        <v>33198.200000000004</v>
      </c>
      <c r="AH131" s="287">
        <f t="shared" si="117"/>
        <v>62473.919999999991</v>
      </c>
      <c r="AI131" s="530">
        <f t="shared" si="102"/>
        <v>16493.840000000011</v>
      </c>
      <c r="AJ131" s="530">
        <f t="shared" si="91"/>
        <v>-28967.639999999868</v>
      </c>
      <c r="AK131" s="530">
        <f t="shared" si="103"/>
        <v>-12473.799999999857</v>
      </c>
      <c r="AL131" s="287">
        <f t="shared" si="118"/>
        <v>242750.59999999989</v>
      </c>
      <c r="AM131" s="428">
        <f t="shared" si="83"/>
        <v>6</v>
      </c>
      <c r="AN131" s="14">
        <f t="shared" si="104"/>
        <v>749.98</v>
      </c>
      <c r="AO131" s="14">
        <f t="shared" si="92"/>
        <v>116138.23999999996</v>
      </c>
      <c r="AP131" s="14">
        <f t="shared" si="105"/>
        <v>959.90000000000009</v>
      </c>
      <c r="AS131" s="14">
        <f t="shared" si="78"/>
        <v>749.98</v>
      </c>
      <c r="AT131" s="14">
        <f t="shared" si="84"/>
        <v>54267.980000000076</v>
      </c>
      <c r="AU131" s="287">
        <f t="shared" si="85"/>
        <v>1132.5168003041556</v>
      </c>
      <c r="AV131" s="287">
        <f t="shared" si="86"/>
        <v>109937.5568915508</v>
      </c>
    </row>
    <row r="132" spans="1:48" x14ac:dyDescent="0.25">
      <c r="A132" s="519">
        <f t="shared" si="106"/>
        <v>47919</v>
      </c>
      <c r="B132" s="287">
        <f t="shared" si="79"/>
        <v>143109.91999999987</v>
      </c>
      <c r="C132" s="14">
        <f t="shared" si="71"/>
        <v>786.54</v>
      </c>
      <c r="D132" s="14">
        <f t="shared" si="87"/>
        <v>428.77</v>
      </c>
      <c r="E132" s="14">
        <f t="shared" si="72"/>
        <v>357.77</v>
      </c>
      <c r="F132" s="14">
        <f t="shared" si="96"/>
        <v>134.16999999999999</v>
      </c>
      <c r="G132" s="14">
        <f t="shared" si="94"/>
        <v>188.55</v>
      </c>
      <c r="H132" s="14">
        <f t="shared" si="95"/>
        <v>1109.26</v>
      </c>
      <c r="I132" s="287">
        <f t="shared" si="107"/>
        <v>44343.249999999971</v>
      </c>
      <c r="J132" s="287">
        <f t="shared" si="108"/>
        <v>48934.87</v>
      </c>
      <c r="K132" s="287">
        <f t="shared" si="109"/>
        <v>142681.14999999988</v>
      </c>
      <c r="L132" s="428">
        <f t="shared" si="93"/>
        <v>6</v>
      </c>
      <c r="M132" s="428">
        <f t="shared" si="80"/>
        <v>73</v>
      </c>
      <c r="N132" s="287">
        <f t="shared" si="81"/>
        <v>213782.96000000002</v>
      </c>
      <c r="O132" s="287">
        <f t="shared" si="110"/>
        <v>1536.52</v>
      </c>
      <c r="P132" s="287">
        <f t="shared" si="88"/>
        <v>289.45000000000005</v>
      </c>
      <c r="Q132" s="287">
        <f t="shared" si="111"/>
        <v>1247.07</v>
      </c>
      <c r="R132" s="287">
        <f t="shared" si="98"/>
        <v>134.16999999999999</v>
      </c>
      <c r="S132" s="287">
        <f t="shared" si="99"/>
        <v>188.55</v>
      </c>
      <c r="T132" s="287">
        <f t="shared" si="97"/>
        <v>1859.24</v>
      </c>
      <c r="U132" s="287">
        <f t="shared" si="89"/>
        <v>17456.490000000009</v>
      </c>
      <c r="V132" s="287">
        <f t="shared" si="90"/>
        <v>96245.990000000034</v>
      </c>
      <c r="W132" s="287">
        <f t="shared" si="112"/>
        <v>213493.51</v>
      </c>
      <c r="X132" s="519">
        <f t="shared" si="82"/>
        <v>47919</v>
      </c>
      <c r="Y132" s="287">
        <f t="shared" si="113"/>
        <v>242750.59999999989</v>
      </c>
      <c r="Z132" s="511">
        <f t="shared" si="74"/>
        <v>7.0000000000000007E-2</v>
      </c>
      <c r="AA132" s="287">
        <f t="shared" si="75"/>
        <v>1746.44</v>
      </c>
      <c r="AB132" s="287">
        <f t="shared" si="114"/>
        <v>330.3900000000001</v>
      </c>
      <c r="AC132" s="287">
        <f t="shared" si="76"/>
        <v>1416.05</v>
      </c>
      <c r="AD132" s="287">
        <f t="shared" si="100"/>
        <v>134.16999999999999</v>
      </c>
      <c r="AE132" s="287">
        <f t="shared" si="101"/>
        <v>188.55</v>
      </c>
      <c r="AF132" s="287">
        <f t="shared" si="115"/>
        <v>2069.1600000000003</v>
      </c>
      <c r="AG132" s="287">
        <f t="shared" si="116"/>
        <v>33528.590000000004</v>
      </c>
      <c r="AH132" s="287">
        <f t="shared" si="117"/>
        <v>63889.969999999994</v>
      </c>
      <c r="AI132" s="530">
        <f t="shared" si="102"/>
        <v>16283.920000000011</v>
      </c>
      <c r="AJ132" s="530">
        <f t="shared" si="91"/>
        <v>-28926.699999999866</v>
      </c>
      <c r="AK132" s="530">
        <f t="shared" si="103"/>
        <v>-12642.779999999855</v>
      </c>
      <c r="AL132" s="287">
        <f t="shared" si="118"/>
        <v>242420.20999999988</v>
      </c>
      <c r="AM132" s="428">
        <f t="shared" si="83"/>
        <v>6</v>
      </c>
      <c r="AN132" s="14">
        <f t="shared" si="104"/>
        <v>749.98</v>
      </c>
      <c r="AO132" s="14">
        <f t="shared" si="92"/>
        <v>116277.55999999995</v>
      </c>
      <c r="AP132" s="14">
        <f t="shared" si="105"/>
        <v>959.90000000000009</v>
      </c>
      <c r="AS132" s="14">
        <f t="shared" si="78"/>
        <v>749.98</v>
      </c>
      <c r="AT132" s="14">
        <f t="shared" si="84"/>
        <v>55017.960000000079</v>
      </c>
      <c r="AU132" s="287">
        <f t="shared" si="85"/>
        <v>1136.2918563051692</v>
      </c>
      <c r="AV132" s="287">
        <f t="shared" si="86"/>
        <v>111073.84874785597</v>
      </c>
    </row>
    <row r="133" spans="1:48" x14ac:dyDescent="0.25">
      <c r="A133" s="519">
        <f t="shared" si="106"/>
        <v>47949</v>
      </c>
      <c r="B133" s="287">
        <f t="shared" si="79"/>
        <v>142681.14999999988</v>
      </c>
      <c r="C133" s="14">
        <f t="shared" si="71"/>
        <v>786.54</v>
      </c>
      <c r="D133" s="14">
        <f t="shared" si="87"/>
        <v>429.84</v>
      </c>
      <c r="E133" s="14">
        <f t="shared" si="72"/>
        <v>356.7</v>
      </c>
      <c r="F133" s="14">
        <f t="shared" si="96"/>
        <v>134.16999999999999</v>
      </c>
      <c r="G133" s="14">
        <f t="shared" si="94"/>
        <v>188.55</v>
      </c>
      <c r="H133" s="14">
        <f t="shared" si="95"/>
        <v>1109.26</v>
      </c>
      <c r="I133" s="287">
        <f t="shared" si="107"/>
        <v>44773.089999999967</v>
      </c>
      <c r="J133" s="287">
        <f t="shared" si="108"/>
        <v>49291.57</v>
      </c>
      <c r="K133" s="287">
        <f t="shared" si="109"/>
        <v>142251.30999999988</v>
      </c>
      <c r="L133" s="428">
        <f t="shared" si="93"/>
        <v>6</v>
      </c>
      <c r="M133" s="428">
        <f t="shared" si="80"/>
        <v>74</v>
      </c>
      <c r="N133" s="287">
        <f t="shared" si="81"/>
        <v>213493.51</v>
      </c>
      <c r="O133" s="287">
        <f t="shared" si="110"/>
        <v>1536.52</v>
      </c>
      <c r="P133" s="287">
        <f t="shared" si="88"/>
        <v>291.13999999999987</v>
      </c>
      <c r="Q133" s="287">
        <f t="shared" si="111"/>
        <v>1245.3800000000001</v>
      </c>
      <c r="R133" s="287">
        <f t="shared" si="98"/>
        <v>134.16999999999999</v>
      </c>
      <c r="S133" s="287">
        <f t="shared" si="99"/>
        <v>188.55</v>
      </c>
      <c r="T133" s="287">
        <f t="shared" si="97"/>
        <v>1859.24</v>
      </c>
      <c r="U133" s="287">
        <f t="shared" si="89"/>
        <v>17747.630000000008</v>
      </c>
      <c r="V133" s="287">
        <f t="shared" si="90"/>
        <v>97491.370000000039</v>
      </c>
      <c r="W133" s="287">
        <f t="shared" si="112"/>
        <v>213202.37</v>
      </c>
      <c r="X133" s="519">
        <f t="shared" si="82"/>
        <v>47949</v>
      </c>
      <c r="Y133" s="287">
        <f t="shared" si="113"/>
        <v>242420.20999999988</v>
      </c>
      <c r="Z133" s="511">
        <f t="shared" si="74"/>
        <v>7.0000000000000007E-2</v>
      </c>
      <c r="AA133" s="287">
        <f t="shared" si="75"/>
        <v>1746.44</v>
      </c>
      <c r="AB133" s="287">
        <f t="shared" si="114"/>
        <v>332.32000000000016</v>
      </c>
      <c r="AC133" s="287">
        <f t="shared" si="76"/>
        <v>1414.12</v>
      </c>
      <c r="AD133" s="287">
        <f t="shared" si="100"/>
        <v>134.16999999999999</v>
      </c>
      <c r="AE133" s="287">
        <f t="shared" si="101"/>
        <v>188.55</v>
      </c>
      <c r="AF133" s="287">
        <f t="shared" si="115"/>
        <v>2069.1600000000003</v>
      </c>
      <c r="AG133" s="287">
        <f t="shared" si="116"/>
        <v>33860.910000000003</v>
      </c>
      <c r="AH133" s="287">
        <f t="shared" si="117"/>
        <v>65304.09</v>
      </c>
      <c r="AI133" s="530">
        <f t="shared" si="102"/>
        <v>16074.000000000011</v>
      </c>
      <c r="AJ133" s="530">
        <f t="shared" si="91"/>
        <v>-28885.519999999873</v>
      </c>
      <c r="AK133" s="530">
        <f t="shared" si="103"/>
        <v>-12811.519999999862</v>
      </c>
      <c r="AL133" s="287">
        <f t="shared" si="118"/>
        <v>242087.88999999987</v>
      </c>
      <c r="AM133" s="428">
        <f t="shared" si="83"/>
        <v>6</v>
      </c>
      <c r="AN133" s="14">
        <f t="shared" si="104"/>
        <v>749.98</v>
      </c>
      <c r="AO133" s="14">
        <f t="shared" si="92"/>
        <v>116416.25999999995</v>
      </c>
      <c r="AP133" s="14">
        <f t="shared" si="105"/>
        <v>959.90000000000009</v>
      </c>
      <c r="AS133" s="14">
        <f t="shared" si="78"/>
        <v>749.98</v>
      </c>
      <c r="AT133" s="14">
        <f t="shared" si="84"/>
        <v>55767.940000000082</v>
      </c>
      <c r="AU133" s="287">
        <f t="shared" si="85"/>
        <v>1140.0794958261865</v>
      </c>
      <c r="AV133" s="287">
        <f t="shared" si="86"/>
        <v>112213.92824368215</v>
      </c>
    </row>
    <row r="134" spans="1:48" ht="15.75" thickBot="1" x14ac:dyDescent="0.3">
      <c r="A134" s="522">
        <f t="shared" si="106"/>
        <v>47979</v>
      </c>
      <c r="B134" s="348">
        <f t="shared" si="79"/>
        <v>142251.30999999988</v>
      </c>
      <c r="C134" s="21">
        <f t="shared" si="71"/>
        <v>786.54</v>
      </c>
      <c r="D134" s="21">
        <f t="shared" si="87"/>
        <v>430.90999999999997</v>
      </c>
      <c r="E134" s="21">
        <f t="shared" si="72"/>
        <v>355.63</v>
      </c>
      <c r="F134" s="21">
        <f t="shared" si="96"/>
        <v>134.16999999999999</v>
      </c>
      <c r="G134" s="21">
        <f t="shared" si="94"/>
        <v>188.55</v>
      </c>
      <c r="H134" s="21">
        <f t="shared" si="95"/>
        <v>1109.26</v>
      </c>
      <c r="I134" s="348">
        <f t="shared" si="107"/>
        <v>45203.999999999971</v>
      </c>
      <c r="J134" s="348">
        <f t="shared" si="108"/>
        <v>49647.199999999997</v>
      </c>
      <c r="K134" s="348">
        <f t="shared" si="109"/>
        <v>141820.39999999988</v>
      </c>
      <c r="L134" s="429">
        <f t="shared" si="93"/>
        <v>6</v>
      </c>
      <c r="M134" s="429">
        <f t="shared" si="80"/>
        <v>75</v>
      </c>
      <c r="N134" s="348">
        <f t="shared" si="81"/>
        <v>213202.37</v>
      </c>
      <c r="O134" s="348">
        <f t="shared" si="110"/>
        <v>1536.52</v>
      </c>
      <c r="P134" s="348">
        <f t="shared" si="88"/>
        <v>292.83999999999992</v>
      </c>
      <c r="Q134" s="348">
        <f t="shared" si="111"/>
        <v>1243.68</v>
      </c>
      <c r="R134" s="348">
        <f t="shared" si="98"/>
        <v>134.16999999999999</v>
      </c>
      <c r="S134" s="348">
        <f t="shared" si="99"/>
        <v>188.55</v>
      </c>
      <c r="T134" s="348">
        <f t="shared" si="97"/>
        <v>1859.24</v>
      </c>
      <c r="U134" s="348">
        <f t="shared" si="89"/>
        <v>18040.470000000008</v>
      </c>
      <c r="V134" s="348">
        <f t="shared" si="90"/>
        <v>98735.050000000032</v>
      </c>
      <c r="W134" s="348">
        <f t="shared" si="112"/>
        <v>212909.53</v>
      </c>
      <c r="X134" s="522">
        <f t="shared" si="82"/>
        <v>47979</v>
      </c>
      <c r="Y134" s="348">
        <f t="shared" si="113"/>
        <v>242087.88999999987</v>
      </c>
      <c r="Z134" s="512">
        <f t="shared" si="74"/>
        <v>7.0000000000000007E-2</v>
      </c>
      <c r="AA134" s="348">
        <f t="shared" si="75"/>
        <v>1746.44</v>
      </c>
      <c r="AB134" s="348">
        <f t="shared" si="114"/>
        <v>334.26</v>
      </c>
      <c r="AC134" s="348">
        <f t="shared" si="76"/>
        <v>1412.18</v>
      </c>
      <c r="AD134" s="348">
        <f t="shared" si="100"/>
        <v>134.16999999999999</v>
      </c>
      <c r="AE134" s="348">
        <f t="shared" si="101"/>
        <v>188.55</v>
      </c>
      <c r="AF134" s="348">
        <f t="shared" si="115"/>
        <v>2069.1600000000003</v>
      </c>
      <c r="AG134" s="348">
        <f t="shared" si="116"/>
        <v>34195.170000000006</v>
      </c>
      <c r="AH134" s="348">
        <f t="shared" si="117"/>
        <v>66716.26999999999</v>
      </c>
      <c r="AI134" s="531">
        <f t="shared" si="102"/>
        <v>15864.080000000011</v>
      </c>
      <c r="AJ134" s="531">
        <f t="shared" si="91"/>
        <v>-28844.09999999986</v>
      </c>
      <c r="AK134" s="531">
        <f t="shared" si="103"/>
        <v>-12980.019999999849</v>
      </c>
      <c r="AL134" s="348">
        <f t="shared" si="118"/>
        <v>241753.62999999986</v>
      </c>
      <c r="AM134" s="429">
        <f t="shared" si="83"/>
        <v>6</v>
      </c>
      <c r="AN134" s="21">
        <f t="shared" si="104"/>
        <v>749.98</v>
      </c>
      <c r="AO134" s="21">
        <f t="shared" si="92"/>
        <v>116554.32999999996</v>
      </c>
      <c r="AP134" s="21">
        <f t="shared" si="105"/>
        <v>959.90000000000009</v>
      </c>
      <c r="AQ134" s="21"/>
      <c r="AR134" s="23"/>
      <c r="AS134" s="21">
        <f t="shared" si="78"/>
        <v>749.98</v>
      </c>
      <c r="AT134" s="21">
        <f t="shared" si="84"/>
        <v>56517.920000000086</v>
      </c>
      <c r="AU134" s="348">
        <f t="shared" si="85"/>
        <v>1143.8797608122738</v>
      </c>
      <c r="AV134" s="348">
        <f t="shared" si="86"/>
        <v>113357.80800449442</v>
      </c>
    </row>
    <row r="135" spans="1:48" x14ac:dyDescent="0.25">
      <c r="A135" s="519">
        <f t="shared" si="106"/>
        <v>48009</v>
      </c>
      <c r="B135" s="287">
        <f t="shared" si="79"/>
        <v>141820.39999999988</v>
      </c>
      <c r="C135" s="14">
        <f t="shared" si="71"/>
        <v>786.54</v>
      </c>
      <c r="D135" s="14">
        <f t="shared" si="87"/>
        <v>431.98999999999995</v>
      </c>
      <c r="E135" s="14">
        <f t="shared" si="72"/>
        <v>354.55</v>
      </c>
      <c r="F135" s="14">
        <f t="shared" si="96"/>
        <v>134.16999999999999</v>
      </c>
      <c r="G135" s="14">
        <f t="shared" si="94"/>
        <v>188.55</v>
      </c>
      <c r="H135" s="14">
        <f t="shared" si="95"/>
        <v>1109.26</v>
      </c>
      <c r="I135" s="287">
        <f t="shared" si="107"/>
        <v>45635.989999999969</v>
      </c>
      <c r="J135" s="287">
        <f t="shared" si="108"/>
        <v>50001.75</v>
      </c>
      <c r="K135" s="287">
        <f t="shared" si="109"/>
        <v>141388.40999999989</v>
      </c>
      <c r="L135" s="428">
        <f t="shared" si="93"/>
        <v>6</v>
      </c>
      <c r="M135" s="428">
        <f t="shared" si="80"/>
        <v>76</v>
      </c>
      <c r="N135" s="287">
        <f t="shared" si="81"/>
        <v>212909.53</v>
      </c>
      <c r="O135" s="287">
        <f t="shared" si="110"/>
        <v>1536.52</v>
      </c>
      <c r="P135" s="287">
        <f t="shared" si="88"/>
        <v>294.54999999999995</v>
      </c>
      <c r="Q135" s="287">
        <f t="shared" si="111"/>
        <v>1241.97</v>
      </c>
      <c r="R135" s="287">
        <f t="shared" si="98"/>
        <v>134.16999999999999</v>
      </c>
      <c r="S135" s="287">
        <f t="shared" si="99"/>
        <v>188.55</v>
      </c>
      <c r="T135" s="287">
        <f t="shared" si="97"/>
        <v>1859.24</v>
      </c>
      <c r="U135" s="287">
        <f t="shared" si="89"/>
        <v>18335.020000000008</v>
      </c>
      <c r="V135" s="287">
        <f t="shared" si="90"/>
        <v>99977.020000000033</v>
      </c>
      <c r="W135" s="287">
        <f t="shared" si="112"/>
        <v>212614.98</v>
      </c>
      <c r="X135" s="519">
        <f t="shared" si="82"/>
        <v>48009</v>
      </c>
      <c r="Y135" s="287">
        <f t="shared" si="113"/>
        <v>241753.62999999986</v>
      </c>
      <c r="Z135" s="511">
        <f t="shared" si="74"/>
        <v>7.0000000000000007E-2</v>
      </c>
      <c r="AA135" s="287">
        <f t="shared" si="75"/>
        <v>1746.44</v>
      </c>
      <c r="AB135" s="287">
        <f t="shared" si="114"/>
        <v>336.21000000000004</v>
      </c>
      <c r="AC135" s="287">
        <f t="shared" si="76"/>
        <v>1410.23</v>
      </c>
      <c r="AD135" s="287">
        <f t="shared" si="100"/>
        <v>134.16999999999999</v>
      </c>
      <c r="AE135" s="287">
        <f t="shared" si="101"/>
        <v>188.55</v>
      </c>
      <c r="AF135" s="287">
        <f t="shared" si="115"/>
        <v>2069.1600000000003</v>
      </c>
      <c r="AG135" s="287">
        <f t="shared" si="116"/>
        <v>34531.380000000005</v>
      </c>
      <c r="AH135" s="287">
        <f t="shared" si="117"/>
        <v>68126.499999999985</v>
      </c>
      <c r="AI135" s="530">
        <f t="shared" si="102"/>
        <v>15654.160000000011</v>
      </c>
      <c r="AJ135" s="530">
        <f t="shared" si="91"/>
        <v>-28802.439999999857</v>
      </c>
      <c r="AK135" s="530">
        <f t="shared" si="103"/>
        <v>-13148.279999999846</v>
      </c>
      <c r="AL135" s="287">
        <f t="shared" si="118"/>
        <v>241417.41999999987</v>
      </c>
      <c r="AM135" s="428">
        <f t="shared" si="83"/>
        <v>6</v>
      </c>
      <c r="AN135" s="14">
        <f t="shared" si="104"/>
        <v>749.98</v>
      </c>
      <c r="AO135" s="14">
        <f t="shared" si="92"/>
        <v>116691.76999999995</v>
      </c>
      <c r="AP135" s="14">
        <f t="shared" si="105"/>
        <v>959.90000000000009</v>
      </c>
      <c r="AS135" s="14">
        <f t="shared" si="78"/>
        <v>749.98</v>
      </c>
      <c r="AT135" s="14">
        <f t="shared" si="84"/>
        <v>57267.900000000089</v>
      </c>
      <c r="AU135" s="287">
        <f t="shared" si="85"/>
        <v>1147.6926933483148</v>
      </c>
      <c r="AV135" s="287">
        <f t="shared" si="86"/>
        <v>114505.50069784274</v>
      </c>
    </row>
    <row r="136" spans="1:48" x14ac:dyDescent="0.25">
      <c r="A136" s="519">
        <f t="shared" si="106"/>
        <v>48039</v>
      </c>
      <c r="B136" s="287">
        <f t="shared" si="79"/>
        <v>141388.40999999989</v>
      </c>
      <c r="C136" s="14">
        <f t="shared" si="71"/>
        <v>786.54</v>
      </c>
      <c r="D136" s="14">
        <f t="shared" si="87"/>
        <v>433.06999999999994</v>
      </c>
      <c r="E136" s="14">
        <f t="shared" si="72"/>
        <v>353.47</v>
      </c>
      <c r="F136" s="14">
        <f t="shared" si="96"/>
        <v>134.16999999999999</v>
      </c>
      <c r="G136" s="14">
        <f t="shared" si="94"/>
        <v>188.55</v>
      </c>
      <c r="H136" s="14">
        <f t="shared" si="95"/>
        <v>1109.26</v>
      </c>
      <c r="I136" s="287">
        <f t="shared" si="107"/>
        <v>46069.059999999969</v>
      </c>
      <c r="J136" s="287">
        <f t="shared" si="108"/>
        <v>50355.22</v>
      </c>
      <c r="K136" s="287">
        <f t="shared" si="109"/>
        <v>140955.33999999988</v>
      </c>
      <c r="L136" s="428">
        <f t="shared" si="93"/>
        <v>6</v>
      </c>
      <c r="M136" s="428">
        <f t="shared" si="80"/>
        <v>77</v>
      </c>
      <c r="N136" s="287">
        <f t="shared" si="81"/>
        <v>212614.98</v>
      </c>
      <c r="O136" s="287">
        <f t="shared" si="110"/>
        <v>1536.52</v>
      </c>
      <c r="P136" s="287">
        <f t="shared" si="88"/>
        <v>296.27</v>
      </c>
      <c r="Q136" s="287">
        <f t="shared" si="111"/>
        <v>1240.25</v>
      </c>
      <c r="R136" s="287">
        <f t="shared" si="98"/>
        <v>134.16999999999999</v>
      </c>
      <c r="S136" s="287">
        <f t="shared" si="99"/>
        <v>188.55</v>
      </c>
      <c r="T136" s="287">
        <f t="shared" si="97"/>
        <v>1859.24</v>
      </c>
      <c r="U136" s="287">
        <f t="shared" si="89"/>
        <v>18631.290000000008</v>
      </c>
      <c r="V136" s="287">
        <f t="shared" si="90"/>
        <v>101217.27000000003</v>
      </c>
      <c r="W136" s="287">
        <f t="shared" si="112"/>
        <v>212318.71000000002</v>
      </c>
      <c r="X136" s="519">
        <f t="shared" si="82"/>
        <v>48039</v>
      </c>
      <c r="Y136" s="287">
        <f t="shared" si="113"/>
        <v>241417.41999999987</v>
      </c>
      <c r="Z136" s="511">
        <f t="shared" si="74"/>
        <v>7.0000000000000007E-2</v>
      </c>
      <c r="AA136" s="287">
        <f t="shared" si="75"/>
        <v>1746.44</v>
      </c>
      <c r="AB136" s="287">
        <f t="shared" si="114"/>
        <v>338.17000000000007</v>
      </c>
      <c r="AC136" s="287">
        <f t="shared" si="76"/>
        <v>1408.27</v>
      </c>
      <c r="AD136" s="287">
        <f t="shared" si="100"/>
        <v>134.16999999999999</v>
      </c>
      <c r="AE136" s="287">
        <f t="shared" si="101"/>
        <v>188.55</v>
      </c>
      <c r="AF136" s="287">
        <f t="shared" si="115"/>
        <v>2069.1600000000003</v>
      </c>
      <c r="AG136" s="287">
        <f t="shared" si="116"/>
        <v>34869.550000000003</v>
      </c>
      <c r="AH136" s="287">
        <f t="shared" si="117"/>
        <v>69534.76999999999</v>
      </c>
      <c r="AI136" s="530">
        <f t="shared" si="102"/>
        <v>15444.240000000011</v>
      </c>
      <c r="AJ136" s="530">
        <f t="shared" si="91"/>
        <v>-28760.539999999834</v>
      </c>
      <c r="AK136" s="530">
        <f t="shared" si="103"/>
        <v>-13316.299999999823</v>
      </c>
      <c r="AL136" s="287">
        <f t="shared" si="118"/>
        <v>241079.24999999985</v>
      </c>
      <c r="AM136" s="428">
        <f t="shared" si="83"/>
        <v>6</v>
      </c>
      <c r="AN136" s="14">
        <f t="shared" si="104"/>
        <v>749.98</v>
      </c>
      <c r="AO136" s="14">
        <f t="shared" si="92"/>
        <v>116828.56999999995</v>
      </c>
      <c r="AP136" s="14">
        <f t="shared" si="105"/>
        <v>959.90000000000009</v>
      </c>
      <c r="AS136" s="14">
        <f t="shared" si="78"/>
        <v>749.98</v>
      </c>
      <c r="AT136" s="14">
        <f t="shared" si="84"/>
        <v>58017.880000000092</v>
      </c>
      <c r="AU136" s="287">
        <f t="shared" si="85"/>
        <v>1151.518335659476</v>
      </c>
      <c r="AV136" s="287">
        <f t="shared" si="86"/>
        <v>115657.01903350222</v>
      </c>
    </row>
    <row r="137" spans="1:48" x14ac:dyDescent="0.25">
      <c r="A137" s="519">
        <f t="shared" si="106"/>
        <v>48069</v>
      </c>
      <c r="B137" s="287">
        <f t="shared" si="79"/>
        <v>140955.33999999988</v>
      </c>
      <c r="C137" s="14">
        <f t="shared" si="71"/>
        <v>786.54</v>
      </c>
      <c r="D137" s="14">
        <f t="shared" si="87"/>
        <v>434.15</v>
      </c>
      <c r="E137" s="14">
        <f t="shared" si="72"/>
        <v>352.39</v>
      </c>
      <c r="F137" s="14">
        <f t="shared" si="96"/>
        <v>134.16999999999999</v>
      </c>
      <c r="G137" s="14">
        <f t="shared" si="94"/>
        <v>188.55</v>
      </c>
      <c r="H137" s="14">
        <f t="shared" si="95"/>
        <v>1109.26</v>
      </c>
      <c r="I137" s="287">
        <f t="shared" si="107"/>
        <v>46503.20999999997</v>
      </c>
      <c r="J137" s="287">
        <f t="shared" si="108"/>
        <v>50707.61</v>
      </c>
      <c r="K137" s="287">
        <f t="shared" si="109"/>
        <v>140521.18999999989</v>
      </c>
      <c r="L137" s="428">
        <f t="shared" si="93"/>
        <v>6</v>
      </c>
      <c r="M137" s="428">
        <f t="shared" si="80"/>
        <v>78</v>
      </c>
      <c r="N137" s="287">
        <f t="shared" si="81"/>
        <v>212318.71000000002</v>
      </c>
      <c r="O137" s="287">
        <f t="shared" si="110"/>
        <v>1536.52</v>
      </c>
      <c r="P137" s="287">
        <f t="shared" si="88"/>
        <v>297.99</v>
      </c>
      <c r="Q137" s="287">
        <f t="shared" si="111"/>
        <v>1238.53</v>
      </c>
      <c r="R137" s="287">
        <f t="shared" si="98"/>
        <v>134.16999999999999</v>
      </c>
      <c r="S137" s="287">
        <f t="shared" si="99"/>
        <v>188.55</v>
      </c>
      <c r="T137" s="287">
        <f t="shared" si="97"/>
        <v>1859.24</v>
      </c>
      <c r="U137" s="287">
        <f t="shared" si="89"/>
        <v>18929.28000000001</v>
      </c>
      <c r="V137" s="287">
        <f t="shared" si="90"/>
        <v>102455.80000000003</v>
      </c>
      <c r="W137" s="287">
        <f t="shared" si="112"/>
        <v>212020.72000000003</v>
      </c>
      <c r="X137" s="519">
        <f t="shared" si="82"/>
        <v>48069</v>
      </c>
      <c r="Y137" s="287">
        <f t="shared" si="113"/>
        <v>241079.24999999985</v>
      </c>
      <c r="Z137" s="511">
        <f t="shared" si="74"/>
        <v>7.0000000000000007E-2</v>
      </c>
      <c r="AA137" s="287">
        <f t="shared" si="75"/>
        <v>1746.44</v>
      </c>
      <c r="AB137" s="287">
        <f t="shared" si="114"/>
        <v>340.1400000000001</v>
      </c>
      <c r="AC137" s="287">
        <f t="shared" si="76"/>
        <v>1406.3</v>
      </c>
      <c r="AD137" s="287">
        <f t="shared" si="100"/>
        <v>134.16999999999999</v>
      </c>
      <c r="AE137" s="287">
        <f t="shared" si="101"/>
        <v>188.55</v>
      </c>
      <c r="AF137" s="287">
        <f t="shared" si="115"/>
        <v>2069.1600000000003</v>
      </c>
      <c r="AG137" s="287">
        <f t="shared" si="116"/>
        <v>35209.69</v>
      </c>
      <c r="AH137" s="287">
        <f t="shared" si="117"/>
        <v>70941.069999999992</v>
      </c>
      <c r="AI137" s="530">
        <f t="shared" si="102"/>
        <v>15234.320000000011</v>
      </c>
      <c r="AJ137" s="530">
        <f t="shared" si="91"/>
        <v>-28718.38999999981</v>
      </c>
      <c r="AK137" s="530">
        <f t="shared" si="103"/>
        <v>-13484.0699999998</v>
      </c>
      <c r="AL137" s="287">
        <f t="shared" si="118"/>
        <v>240739.10999999984</v>
      </c>
      <c r="AM137" s="428">
        <f t="shared" si="83"/>
        <v>6</v>
      </c>
      <c r="AN137" s="14">
        <f t="shared" si="104"/>
        <v>749.98</v>
      </c>
      <c r="AO137" s="14">
        <f t="shared" si="92"/>
        <v>116964.72999999994</v>
      </c>
      <c r="AP137" s="14">
        <f t="shared" si="105"/>
        <v>959.90000000000009</v>
      </c>
      <c r="AS137" s="14">
        <f t="shared" si="78"/>
        <v>749.98</v>
      </c>
      <c r="AT137" s="14">
        <f t="shared" si="84"/>
        <v>58767.860000000095</v>
      </c>
      <c r="AU137" s="287">
        <f t="shared" si="85"/>
        <v>1155.3567301116741</v>
      </c>
      <c r="AV137" s="287">
        <f t="shared" si="86"/>
        <v>116812.37576361389</v>
      </c>
    </row>
    <row r="138" spans="1:48" x14ac:dyDescent="0.25">
      <c r="A138" s="519">
        <f t="shared" si="106"/>
        <v>48099</v>
      </c>
      <c r="B138" s="287">
        <f t="shared" si="79"/>
        <v>140521.18999999989</v>
      </c>
      <c r="C138" s="14">
        <f t="shared" si="71"/>
        <v>786.54</v>
      </c>
      <c r="D138" s="14">
        <f t="shared" si="87"/>
        <v>435.23999999999995</v>
      </c>
      <c r="E138" s="14">
        <f t="shared" si="72"/>
        <v>351.3</v>
      </c>
      <c r="F138" s="14">
        <f t="shared" si="96"/>
        <v>134.16999999999999</v>
      </c>
      <c r="G138" s="14">
        <f t="shared" si="94"/>
        <v>188.55</v>
      </c>
      <c r="H138" s="14">
        <f t="shared" si="95"/>
        <v>1109.26</v>
      </c>
      <c r="I138" s="287">
        <f t="shared" si="107"/>
        <v>46938.449999999968</v>
      </c>
      <c r="J138" s="287">
        <f t="shared" si="108"/>
        <v>51058.91</v>
      </c>
      <c r="K138" s="287">
        <f t="shared" si="109"/>
        <v>140085.9499999999</v>
      </c>
      <c r="L138" s="428">
        <f t="shared" si="93"/>
        <v>6</v>
      </c>
      <c r="M138" s="428">
        <f t="shared" si="80"/>
        <v>79</v>
      </c>
      <c r="N138" s="287">
        <f t="shared" si="81"/>
        <v>212020.72000000003</v>
      </c>
      <c r="O138" s="287">
        <f t="shared" si="110"/>
        <v>1536.52</v>
      </c>
      <c r="P138" s="287">
        <f t="shared" si="88"/>
        <v>299.73</v>
      </c>
      <c r="Q138" s="287">
        <f t="shared" si="111"/>
        <v>1236.79</v>
      </c>
      <c r="R138" s="287">
        <f t="shared" si="98"/>
        <v>134.16999999999999</v>
      </c>
      <c r="S138" s="287">
        <f t="shared" si="99"/>
        <v>188.55</v>
      </c>
      <c r="T138" s="287">
        <f t="shared" si="97"/>
        <v>1859.24</v>
      </c>
      <c r="U138" s="287">
        <f t="shared" si="89"/>
        <v>19229.010000000009</v>
      </c>
      <c r="V138" s="287">
        <f t="shared" si="90"/>
        <v>103692.59000000003</v>
      </c>
      <c r="W138" s="287">
        <f t="shared" si="112"/>
        <v>211720.99000000002</v>
      </c>
      <c r="X138" s="519">
        <f t="shared" si="82"/>
        <v>48099</v>
      </c>
      <c r="Y138" s="287">
        <f t="shared" si="113"/>
        <v>240739.10999999984</v>
      </c>
      <c r="Z138" s="511">
        <f t="shared" si="74"/>
        <v>7.0000000000000007E-2</v>
      </c>
      <c r="AA138" s="287">
        <f t="shared" si="75"/>
        <v>1746.44</v>
      </c>
      <c r="AB138" s="287">
        <f t="shared" si="114"/>
        <v>342.13000000000011</v>
      </c>
      <c r="AC138" s="287">
        <f t="shared" si="76"/>
        <v>1404.31</v>
      </c>
      <c r="AD138" s="287">
        <f t="shared" si="100"/>
        <v>134.16999999999999</v>
      </c>
      <c r="AE138" s="287">
        <f t="shared" si="101"/>
        <v>188.55</v>
      </c>
      <c r="AF138" s="287">
        <f t="shared" si="115"/>
        <v>2069.1600000000003</v>
      </c>
      <c r="AG138" s="287">
        <f t="shared" si="116"/>
        <v>35551.82</v>
      </c>
      <c r="AH138" s="287">
        <f t="shared" si="117"/>
        <v>72345.37999999999</v>
      </c>
      <c r="AI138" s="530">
        <f t="shared" si="102"/>
        <v>15024.400000000011</v>
      </c>
      <c r="AJ138" s="530">
        <f t="shared" si="91"/>
        <v>-28675.989999999816</v>
      </c>
      <c r="AK138" s="530">
        <f t="shared" si="103"/>
        <v>-13651.589999999806</v>
      </c>
      <c r="AL138" s="287">
        <f t="shared" si="118"/>
        <v>240396.97999999984</v>
      </c>
      <c r="AM138" s="428">
        <f t="shared" si="83"/>
        <v>6</v>
      </c>
      <c r="AN138" s="14">
        <f t="shared" si="104"/>
        <v>749.98</v>
      </c>
      <c r="AO138" s="14">
        <f t="shared" si="92"/>
        <v>117100.23999999993</v>
      </c>
      <c r="AP138" s="14">
        <f t="shared" si="105"/>
        <v>959.90000000000009</v>
      </c>
      <c r="AS138" s="14">
        <f t="shared" si="78"/>
        <v>749.98</v>
      </c>
      <c r="AT138" s="14">
        <f t="shared" si="84"/>
        <v>59517.840000000098</v>
      </c>
      <c r="AU138" s="287">
        <f t="shared" si="85"/>
        <v>1159.2079192120464</v>
      </c>
      <c r="AV138" s="287">
        <f t="shared" si="86"/>
        <v>117971.58368282593</v>
      </c>
    </row>
    <row r="139" spans="1:48" x14ac:dyDescent="0.25">
      <c r="A139" s="519">
        <f t="shared" si="106"/>
        <v>48129</v>
      </c>
      <c r="B139" s="287">
        <f t="shared" si="79"/>
        <v>140085.9499999999</v>
      </c>
      <c r="C139" s="14">
        <f t="shared" si="71"/>
        <v>786.54</v>
      </c>
      <c r="D139" s="14">
        <f t="shared" si="87"/>
        <v>436.33</v>
      </c>
      <c r="E139" s="14">
        <f t="shared" si="72"/>
        <v>350.21</v>
      </c>
      <c r="F139" s="14">
        <f t="shared" si="96"/>
        <v>134.16999999999999</v>
      </c>
      <c r="G139" s="14">
        <f t="shared" si="94"/>
        <v>188.55</v>
      </c>
      <c r="H139" s="14">
        <f t="shared" si="95"/>
        <v>1109.26</v>
      </c>
      <c r="I139" s="287">
        <f t="shared" si="107"/>
        <v>47374.77999999997</v>
      </c>
      <c r="J139" s="287">
        <f t="shared" si="108"/>
        <v>51409.120000000003</v>
      </c>
      <c r="K139" s="287">
        <f t="shared" si="109"/>
        <v>139649.61999999991</v>
      </c>
      <c r="L139" s="428">
        <f t="shared" si="93"/>
        <v>6</v>
      </c>
      <c r="M139" s="428">
        <f t="shared" si="80"/>
        <v>80</v>
      </c>
      <c r="N139" s="287">
        <f t="shared" si="81"/>
        <v>211720.99000000002</v>
      </c>
      <c r="O139" s="287">
        <f t="shared" si="110"/>
        <v>1536.52</v>
      </c>
      <c r="P139" s="287">
        <f t="shared" si="88"/>
        <v>301.48</v>
      </c>
      <c r="Q139" s="287">
        <f t="shared" si="111"/>
        <v>1235.04</v>
      </c>
      <c r="R139" s="287">
        <f t="shared" si="98"/>
        <v>134.16999999999999</v>
      </c>
      <c r="S139" s="287">
        <f t="shared" si="99"/>
        <v>188.55</v>
      </c>
      <c r="T139" s="287">
        <f t="shared" si="97"/>
        <v>1859.24</v>
      </c>
      <c r="U139" s="287">
        <f t="shared" si="89"/>
        <v>19530.490000000009</v>
      </c>
      <c r="V139" s="287">
        <f t="shared" si="90"/>
        <v>104927.63000000002</v>
      </c>
      <c r="W139" s="287">
        <f t="shared" si="112"/>
        <v>211419.51</v>
      </c>
      <c r="X139" s="519">
        <f t="shared" si="82"/>
        <v>48129</v>
      </c>
      <c r="Y139" s="287">
        <f t="shared" si="113"/>
        <v>240396.97999999984</v>
      </c>
      <c r="Z139" s="511">
        <f t="shared" si="74"/>
        <v>7.0000000000000007E-2</v>
      </c>
      <c r="AA139" s="287">
        <f t="shared" si="75"/>
        <v>1746.44</v>
      </c>
      <c r="AB139" s="287">
        <f t="shared" si="114"/>
        <v>344.12000000000012</v>
      </c>
      <c r="AC139" s="287">
        <f t="shared" si="76"/>
        <v>1402.32</v>
      </c>
      <c r="AD139" s="287">
        <f t="shared" si="100"/>
        <v>134.16999999999999</v>
      </c>
      <c r="AE139" s="287">
        <f t="shared" si="101"/>
        <v>188.55</v>
      </c>
      <c r="AF139" s="287">
        <f t="shared" si="115"/>
        <v>2069.1600000000003</v>
      </c>
      <c r="AG139" s="287">
        <f t="shared" si="116"/>
        <v>35895.94</v>
      </c>
      <c r="AH139" s="287">
        <f t="shared" si="117"/>
        <v>73747.7</v>
      </c>
      <c r="AI139" s="530">
        <f t="shared" si="102"/>
        <v>14814.48000000001</v>
      </c>
      <c r="AJ139" s="530">
        <f t="shared" si="91"/>
        <v>-28633.349999999831</v>
      </c>
      <c r="AK139" s="530">
        <f t="shared" si="103"/>
        <v>-13818.869999999821</v>
      </c>
      <c r="AL139" s="287">
        <f t="shared" si="118"/>
        <v>240052.85999999984</v>
      </c>
      <c r="AM139" s="428">
        <f t="shared" si="83"/>
        <v>6</v>
      </c>
      <c r="AN139" s="14">
        <f t="shared" si="104"/>
        <v>749.98</v>
      </c>
      <c r="AO139" s="14">
        <f t="shared" si="92"/>
        <v>117235.08999999995</v>
      </c>
      <c r="AP139" s="14">
        <f t="shared" si="105"/>
        <v>959.90000000000009</v>
      </c>
      <c r="AS139" s="14">
        <f t="shared" si="78"/>
        <v>749.98</v>
      </c>
      <c r="AT139" s="14">
        <f t="shared" si="84"/>
        <v>60267.820000000102</v>
      </c>
      <c r="AU139" s="287">
        <f t="shared" si="85"/>
        <v>1163.0719456094196</v>
      </c>
      <c r="AV139" s="287">
        <f t="shared" si="86"/>
        <v>119134.65562843536</v>
      </c>
    </row>
    <row r="140" spans="1:48" x14ac:dyDescent="0.25">
      <c r="A140" s="519">
        <f t="shared" si="106"/>
        <v>48159</v>
      </c>
      <c r="B140" s="287">
        <f t="shared" si="79"/>
        <v>139649.61999999991</v>
      </c>
      <c r="C140" s="14">
        <f t="shared" si="71"/>
        <v>786.54</v>
      </c>
      <c r="D140" s="14">
        <f t="shared" si="87"/>
        <v>437.41999999999996</v>
      </c>
      <c r="E140" s="14">
        <f t="shared" si="72"/>
        <v>349.12</v>
      </c>
      <c r="F140" s="14">
        <f t="shared" si="96"/>
        <v>134.16999999999999</v>
      </c>
      <c r="G140" s="14">
        <f t="shared" si="94"/>
        <v>188.55</v>
      </c>
      <c r="H140" s="14">
        <f t="shared" si="95"/>
        <v>1109.26</v>
      </c>
      <c r="I140" s="287">
        <f t="shared" si="107"/>
        <v>47812.199999999968</v>
      </c>
      <c r="J140" s="287">
        <f t="shared" si="108"/>
        <v>51758.240000000005</v>
      </c>
      <c r="K140" s="287">
        <f t="shared" si="109"/>
        <v>139212.1999999999</v>
      </c>
      <c r="L140" s="428">
        <f t="shared" si="93"/>
        <v>6</v>
      </c>
      <c r="M140" s="428">
        <f t="shared" si="80"/>
        <v>81</v>
      </c>
      <c r="N140" s="287">
        <f t="shared" si="81"/>
        <v>211419.51</v>
      </c>
      <c r="O140" s="287">
        <f t="shared" si="110"/>
        <v>1536.52</v>
      </c>
      <c r="P140" s="287">
        <f t="shared" si="88"/>
        <v>303.24</v>
      </c>
      <c r="Q140" s="287">
        <f t="shared" si="111"/>
        <v>1233.28</v>
      </c>
      <c r="R140" s="287">
        <f t="shared" si="98"/>
        <v>134.16999999999999</v>
      </c>
      <c r="S140" s="287">
        <f t="shared" si="99"/>
        <v>188.55</v>
      </c>
      <c r="T140" s="287">
        <f t="shared" si="97"/>
        <v>1859.24</v>
      </c>
      <c r="U140" s="287">
        <f t="shared" si="89"/>
        <v>19833.73000000001</v>
      </c>
      <c r="V140" s="287">
        <f t="shared" si="90"/>
        <v>106160.91000000002</v>
      </c>
      <c r="W140" s="287">
        <f t="shared" si="112"/>
        <v>211116.27000000002</v>
      </c>
      <c r="X140" s="519">
        <f t="shared" si="82"/>
        <v>48159</v>
      </c>
      <c r="Y140" s="287">
        <f t="shared" si="113"/>
        <v>240052.85999999984</v>
      </c>
      <c r="Z140" s="511">
        <f t="shared" si="74"/>
        <v>7.0000000000000007E-2</v>
      </c>
      <c r="AA140" s="287">
        <f t="shared" si="75"/>
        <v>1746.44</v>
      </c>
      <c r="AB140" s="287">
        <f t="shared" si="114"/>
        <v>346.13000000000011</v>
      </c>
      <c r="AC140" s="287">
        <f t="shared" si="76"/>
        <v>1400.31</v>
      </c>
      <c r="AD140" s="287">
        <f t="shared" si="100"/>
        <v>134.16999999999999</v>
      </c>
      <c r="AE140" s="287">
        <f t="shared" si="101"/>
        <v>188.55</v>
      </c>
      <c r="AF140" s="287">
        <f t="shared" si="115"/>
        <v>2069.1600000000003</v>
      </c>
      <c r="AG140" s="287">
        <f t="shared" si="116"/>
        <v>36242.07</v>
      </c>
      <c r="AH140" s="287">
        <f t="shared" si="117"/>
        <v>75148.009999999995</v>
      </c>
      <c r="AI140" s="530">
        <f t="shared" si="102"/>
        <v>14604.56000000001</v>
      </c>
      <c r="AJ140" s="530">
        <f t="shared" si="91"/>
        <v>-28590.459999999817</v>
      </c>
      <c r="AK140" s="530">
        <f t="shared" si="103"/>
        <v>-13985.899999999807</v>
      </c>
      <c r="AL140" s="287">
        <f t="shared" si="118"/>
        <v>239706.72999999984</v>
      </c>
      <c r="AM140" s="428">
        <f t="shared" si="83"/>
        <v>6</v>
      </c>
      <c r="AN140" s="14">
        <f t="shared" si="104"/>
        <v>749.98</v>
      </c>
      <c r="AO140" s="14">
        <f t="shared" si="92"/>
        <v>117369.26999999993</v>
      </c>
      <c r="AP140" s="14">
        <f t="shared" si="105"/>
        <v>959.90000000000009</v>
      </c>
      <c r="AS140" s="14">
        <f t="shared" si="78"/>
        <v>749.98</v>
      </c>
      <c r="AT140" s="14">
        <f t="shared" si="84"/>
        <v>61017.800000000105</v>
      </c>
      <c r="AU140" s="287">
        <f t="shared" si="85"/>
        <v>1166.9488520947846</v>
      </c>
      <c r="AV140" s="287">
        <f t="shared" si="86"/>
        <v>120301.60448053014</v>
      </c>
    </row>
    <row r="141" spans="1:48" x14ac:dyDescent="0.25">
      <c r="A141" s="519">
        <f t="shared" si="106"/>
        <v>48189</v>
      </c>
      <c r="B141" s="287">
        <f t="shared" si="79"/>
        <v>139212.1999999999</v>
      </c>
      <c r="C141" s="14">
        <f t="shared" si="71"/>
        <v>786.54</v>
      </c>
      <c r="D141" s="14">
        <f t="shared" si="87"/>
        <v>438.51</v>
      </c>
      <c r="E141" s="14">
        <f t="shared" si="72"/>
        <v>348.03</v>
      </c>
      <c r="F141" s="14">
        <f t="shared" si="96"/>
        <v>134.16999999999999</v>
      </c>
      <c r="G141" s="14">
        <f t="shared" si="94"/>
        <v>188.55</v>
      </c>
      <c r="H141" s="14">
        <f t="shared" si="95"/>
        <v>1109.26</v>
      </c>
      <c r="I141" s="287">
        <f t="shared" si="107"/>
        <v>48250.70999999997</v>
      </c>
      <c r="J141" s="287">
        <f t="shared" si="108"/>
        <v>52106.270000000004</v>
      </c>
      <c r="K141" s="287">
        <f t="shared" si="109"/>
        <v>138773.68999999989</v>
      </c>
      <c r="L141" s="428">
        <f t="shared" si="93"/>
        <v>6</v>
      </c>
      <c r="M141" s="428">
        <f t="shared" si="80"/>
        <v>82</v>
      </c>
      <c r="N141" s="287">
        <f t="shared" si="81"/>
        <v>211116.27000000002</v>
      </c>
      <c r="O141" s="287">
        <f t="shared" si="110"/>
        <v>1536.52</v>
      </c>
      <c r="P141" s="287">
        <f t="shared" si="88"/>
        <v>305.01</v>
      </c>
      <c r="Q141" s="287">
        <f t="shared" si="111"/>
        <v>1231.51</v>
      </c>
      <c r="R141" s="287">
        <f t="shared" si="98"/>
        <v>134.16999999999999</v>
      </c>
      <c r="S141" s="287">
        <f t="shared" si="99"/>
        <v>188.55</v>
      </c>
      <c r="T141" s="287">
        <f t="shared" si="97"/>
        <v>1859.24</v>
      </c>
      <c r="U141" s="287">
        <f t="shared" si="89"/>
        <v>20138.740000000009</v>
      </c>
      <c r="V141" s="287">
        <f t="shared" si="90"/>
        <v>107392.42000000001</v>
      </c>
      <c r="W141" s="287">
        <f t="shared" si="112"/>
        <v>210811.26</v>
      </c>
      <c r="X141" s="519">
        <f t="shared" si="82"/>
        <v>48189</v>
      </c>
      <c r="Y141" s="287">
        <f t="shared" si="113"/>
        <v>239706.72999999984</v>
      </c>
      <c r="Z141" s="511">
        <f t="shared" si="74"/>
        <v>7.0000000000000007E-2</v>
      </c>
      <c r="AA141" s="287">
        <f t="shared" si="75"/>
        <v>1746.44</v>
      </c>
      <c r="AB141" s="287">
        <f t="shared" si="114"/>
        <v>348.15000000000009</v>
      </c>
      <c r="AC141" s="287">
        <f t="shared" si="76"/>
        <v>1398.29</v>
      </c>
      <c r="AD141" s="287">
        <f t="shared" si="100"/>
        <v>134.16999999999999</v>
      </c>
      <c r="AE141" s="287">
        <f t="shared" si="101"/>
        <v>188.55</v>
      </c>
      <c r="AF141" s="287">
        <f t="shared" si="115"/>
        <v>2069.1600000000003</v>
      </c>
      <c r="AG141" s="287">
        <f t="shared" si="116"/>
        <v>36590.22</v>
      </c>
      <c r="AH141" s="287">
        <f t="shared" si="117"/>
        <v>76546.299999999988</v>
      </c>
      <c r="AI141" s="530">
        <f t="shared" si="102"/>
        <v>14394.64000000001</v>
      </c>
      <c r="AJ141" s="530">
        <f t="shared" si="91"/>
        <v>-28547.319999999832</v>
      </c>
      <c r="AK141" s="530">
        <f t="shared" si="103"/>
        <v>-14152.679999999822</v>
      </c>
      <c r="AL141" s="287">
        <f t="shared" si="118"/>
        <v>239358.57999999984</v>
      </c>
      <c r="AM141" s="428">
        <f t="shared" si="83"/>
        <v>6</v>
      </c>
      <c r="AN141" s="14">
        <f t="shared" si="104"/>
        <v>749.98</v>
      </c>
      <c r="AO141" s="14">
        <f t="shared" si="92"/>
        <v>117502.76999999995</v>
      </c>
      <c r="AP141" s="14">
        <f t="shared" si="105"/>
        <v>959.90000000000009</v>
      </c>
      <c r="AS141" s="14">
        <f t="shared" si="78"/>
        <v>749.98</v>
      </c>
      <c r="AT141" s="14">
        <f t="shared" si="84"/>
        <v>61767.780000000108</v>
      </c>
      <c r="AU141" s="287">
        <f t="shared" si="85"/>
        <v>1170.8386816017671</v>
      </c>
      <c r="AV141" s="287">
        <f t="shared" si="86"/>
        <v>121472.44316213191</v>
      </c>
    </row>
    <row r="142" spans="1:48" x14ac:dyDescent="0.25">
      <c r="A142" s="519">
        <f t="shared" si="106"/>
        <v>48219</v>
      </c>
      <c r="B142" s="287">
        <f t="shared" si="79"/>
        <v>138773.68999999989</v>
      </c>
      <c r="C142" s="14">
        <f t="shared" si="71"/>
        <v>786.54</v>
      </c>
      <c r="D142" s="14">
        <f t="shared" si="87"/>
        <v>439.60999999999996</v>
      </c>
      <c r="E142" s="14">
        <f t="shared" si="72"/>
        <v>346.93</v>
      </c>
      <c r="F142" s="14">
        <f t="shared" si="96"/>
        <v>134.16999999999999</v>
      </c>
      <c r="G142" s="14">
        <f t="shared" si="94"/>
        <v>188.55</v>
      </c>
      <c r="H142" s="14">
        <f t="shared" si="95"/>
        <v>1109.26</v>
      </c>
      <c r="I142" s="287">
        <f t="shared" si="107"/>
        <v>48690.319999999971</v>
      </c>
      <c r="J142" s="287">
        <f t="shared" si="108"/>
        <v>52453.200000000004</v>
      </c>
      <c r="K142" s="287">
        <f t="shared" si="109"/>
        <v>138334.0799999999</v>
      </c>
      <c r="L142" s="428">
        <f t="shared" si="93"/>
        <v>6</v>
      </c>
      <c r="M142" s="428">
        <f t="shared" si="80"/>
        <v>83</v>
      </c>
      <c r="N142" s="287">
        <f t="shared" si="81"/>
        <v>210811.26</v>
      </c>
      <c r="O142" s="287">
        <f t="shared" si="110"/>
        <v>1536.52</v>
      </c>
      <c r="P142" s="287">
        <f t="shared" si="88"/>
        <v>306.78999999999996</v>
      </c>
      <c r="Q142" s="287">
        <f t="shared" si="111"/>
        <v>1229.73</v>
      </c>
      <c r="R142" s="287">
        <f t="shared" si="98"/>
        <v>134.16999999999999</v>
      </c>
      <c r="S142" s="287">
        <f t="shared" si="99"/>
        <v>188.55</v>
      </c>
      <c r="T142" s="287">
        <f t="shared" si="97"/>
        <v>1859.24</v>
      </c>
      <c r="U142" s="287">
        <f t="shared" si="89"/>
        <v>20445.53000000001</v>
      </c>
      <c r="V142" s="287">
        <f t="shared" si="90"/>
        <v>108622.15000000001</v>
      </c>
      <c r="W142" s="287">
        <f t="shared" si="112"/>
        <v>210504.47</v>
      </c>
      <c r="X142" s="519">
        <f t="shared" si="82"/>
        <v>48219</v>
      </c>
      <c r="Y142" s="287">
        <f t="shared" si="113"/>
        <v>239358.57999999984</v>
      </c>
      <c r="Z142" s="511">
        <f t="shared" si="74"/>
        <v>7.0000000000000007E-2</v>
      </c>
      <c r="AA142" s="287">
        <f t="shared" si="75"/>
        <v>1746.44</v>
      </c>
      <c r="AB142" s="287">
        <f t="shared" si="114"/>
        <v>350.18000000000006</v>
      </c>
      <c r="AC142" s="287">
        <f t="shared" si="76"/>
        <v>1396.26</v>
      </c>
      <c r="AD142" s="287">
        <f t="shared" si="100"/>
        <v>134.16999999999999</v>
      </c>
      <c r="AE142" s="287">
        <f t="shared" si="101"/>
        <v>188.55</v>
      </c>
      <c r="AF142" s="287">
        <f t="shared" si="115"/>
        <v>2069.1600000000003</v>
      </c>
      <c r="AG142" s="287">
        <f t="shared" si="116"/>
        <v>36940.400000000001</v>
      </c>
      <c r="AH142" s="287">
        <f t="shared" si="117"/>
        <v>77942.559999999983</v>
      </c>
      <c r="AI142" s="530">
        <f t="shared" si="102"/>
        <v>14184.72000000001</v>
      </c>
      <c r="AJ142" s="530">
        <f t="shared" si="91"/>
        <v>-28503.929999999847</v>
      </c>
      <c r="AK142" s="530">
        <f t="shared" si="103"/>
        <v>-14319.209999999837</v>
      </c>
      <c r="AL142" s="287">
        <f t="shared" si="118"/>
        <v>239008.39999999985</v>
      </c>
      <c r="AM142" s="428">
        <f t="shared" si="83"/>
        <v>6</v>
      </c>
      <c r="AN142" s="14">
        <f t="shared" si="104"/>
        <v>749.98</v>
      </c>
      <c r="AO142" s="14">
        <f t="shared" si="92"/>
        <v>117635.58999999995</v>
      </c>
      <c r="AP142" s="14">
        <f t="shared" si="105"/>
        <v>959.90000000000009</v>
      </c>
      <c r="AS142" s="14">
        <f t="shared" si="78"/>
        <v>749.98</v>
      </c>
      <c r="AT142" s="14">
        <f t="shared" si="84"/>
        <v>62517.760000000111</v>
      </c>
      <c r="AU142" s="287">
        <f t="shared" si="85"/>
        <v>1174.7414772071065</v>
      </c>
      <c r="AV142" s="287">
        <f t="shared" si="86"/>
        <v>122647.18463933902</v>
      </c>
    </row>
    <row r="143" spans="1:48" x14ac:dyDescent="0.25">
      <c r="A143" s="519">
        <f t="shared" si="106"/>
        <v>48249</v>
      </c>
      <c r="B143" s="287">
        <f t="shared" si="79"/>
        <v>138334.0799999999</v>
      </c>
      <c r="C143" s="14">
        <f t="shared" ref="C143:C206" si="119">IF(+$K142&lt;=0,0,$C$5)</f>
        <v>786.54</v>
      </c>
      <c r="D143" s="14">
        <f t="shared" si="87"/>
        <v>440.7</v>
      </c>
      <c r="E143" s="14">
        <f t="shared" ref="E143:E206" si="120">ROUND($B143*($C$3/12), 2)</f>
        <v>345.84</v>
      </c>
      <c r="F143" s="14">
        <f t="shared" si="96"/>
        <v>134.16999999999999</v>
      </c>
      <c r="G143" s="14">
        <f t="shared" si="94"/>
        <v>188.55</v>
      </c>
      <c r="H143" s="14">
        <f t="shared" si="95"/>
        <v>1109.26</v>
      </c>
      <c r="I143" s="287">
        <f t="shared" si="107"/>
        <v>49131.019999999968</v>
      </c>
      <c r="J143" s="287">
        <f t="shared" si="108"/>
        <v>52799.040000000001</v>
      </c>
      <c r="K143" s="287">
        <f t="shared" si="109"/>
        <v>137893.37999999989</v>
      </c>
      <c r="L143" s="428">
        <f t="shared" si="93"/>
        <v>7</v>
      </c>
      <c r="M143" s="428">
        <f t="shared" si="80"/>
        <v>84</v>
      </c>
      <c r="N143" s="287">
        <f t="shared" si="81"/>
        <v>210504.47</v>
      </c>
      <c r="O143" s="287">
        <f t="shared" si="110"/>
        <v>1536.52</v>
      </c>
      <c r="P143" s="287">
        <f t="shared" si="88"/>
        <v>308.57999999999993</v>
      </c>
      <c r="Q143" s="287">
        <f t="shared" si="111"/>
        <v>1227.94</v>
      </c>
      <c r="R143" s="287">
        <f t="shared" si="98"/>
        <v>134.16999999999999</v>
      </c>
      <c r="S143" s="287">
        <f t="shared" si="99"/>
        <v>188.55</v>
      </c>
      <c r="T143" s="287">
        <f t="shared" si="97"/>
        <v>1859.24</v>
      </c>
      <c r="U143" s="287">
        <f t="shared" si="89"/>
        <v>20754.110000000008</v>
      </c>
      <c r="V143" s="287">
        <f t="shared" si="90"/>
        <v>109850.09000000001</v>
      </c>
      <c r="W143" s="287">
        <f t="shared" si="112"/>
        <v>210195.89</v>
      </c>
      <c r="X143" s="519">
        <f t="shared" si="82"/>
        <v>48249</v>
      </c>
      <c r="Y143" s="287">
        <f t="shared" si="113"/>
        <v>239008.39999999985</v>
      </c>
      <c r="Z143" s="511">
        <f t="shared" ref="Z143:Z206" si="121">IF(L143&gt;4,$AA$9,$AA$8)</f>
        <v>7.0000000000000007E-2</v>
      </c>
      <c r="AA143" s="287">
        <f t="shared" ref="AA143:AA206" si="122">IF($O$9&lt;=$A143,IF(+AL142&lt;=0,0,IF(Z143=$AA$8,$Z$8,$Z$9)),0)</f>
        <v>1746.44</v>
      </c>
      <c r="AB143" s="287">
        <f t="shared" si="114"/>
        <v>352.22</v>
      </c>
      <c r="AC143" s="287">
        <f t="shared" ref="AC143:AC206" si="123">IF($O$9&lt;=$A143,ROUND(Y143*(Z143/12),2),0)</f>
        <v>1394.22</v>
      </c>
      <c r="AD143" s="287">
        <f t="shared" si="100"/>
        <v>134.16999999999999</v>
      </c>
      <c r="AE143" s="287">
        <f t="shared" si="101"/>
        <v>188.55</v>
      </c>
      <c r="AF143" s="287">
        <f t="shared" si="115"/>
        <v>2069.1600000000003</v>
      </c>
      <c r="AG143" s="287">
        <f t="shared" si="116"/>
        <v>37292.620000000003</v>
      </c>
      <c r="AH143" s="287">
        <f t="shared" si="117"/>
        <v>79336.779999999984</v>
      </c>
      <c r="AI143" s="530">
        <f t="shared" si="102"/>
        <v>13974.80000000001</v>
      </c>
      <c r="AJ143" s="530">
        <f t="shared" si="91"/>
        <v>-28460.289999999834</v>
      </c>
      <c r="AK143" s="530">
        <f t="shared" si="103"/>
        <v>-14485.489999999823</v>
      </c>
      <c r="AL143" s="287">
        <f t="shared" si="118"/>
        <v>238656.17999999985</v>
      </c>
      <c r="AM143" s="428">
        <f t="shared" si="83"/>
        <v>7</v>
      </c>
      <c r="AN143" s="14">
        <f t="shared" si="104"/>
        <v>749.98</v>
      </c>
      <c r="AO143" s="14">
        <f t="shared" si="92"/>
        <v>117767.70999999993</v>
      </c>
      <c r="AP143" s="14">
        <f t="shared" si="105"/>
        <v>959.90000000000009</v>
      </c>
      <c r="AS143" s="14">
        <f t="shared" ref="AS143:AS206" si="124">+AN143-AR143</f>
        <v>749.98</v>
      </c>
      <c r="AT143" s="14">
        <f t="shared" si="84"/>
        <v>63267.740000000114</v>
      </c>
      <c r="AU143" s="287">
        <f t="shared" si="85"/>
        <v>1178.6572821311299</v>
      </c>
      <c r="AV143" s="287">
        <f t="shared" si="86"/>
        <v>123825.84192147014</v>
      </c>
    </row>
    <row r="144" spans="1:48" x14ac:dyDescent="0.25">
      <c r="A144" s="519">
        <f t="shared" si="106"/>
        <v>48279</v>
      </c>
      <c r="B144" s="287">
        <f t="shared" ref="B144:B207" si="125">IF(+K143&lt;0,0,+K143)</f>
        <v>137893.37999999989</v>
      </c>
      <c r="C144" s="14">
        <f t="shared" si="119"/>
        <v>786.54</v>
      </c>
      <c r="D144" s="14">
        <f t="shared" si="87"/>
        <v>441.80999999999995</v>
      </c>
      <c r="E144" s="14">
        <f t="shared" si="120"/>
        <v>344.73</v>
      </c>
      <c r="F144" s="14">
        <f t="shared" si="96"/>
        <v>134.16999999999999</v>
      </c>
      <c r="G144" s="14">
        <f t="shared" si="94"/>
        <v>188.55</v>
      </c>
      <c r="H144" s="14">
        <f t="shared" si="95"/>
        <v>1109.26</v>
      </c>
      <c r="I144" s="287">
        <f t="shared" si="107"/>
        <v>49572.829999999965</v>
      </c>
      <c r="J144" s="287">
        <f t="shared" si="108"/>
        <v>53143.770000000004</v>
      </c>
      <c r="K144" s="287">
        <f t="shared" si="109"/>
        <v>137451.56999999989</v>
      </c>
      <c r="L144" s="428">
        <f t="shared" si="93"/>
        <v>7</v>
      </c>
      <c r="M144" s="428">
        <f t="shared" ref="M144:M207" si="126">IF(N144&lt;&gt;"",IF(N144=$O$5,0,+M143+1),0)</f>
        <v>85</v>
      </c>
      <c r="N144" s="287">
        <f t="shared" ref="N144:N207" si="127">IF(+W143&lt;0,0,+W143)</f>
        <v>210195.89</v>
      </c>
      <c r="O144" s="287">
        <f t="shared" si="110"/>
        <v>1536.52</v>
      </c>
      <c r="P144" s="287">
        <f t="shared" si="88"/>
        <v>310.37999999999988</v>
      </c>
      <c r="Q144" s="287">
        <f t="shared" si="111"/>
        <v>1226.1400000000001</v>
      </c>
      <c r="R144" s="287">
        <f t="shared" si="98"/>
        <v>134.16999999999999</v>
      </c>
      <c r="S144" s="287">
        <f t="shared" si="99"/>
        <v>188.55</v>
      </c>
      <c r="T144" s="287">
        <f t="shared" si="97"/>
        <v>1859.24</v>
      </c>
      <c r="U144" s="287">
        <f t="shared" si="89"/>
        <v>21064.490000000009</v>
      </c>
      <c r="V144" s="287">
        <f t="shared" si="90"/>
        <v>111076.23000000001</v>
      </c>
      <c r="W144" s="287">
        <f t="shared" si="112"/>
        <v>209885.51</v>
      </c>
      <c r="X144" s="519">
        <f t="shared" ref="X144:X207" si="128">+A144</f>
        <v>48279</v>
      </c>
      <c r="Y144" s="287">
        <f t="shared" si="113"/>
        <v>238656.17999999985</v>
      </c>
      <c r="Z144" s="511">
        <f t="shared" si="121"/>
        <v>7.0000000000000007E-2</v>
      </c>
      <c r="AA144" s="287">
        <f t="shared" si="122"/>
        <v>1746.44</v>
      </c>
      <c r="AB144" s="287">
        <f t="shared" si="114"/>
        <v>354.28</v>
      </c>
      <c r="AC144" s="287">
        <f t="shared" si="123"/>
        <v>1392.16</v>
      </c>
      <c r="AD144" s="287">
        <f t="shared" si="100"/>
        <v>134.16999999999999</v>
      </c>
      <c r="AE144" s="287">
        <f t="shared" si="101"/>
        <v>188.55</v>
      </c>
      <c r="AF144" s="287">
        <f t="shared" si="115"/>
        <v>2069.1600000000003</v>
      </c>
      <c r="AG144" s="287">
        <f t="shared" si="116"/>
        <v>37646.9</v>
      </c>
      <c r="AH144" s="287">
        <f t="shared" si="117"/>
        <v>80728.939999999988</v>
      </c>
      <c r="AI144" s="530">
        <f t="shared" si="102"/>
        <v>13764.88000000001</v>
      </c>
      <c r="AJ144" s="530">
        <f t="shared" si="91"/>
        <v>-28416.389999999839</v>
      </c>
      <c r="AK144" s="530">
        <f t="shared" si="103"/>
        <v>-14651.509999999829</v>
      </c>
      <c r="AL144" s="287">
        <f t="shared" si="118"/>
        <v>238301.89999999985</v>
      </c>
      <c r="AM144" s="428">
        <f t="shared" ref="AM144:AM207" si="129">+L144</f>
        <v>7</v>
      </c>
      <c r="AN144" s="14">
        <f t="shared" si="104"/>
        <v>749.98</v>
      </c>
      <c r="AO144" s="14">
        <f t="shared" si="92"/>
        <v>117899.13999999994</v>
      </c>
      <c r="AP144" s="14">
        <f t="shared" si="105"/>
        <v>959.90000000000009</v>
      </c>
      <c r="AS144" s="14">
        <f t="shared" si="124"/>
        <v>749.98</v>
      </c>
      <c r="AT144" s="14">
        <f t="shared" ref="AT144:AT207" si="130">IF(W144&lt;=0,0,+AS144+AT143)</f>
        <v>64017.720000000118</v>
      </c>
      <c r="AU144" s="287">
        <f t="shared" ref="AU144:AU207" si="131">IF(W144&lt;=0,0,+($O$5+AV143)*$AQ$2/12)</f>
        <v>1182.5861397382339</v>
      </c>
      <c r="AV144" s="287">
        <f t="shared" ref="AV144:AV207" si="132">IF(W144&lt;=0,0,+AV143+AU144)</f>
        <v>125008.42806120838</v>
      </c>
    </row>
    <row r="145" spans="1:48" x14ac:dyDescent="0.25">
      <c r="A145" s="519">
        <f t="shared" si="106"/>
        <v>48309</v>
      </c>
      <c r="B145" s="287">
        <f t="shared" si="125"/>
        <v>137451.56999999989</v>
      </c>
      <c r="C145" s="14">
        <f t="shared" si="119"/>
        <v>786.54</v>
      </c>
      <c r="D145" s="14">
        <f t="shared" ref="D145:D208" si="133">+C145-E145</f>
        <v>442.90999999999997</v>
      </c>
      <c r="E145" s="14">
        <f t="shared" si="120"/>
        <v>343.63</v>
      </c>
      <c r="F145" s="14">
        <f t="shared" si="96"/>
        <v>134.16999999999999</v>
      </c>
      <c r="G145" s="14">
        <f t="shared" si="94"/>
        <v>188.55</v>
      </c>
      <c r="H145" s="14">
        <f t="shared" si="95"/>
        <v>1109.26</v>
      </c>
      <c r="I145" s="287">
        <f t="shared" si="107"/>
        <v>50015.739999999969</v>
      </c>
      <c r="J145" s="287">
        <f t="shared" si="108"/>
        <v>53487.4</v>
      </c>
      <c r="K145" s="287">
        <f t="shared" si="109"/>
        <v>137008.65999999989</v>
      </c>
      <c r="L145" s="428">
        <f t="shared" si="93"/>
        <v>7</v>
      </c>
      <c r="M145" s="428">
        <f t="shared" si="126"/>
        <v>86</v>
      </c>
      <c r="N145" s="287">
        <f t="shared" si="127"/>
        <v>209885.51</v>
      </c>
      <c r="O145" s="287">
        <f t="shared" si="110"/>
        <v>1536.52</v>
      </c>
      <c r="P145" s="287">
        <f t="shared" ref="P145:P208" si="134">+O145-Q145</f>
        <v>312.19000000000005</v>
      </c>
      <c r="Q145" s="287">
        <f t="shared" si="111"/>
        <v>1224.33</v>
      </c>
      <c r="R145" s="287">
        <f t="shared" si="98"/>
        <v>134.16999999999999</v>
      </c>
      <c r="S145" s="287">
        <f t="shared" si="99"/>
        <v>188.55</v>
      </c>
      <c r="T145" s="287">
        <f t="shared" si="97"/>
        <v>1859.24</v>
      </c>
      <c r="U145" s="287">
        <f t="shared" ref="U145:U208" si="135">+P145+U144</f>
        <v>21376.680000000008</v>
      </c>
      <c r="V145" s="287">
        <f t="shared" ref="V145:V208" si="136">+V144+Q145</f>
        <v>112300.56000000001</v>
      </c>
      <c r="W145" s="287">
        <f t="shared" si="112"/>
        <v>209573.32</v>
      </c>
      <c r="X145" s="519">
        <f t="shared" si="128"/>
        <v>48309</v>
      </c>
      <c r="Y145" s="287">
        <f t="shared" si="113"/>
        <v>238301.89999999985</v>
      </c>
      <c r="Z145" s="511">
        <f t="shared" si="121"/>
        <v>7.0000000000000007E-2</v>
      </c>
      <c r="AA145" s="287">
        <f t="shared" si="122"/>
        <v>1746.44</v>
      </c>
      <c r="AB145" s="287">
        <f t="shared" si="114"/>
        <v>356.35000000000014</v>
      </c>
      <c r="AC145" s="287">
        <f t="shared" si="123"/>
        <v>1390.09</v>
      </c>
      <c r="AD145" s="287">
        <f t="shared" si="100"/>
        <v>134.16999999999999</v>
      </c>
      <c r="AE145" s="287">
        <f t="shared" si="101"/>
        <v>188.55</v>
      </c>
      <c r="AF145" s="287">
        <f t="shared" si="115"/>
        <v>2069.1600000000003</v>
      </c>
      <c r="AG145" s="287">
        <f t="shared" si="116"/>
        <v>38003.25</v>
      </c>
      <c r="AH145" s="287">
        <f t="shared" si="117"/>
        <v>82119.029999999984</v>
      </c>
      <c r="AI145" s="530">
        <f t="shared" si="102"/>
        <v>13554.96000000001</v>
      </c>
      <c r="AJ145" s="530">
        <f t="shared" si="91"/>
        <v>-28372.229999999836</v>
      </c>
      <c r="AK145" s="530">
        <f t="shared" si="103"/>
        <v>-14817.269999999826</v>
      </c>
      <c r="AL145" s="287">
        <f t="shared" si="118"/>
        <v>237945.54999999984</v>
      </c>
      <c r="AM145" s="428">
        <f t="shared" si="129"/>
        <v>7</v>
      </c>
      <c r="AN145" s="14">
        <f t="shared" si="104"/>
        <v>749.98</v>
      </c>
      <c r="AO145" s="14">
        <f t="shared" si="92"/>
        <v>118029.85999999994</v>
      </c>
      <c r="AP145" s="14">
        <f t="shared" si="105"/>
        <v>959.90000000000009</v>
      </c>
      <c r="AS145" s="14">
        <f t="shared" si="124"/>
        <v>749.98</v>
      </c>
      <c r="AT145" s="14">
        <f t="shared" si="130"/>
        <v>64767.700000000121</v>
      </c>
      <c r="AU145" s="287">
        <f t="shared" si="131"/>
        <v>1186.5280935373614</v>
      </c>
      <c r="AV145" s="287">
        <f t="shared" si="132"/>
        <v>126194.95615474574</v>
      </c>
    </row>
    <row r="146" spans="1:48" ht="15.75" thickBot="1" x14ac:dyDescent="0.3">
      <c r="A146" s="522">
        <f t="shared" si="106"/>
        <v>48339</v>
      </c>
      <c r="B146" s="348">
        <f t="shared" si="125"/>
        <v>137008.65999999989</v>
      </c>
      <c r="C146" s="21">
        <f t="shared" si="119"/>
        <v>786.54</v>
      </c>
      <c r="D146" s="21">
        <f t="shared" si="133"/>
        <v>444.02</v>
      </c>
      <c r="E146" s="21">
        <f t="shared" si="120"/>
        <v>342.52</v>
      </c>
      <c r="F146" s="21">
        <f t="shared" si="96"/>
        <v>134.16999999999999</v>
      </c>
      <c r="G146" s="21">
        <f t="shared" si="94"/>
        <v>188.55</v>
      </c>
      <c r="H146" s="21">
        <f t="shared" si="95"/>
        <v>1109.26</v>
      </c>
      <c r="I146" s="348">
        <f t="shared" si="107"/>
        <v>50459.759999999966</v>
      </c>
      <c r="J146" s="348">
        <f t="shared" si="108"/>
        <v>53829.919999999998</v>
      </c>
      <c r="K146" s="348">
        <f t="shared" si="109"/>
        <v>136564.6399999999</v>
      </c>
      <c r="L146" s="429">
        <f t="shared" si="93"/>
        <v>7</v>
      </c>
      <c r="M146" s="429">
        <f t="shared" si="126"/>
        <v>87</v>
      </c>
      <c r="N146" s="348">
        <f t="shared" si="127"/>
        <v>209573.32</v>
      </c>
      <c r="O146" s="348">
        <f t="shared" si="110"/>
        <v>1536.52</v>
      </c>
      <c r="P146" s="348">
        <f t="shared" si="134"/>
        <v>314.01</v>
      </c>
      <c r="Q146" s="348">
        <f t="shared" si="111"/>
        <v>1222.51</v>
      </c>
      <c r="R146" s="348">
        <f t="shared" si="98"/>
        <v>134.16999999999999</v>
      </c>
      <c r="S146" s="348">
        <f t="shared" si="99"/>
        <v>188.55</v>
      </c>
      <c r="T146" s="348">
        <f t="shared" si="97"/>
        <v>1859.24</v>
      </c>
      <c r="U146" s="348">
        <f t="shared" si="135"/>
        <v>21690.690000000006</v>
      </c>
      <c r="V146" s="348">
        <f t="shared" si="136"/>
        <v>113523.07</v>
      </c>
      <c r="W146" s="348">
        <f t="shared" si="112"/>
        <v>209259.31</v>
      </c>
      <c r="X146" s="522">
        <f t="shared" si="128"/>
        <v>48339</v>
      </c>
      <c r="Y146" s="348">
        <f t="shared" si="113"/>
        <v>237945.54999999984</v>
      </c>
      <c r="Z146" s="512">
        <f t="shared" si="121"/>
        <v>7.0000000000000007E-2</v>
      </c>
      <c r="AA146" s="348">
        <f t="shared" si="122"/>
        <v>1746.44</v>
      </c>
      <c r="AB146" s="348">
        <f t="shared" si="114"/>
        <v>358.42000000000007</v>
      </c>
      <c r="AC146" s="348">
        <f t="shared" si="123"/>
        <v>1388.02</v>
      </c>
      <c r="AD146" s="348">
        <f t="shared" si="100"/>
        <v>134.16999999999999</v>
      </c>
      <c r="AE146" s="348">
        <f t="shared" si="101"/>
        <v>188.55</v>
      </c>
      <c r="AF146" s="348">
        <f t="shared" si="115"/>
        <v>2069.1600000000003</v>
      </c>
      <c r="AG146" s="348">
        <f t="shared" si="116"/>
        <v>38361.67</v>
      </c>
      <c r="AH146" s="348">
        <f t="shared" si="117"/>
        <v>83507.049999999988</v>
      </c>
      <c r="AI146" s="531">
        <f t="shared" si="102"/>
        <v>13345.04000000001</v>
      </c>
      <c r="AJ146" s="531">
        <f t="shared" si="91"/>
        <v>-28327.819999999832</v>
      </c>
      <c r="AK146" s="531">
        <f t="shared" si="103"/>
        <v>-14982.779999999822</v>
      </c>
      <c r="AL146" s="348">
        <f t="shared" si="118"/>
        <v>237587.12999999983</v>
      </c>
      <c r="AM146" s="429">
        <f t="shared" si="129"/>
        <v>7</v>
      </c>
      <c r="AN146" s="21">
        <f t="shared" si="104"/>
        <v>749.98</v>
      </c>
      <c r="AO146" s="21">
        <f t="shared" si="92"/>
        <v>118159.86999999994</v>
      </c>
      <c r="AP146" s="21">
        <f t="shared" si="105"/>
        <v>959.90000000000009</v>
      </c>
      <c r="AQ146" s="21"/>
      <c r="AR146" s="23"/>
      <c r="AS146" s="21">
        <f t="shared" si="124"/>
        <v>749.98</v>
      </c>
      <c r="AT146" s="21">
        <f t="shared" si="130"/>
        <v>65517.680000000124</v>
      </c>
      <c r="AU146" s="348">
        <f t="shared" si="131"/>
        <v>1190.4831871824861</v>
      </c>
      <c r="AV146" s="348">
        <f t="shared" si="132"/>
        <v>127385.43934192823</v>
      </c>
    </row>
    <row r="147" spans="1:48" x14ac:dyDescent="0.25">
      <c r="A147" s="519">
        <f t="shared" si="106"/>
        <v>48369</v>
      </c>
      <c r="B147" s="287">
        <f t="shared" si="125"/>
        <v>136564.6399999999</v>
      </c>
      <c r="C147" s="14">
        <f t="shared" si="119"/>
        <v>786.54</v>
      </c>
      <c r="D147" s="14">
        <f t="shared" si="133"/>
        <v>445.12999999999994</v>
      </c>
      <c r="E147" s="14">
        <f t="shared" si="120"/>
        <v>341.41</v>
      </c>
      <c r="F147" s="14">
        <f t="shared" si="96"/>
        <v>134.16999999999999</v>
      </c>
      <c r="G147" s="14">
        <f t="shared" si="94"/>
        <v>188.55</v>
      </c>
      <c r="H147" s="14">
        <f t="shared" si="95"/>
        <v>1109.26</v>
      </c>
      <c r="I147" s="287">
        <f t="shared" si="107"/>
        <v>50904.889999999963</v>
      </c>
      <c r="J147" s="287">
        <f t="shared" si="108"/>
        <v>54171.33</v>
      </c>
      <c r="K147" s="287">
        <f t="shared" si="109"/>
        <v>136119.50999999989</v>
      </c>
      <c r="L147" s="428">
        <f t="shared" si="93"/>
        <v>7</v>
      </c>
      <c r="M147" s="428">
        <f t="shared" si="126"/>
        <v>88</v>
      </c>
      <c r="N147" s="287">
        <f t="shared" si="127"/>
        <v>209259.31</v>
      </c>
      <c r="O147" s="287">
        <f t="shared" si="110"/>
        <v>1536.52</v>
      </c>
      <c r="P147" s="287">
        <f t="shared" si="134"/>
        <v>315.83999999999992</v>
      </c>
      <c r="Q147" s="287">
        <f t="shared" si="111"/>
        <v>1220.68</v>
      </c>
      <c r="R147" s="287">
        <f t="shared" si="98"/>
        <v>134.16999999999999</v>
      </c>
      <c r="S147" s="287">
        <f t="shared" si="99"/>
        <v>188.55</v>
      </c>
      <c r="T147" s="287">
        <f t="shared" si="97"/>
        <v>1859.24</v>
      </c>
      <c r="U147" s="287">
        <f t="shared" si="135"/>
        <v>22006.530000000006</v>
      </c>
      <c r="V147" s="287">
        <f t="shared" si="136"/>
        <v>114743.75</v>
      </c>
      <c r="W147" s="287">
        <f t="shared" si="112"/>
        <v>208943.47</v>
      </c>
      <c r="X147" s="519">
        <f t="shared" si="128"/>
        <v>48369</v>
      </c>
      <c r="Y147" s="287">
        <f t="shared" si="113"/>
        <v>237587.12999999983</v>
      </c>
      <c r="Z147" s="511">
        <f t="shared" si="121"/>
        <v>7.0000000000000007E-2</v>
      </c>
      <c r="AA147" s="287">
        <f t="shared" si="122"/>
        <v>1746.44</v>
      </c>
      <c r="AB147" s="287">
        <f t="shared" si="114"/>
        <v>360.52</v>
      </c>
      <c r="AC147" s="287">
        <f t="shared" si="123"/>
        <v>1385.92</v>
      </c>
      <c r="AD147" s="287">
        <f t="shared" si="100"/>
        <v>134.16999999999999</v>
      </c>
      <c r="AE147" s="287">
        <f t="shared" si="101"/>
        <v>188.55</v>
      </c>
      <c r="AF147" s="287">
        <f t="shared" si="115"/>
        <v>2069.1600000000003</v>
      </c>
      <c r="AG147" s="287">
        <f t="shared" si="116"/>
        <v>38722.189999999995</v>
      </c>
      <c r="AH147" s="287">
        <f t="shared" si="117"/>
        <v>84892.969999999987</v>
      </c>
      <c r="AI147" s="530">
        <f t="shared" si="102"/>
        <v>13135.12000000001</v>
      </c>
      <c r="AJ147" s="530">
        <f t="shared" si="91"/>
        <v>-28283.139999999839</v>
      </c>
      <c r="AK147" s="530">
        <f t="shared" si="103"/>
        <v>-15148.019999999829</v>
      </c>
      <c r="AL147" s="287">
        <f t="shared" si="118"/>
        <v>237226.60999999984</v>
      </c>
      <c r="AM147" s="428">
        <f t="shared" si="129"/>
        <v>7</v>
      </c>
      <c r="AN147" s="14">
        <f t="shared" si="104"/>
        <v>749.98</v>
      </c>
      <c r="AO147" s="14">
        <f t="shared" si="92"/>
        <v>118289.15999999995</v>
      </c>
      <c r="AP147" s="14">
        <f t="shared" si="105"/>
        <v>959.90000000000009</v>
      </c>
      <c r="AS147" s="14">
        <f t="shared" si="124"/>
        <v>749.98</v>
      </c>
      <c r="AT147" s="14">
        <f t="shared" si="130"/>
        <v>66267.66000000012</v>
      </c>
      <c r="AU147" s="287">
        <f t="shared" si="131"/>
        <v>1194.4514644730941</v>
      </c>
      <c r="AV147" s="287">
        <f t="shared" si="132"/>
        <v>128579.89080640132</v>
      </c>
    </row>
    <row r="148" spans="1:48" x14ac:dyDescent="0.25">
      <c r="A148" s="519">
        <f t="shared" si="106"/>
        <v>48399</v>
      </c>
      <c r="B148" s="287">
        <f t="shared" si="125"/>
        <v>136119.50999999989</v>
      </c>
      <c r="C148" s="14">
        <f t="shared" si="119"/>
        <v>786.54</v>
      </c>
      <c r="D148" s="14">
        <f t="shared" si="133"/>
        <v>446.23999999999995</v>
      </c>
      <c r="E148" s="14">
        <f t="shared" si="120"/>
        <v>340.3</v>
      </c>
      <c r="F148" s="14">
        <f t="shared" si="96"/>
        <v>134.16999999999999</v>
      </c>
      <c r="G148" s="14">
        <f t="shared" si="94"/>
        <v>188.55</v>
      </c>
      <c r="H148" s="14">
        <f t="shared" si="95"/>
        <v>1109.26</v>
      </c>
      <c r="I148" s="287">
        <f t="shared" si="107"/>
        <v>51351.129999999961</v>
      </c>
      <c r="J148" s="287">
        <f t="shared" si="108"/>
        <v>54511.630000000005</v>
      </c>
      <c r="K148" s="287">
        <f t="shared" si="109"/>
        <v>135673.2699999999</v>
      </c>
      <c r="L148" s="428">
        <f t="shared" si="93"/>
        <v>7</v>
      </c>
      <c r="M148" s="428">
        <f t="shared" si="126"/>
        <v>89</v>
      </c>
      <c r="N148" s="287">
        <f t="shared" si="127"/>
        <v>208943.47</v>
      </c>
      <c r="O148" s="287">
        <f t="shared" si="110"/>
        <v>1536.52</v>
      </c>
      <c r="P148" s="287">
        <f t="shared" si="134"/>
        <v>317.68000000000006</v>
      </c>
      <c r="Q148" s="287">
        <f t="shared" si="111"/>
        <v>1218.8399999999999</v>
      </c>
      <c r="R148" s="287">
        <f t="shared" si="98"/>
        <v>134.16999999999999</v>
      </c>
      <c r="S148" s="287">
        <f t="shared" si="99"/>
        <v>188.55</v>
      </c>
      <c r="T148" s="287">
        <f t="shared" si="97"/>
        <v>1859.24</v>
      </c>
      <c r="U148" s="287">
        <f t="shared" si="135"/>
        <v>22324.210000000006</v>
      </c>
      <c r="V148" s="287">
        <f t="shared" si="136"/>
        <v>115962.59</v>
      </c>
      <c r="W148" s="287">
        <f t="shared" si="112"/>
        <v>208625.79</v>
      </c>
      <c r="X148" s="519">
        <f t="shared" si="128"/>
        <v>48399</v>
      </c>
      <c r="Y148" s="287">
        <f t="shared" si="113"/>
        <v>237226.60999999984</v>
      </c>
      <c r="Z148" s="511">
        <f t="shared" si="121"/>
        <v>7.0000000000000007E-2</v>
      </c>
      <c r="AA148" s="287">
        <f t="shared" si="122"/>
        <v>1746.44</v>
      </c>
      <c r="AB148" s="287">
        <f t="shared" si="114"/>
        <v>362.62000000000012</v>
      </c>
      <c r="AC148" s="287">
        <f t="shared" si="123"/>
        <v>1383.82</v>
      </c>
      <c r="AD148" s="287">
        <f t="shared" si="100"/>
        <v>134.16999999999999</v>
      </c>
      <c r="AE148" s="287">
        <f t="shared" si="101"/>
        <v>188.55</v>
      </c>
      <c r="AF148" s="287">
        <f t="shared" si="115"/>
        <v>2069.1600000000003</v>
      </c>
      <c r="AG148" s="287">
        <f t="shared" si="116"/>
        <v>39084.81</v>
      </c>
      <c r="AH148" s="287">
        <f t="shared" si="117"/>
        <v>86276.79</v>
      </c>
      <c r="AI148" s="530">
        <f t="shared" si="102"/>
        <v>12925.20000000001</v>
      </c>
      <c r="AJ148" s="530">
        <f t="shared" si="91"/>
        <v>-28238.199999999837</v>
      </c>
      <c r="AK148" s="530">
        <f t="shared" si="103"/>
        <v>-15312.999999999827</v>
      </c>
      <c r="AL148" s="287">
        <f t="shared" si="118"/>
        <v>236863.98999999985</v>
      </c>
      <c r="AM148" s="428">
        <f t="shared" si="129"/>
        <v>7</v>
      </c>
      <c r="AN148" s="14">
        <f t="shared" si="104"/>
        <v>749.98</v>
      </c>
      <c r="AO148" s="14">
        <f t="shared" si="92"/>
        <v>118417.71999999993</v>
      </c>
      <c r="AP148" s="14">
        <f t="shared" si="105"/>
        <v>959.90000000000009</v>
      </c>
      <c r="AS148" s="14">
        <f t="shared" si="124"/>
        <v>749.98</v>
      </c>
      <c r="AT148" s="14">
        <f t="shared" si="130"/>
        <v>67017.640000000116</v>
      </c>
      <c r="AU148" s="287">
        <f t="shared" si="131"/>
        <v>1198.4329693546711</v>
      </c>
      <c r="AV148" s="287">
        <f t="shared" si="132"/>
        <v>129778.323775756</v>
      </c>
    </row>
    <row r="149" spans="1:48" x14ac:dyDescent="0.25">
      <c r="A149" s="519">
        <f t="shared" si="106"/>
        <v>48429</v>
      </c>
      <c r="B149" s="287">
        <f t="shared" si="125"/>
        <v>135673.2699999999</v>
      </c>
      <c r="C149" s="14">
        <f t="shared" si="119"/>
        <v>786.54</v>
      </c>
      <c r="D149" s="14">
        <f t="shared" si="133"/>
        <v>447.35999999999996</v>
      </c>
      <c r="E149" s="14">
        <f t="shared" si="120"/>
        <v>339.18</v>
      </c>
      <c r="F149" s="14">
        <f t="shared" si="96"/>
        <v>134.16999999999999</v>
      </c>
      <c r="G149" s="14">
        <f t="shared" si="94"/>
        <v>188.55</v>
      </c>
      <c r="H149" s="14">
        <f t="shared" si="95"/>
        <v>1109.26</v>
      </c>
      <c r="I149" s="287">
        <f t="shared" si="107"/>
        <v>51798.489999999962</v>
      </c>
      <c r="J149" s="287">
        <f t="shared" si="108"/>
        <v>54850.810000000005</v>
      </c>
      <c r="K149" s="287">
        <f t="shared" si="109"/>
        <v>135225.90999999992</v>
      </c>
      <c r="L149" s="428">
        <f t="shared" si="93"/>
        <v>7</v>
      </c>
      <c r="M149" s="428">
        <f t="shared" si="126"/>
        <v>90</v>
      </c>
      <c r="N149" s="287">
        <f t="shared" si="127"/>
        <v>208625.79</v>
      </c>
      <c r="O149" s="287">
        <f t="shared" si="110"/>
        <v>1536.52</v>
      </c>
      <c r="P149" s="287">
        <f t="shared" si="134"/>
        <v>319.53999999999996</v>
      </c>
      <c r="Q149" s="287">
        <f t="shared" si="111"/>
        <v>1216.98</v>
      </c>
      <c r="R149" s="287">
        <f t="shared" si="98"/>
        <v>134.16999999999999</v>
      </c>
      <c r="S149" s="287">
        <f t="shared" si="99"/>
        <v>188.55</v>
      </c>
      <c r="T149" s="287">
        <f t="shared" si="97"/>
        <v>1859.24</v>
      </c>
      <c r="U149" s="287">
        <f t="shared" si="135"/>
        <v>22643.750000000007</v>
      </c>
      <c r="V149" s="287">
        <f t="shared" si="136"/>
        <v>117179.56999999999</v>
      </c>
      <c r="W149" s="287">
        <f t="shared" si="112"/>
        <v>208306.25</v>
      </c>
      <c r="X149" s="519">
        <f t="shared" si="128"/>
        <v>48429</v>
      </c>
      <c r="Y149" s="287">
        <f t="shared" si="113"/>
        <v>236863.98999999985</v>
      </c>
      <c r="Z149" s="511">
        <f t="shared" si="121"/>
        <v>7.0000000000000007E-2</v>
      </c>
      <c r="AA149" s="287">
        <f t="shared" si="122"/>
        <v>1746.44</v>
      </c>
      <c r="AB149" s="287">
        <f t="shared" si="114"/>
        <v>364.73</v>
      </c>
      <c r="AC149" s="287">
        <f t="shared" si="123"/>
        <v>1381.71</v>
      </c>
      <c r="AD149" s="287">
        <f t="shared" si="100"/>
        <v>134.16999999999999</v>
      </c>
      <c r="AE149" s="287">
        <f t="shared" si="101"/>
        <v>188.55</v>
      </c>
      <c r="AF149" s="287">
        <f t="shared" si="115"/>
        <v>2069.1600000000003</v>
      </c>
      <c r="AG149" s="287">
        <f t="shared" si="116"/>
        <v>39449.54</v>
      </c>
      <c r="AH149" s="287">
        <f t="shared" si="117"/>
        <v>87658.5</v>
      </c>
      <c r="AI149" s="530">
        <f t="shared" si="102"/>
        <v>12715.28000000001</v>
      </c>
      <c r="AJ149" s="530">
        <f t="shared" si="91"/>
        <v>-28193.009999999835</v>
      </c>
      <c r="AK149" s="530">
        <f t="shared" si="103"/>
        <v>-15477.729999999825</v>
      </c>
      <c r="AL149" s="287">
        <f t="shared" si="118"/>
        <v>236499.25999999983</v>
      </c>
      <c r="AM149" s="428">
        <f t="shared" si="129"/>
        <v>7</v>
      </c>
      <c r="AN149" s="14">
        <f t="shared" si="104"/>
        <v>749.98</v>
      </c>
      <c r="AO149" s="14">
        <f t="shared" si="92"/>
        <v>118545.53999999995</v>
      </c>
      <c r="AP149" s="14">
        <f t="shared" si="105"/>
        <v>959.90000000000009</v>
      </c>
      <c r="AS149" s="14">
        <f t="shared" si="124"/>
        <v>749.98</v>
      </c>
      <c r="AT149" s="14">
        <f t="shared" si="130"/>
        <v>67767.620000000112</v>
      </c>
      <c r="AU149" s="287">
        <f t="shared" si="131"/>
        <v>1202.4277459191867</v>
      </c>
      <c r="AV149" s="287">
        <f t="shared" si="132"/>
        <v>130980.75152167518</v>
      </c>
    </row>
    <row r="150" spans="1:48" x14ac:dyDescent="0.25">
      <c r="A150" s="519">
        <f t="shared" si="106"/>
        <v>48459</v>
      </c>
      <c r="B150" s="287">
        <f t="shared" si="125"/>
        <v>135225.90999999992</v>
      </c>
      <c r="C150" s="14">
        <f t="shared" si="119"/>
        <v>786.54</v>
      </c>
      <c r="D150" s="14">
        <f t="shared" si="133"/>
        <v>448.47999999999996</v>
      </c>
      <c r="E150" s="14">
        <f t="shared" si="120"/>
        <v>338.06</v>
      </c>
      <c r="F150" s="14">
        <f t="shared" si="96"/>
        <v>134.16999999999999</v>
      </c>
      <c r="G150" s="14">
        <f t="shared" si="94"/>
        <v>188.55</v>
      </c>
      <c r="H150" s="14">
        <f t="shared" si="95"/>
        <v>1109.26</v>
      </c>
      <c r="I150" s="287">
        <f t="shared" si="107"/>
        <v>52246.969999999965</v>
      </c>
      <c r="J150" s="287">
        <f t="shared" si="108"/>
        <v>55188.87</v>
      </c>
      <c r="K150" s="287">
        <f t="shared" si="109"/>
        <v>134777.42999999991</v>
      </c>
      <c r="L150" s="428">
        <f t="shared" si="93"/>
        <v>7</v>
      </c>
      <c r="M150" s="428">
        <f t="shared" si="126"/>
        <v>91</v>
      </c>
      <c r="N150" s="287">
        <f t="shared" si="127"/>
        <v>208306.25</v>
      </c>
      <c r="O150" s="287">
        <f t="shared" si="110"/>
        <v>1536.52</v>
      </c>
      <c r="P150" s="287">
        <f t="shared" si="134"/>
        <v>321.40000000000009</v>
      </c>
      <c r="Q150" s="287">
        <f t="shared" si="111"/>
        <v>1215.1199999999999</v>
      </c>
      <c r="R150" s="287">
        <f t="shared" si="98"/>
        <v>134.16999999999999</v>
      </c>
      <c r="S150" s="287">
        <f t="shared" si="99"/>
        <v>188.55</v>
      </c>
      <c r="T150" s="287">
        <f t="shared" si="97"/>
        <v>1859.24</v>
      </c>
      <c r="U150" s="287">
        <f t="shared" si="135"/>
        <v>22965.150000000009</v>
      </c>
      <c r="V150" s="287">
        <f t="shared" si="136"/>
        <v>118394.68999999999</v>
      </c>
      <c r="W150" s="287">
        <f t="shared" si="112"/>
        <v>207984.85</v>
      </c>
      <c r="X150" s="519">
        <f t="shared" si="128"/>
        <v>48459</v>
      </c>
      <c r="Y150" s="287">
        <f t="shared" si="113"/>
        <v>236499.25999999983</v>
      </c>
      <c r="Z150" s="511">
        <f t="shared" si="121"/>
        <v>7.0000000000000007E-2</v>
      </c>
      <c r="AA150" s="287">
        <f t="shared" si="122"/>
        <v>1746.44</v>
      </c>
      <c r="AB150" s="287">
        <f t="shared" si="114"/>
        <v>366.86000000000013</v>
      </c>
      <c r="AC150" s="287">
        <f t="shared" si="123"/>
        <v>1379.58</v>
      </c>
      <c r="AD150" s="287">
        <f t="shared" si="100"/>
        <v>134.16999999999999</v>
      </c>
      <c r="AE150" s="287">
        <f t="shared" si="101"/>
        <v>188.55</v>
      </c>
      <c r="AF150" s="287">
        <f t="shared" si="115"/>
        <v>2069.1600000000003</v>
      </c>
      <c r="AG150" s="287">
        <f t="shared" si="116"/>
        <v>39816.400000000001</v>
      </c>
      <c r="AH150" s="287">
        <f t="shared" si="117"/>
        <v>89038.080000000002</v>
      </c>
      <c r="AI150" s="530">
        <f t="shared" si="102"/>
        <v>12505.36000000001</v>
      </c>
      <c r="AJ150" s="530">
        <f t="shared" si="91"/>
        <v>-28147.549999999843</v>
      </c>
      <c r="AK150" s="530">
        <f t="shared" si="103"/>
        <v>-15642.189999999833</v>
      </c>
      <c r="AL150" s="287">
        <f t="shared" si="118"/>
        <v>236132.39999999985</v>
      </c>
      <c r="AM150" s="428">
        <f t="shared" si="129"/>
        <v>7</v>
      </c>
      <c r="AN150" s="14">
        <f t="shared" si="104"/>
        <v>749.98</v>
      </c>
      <c r="AO150" s="14">
        <f t="shared" si="92"/>
        <v>118672.61999999995</v>
      </c>
      <c r="AP150" s="14">
        <f t="shared" si="105"/>
        <v>959.90000000000009</v>
      </c>
      <c r="AS150" s="14">
        <f t="shared" si="124"/>
        <v>749.98</v>
      </c>
      <c r="AT150" s="14">
        <f t="shared" si="130"/>
        <v>68517.600000000108</v>
      </c>
      <c r="AU150" s="287">
        <f t="shared" si="131"/>
        <v>1206.4358384055838</v>
      </c>
      <c r="AV150" s="287">
        <f t="shared" si="132"/>
        <v>132187.18736008077</v>
      </c>
    </row>
    <row r="151" spans="1:48" x14ac:dyDescent="0.25">
      <c r="A151" s="519">
        <f t="shared" si="106"/>
        <v>48489</v>
      </c>
      <c r="B151" s="287">
        <f t="shared" si="125"/>
        <v>134777.42999999991</v>
      </c>
      <c r="C151" s="14">
        <f t="shared" si="119"/>
        <v>786.54</v>
      </c>
      <c r="D151" s="14">
        <f t="shared" si="133"/>
        <v>449.59999999999997</v>
      </c>
      <c r="E151" s="14">
        <f t="shared" si="120"/>
        <v>336.94</v>
      </c>
      <c r="F151" s="14">
        <f t="shared" si="96"/>
        <v>134.16999999999999</v>
      </c>
      <c r="G151" s="14">
        <f t="shared" si="94"/>
        <v>188.55</v>
      </c>
      <c r="H151" s="14">
        <f t="shared" si="95"/>
        <v>1109.26</v>
      </c>
      <c r="I151" s="287">
        <f t="shared" si="107"/>
        <v>52696.569999999963</v>
      </c>
      <c r="J151" s="287">
        <f t="shared" si="108"/>
        <v>55525.810000000005</v>
      </c>
      <c r="K151" s="287">
        <f t="shared" si="109"/>
        <v>134327.8299999999</v>
      </c>
      <c r="L151" s="428">
        <f t="shared" si="93"/>
        <v>7</v>
      </c>
      <c r="M151" s="428">
        <f t="shared" si="126"/>
        <v>92</v>
      </c>
      <c r="N151" s="287">
        <f t="shared" si="127"/>
        <v>207984.85</v>
      </c>
      <c r="O151" s="287">
        <f t="shared" si="110"/>
        <v>1536.52</v>
      </c>
      <c r="P151" s="287">
        <f t="shared" si="134"/>
        <v>323.27999999999997</v>
      </c>
      <c r="Q151" s="287">
        <f t="shared" si="111"/>
        <v>1213.24</v>
      </c>
      <c r="R151" s="287">
        <f t="shared" si="98"/>
        <v>134.16999999999999</v>
      </c>
      <c r="S151" s="287">
        <f t="shared" si="99"/>
        <v>188.55</v>
      </c>
      <c r="T151" s="287">
        <f t="shared" si="97"/>
        <v>1859.24</v>
      </c>
      <c r="U151" s="287">
        <f t="shared" si="135"/>
        <v>23288.430000000008</v>
      </c>
      <c r="V151" s="287">
        <f t="shared" si="136"/>
        <v>119607.93</v>
      </c>
      <c r="W151" s="287">
        <f t="shared" si="112"/>
        <v>207661.57</v>
      </c>
      <c r="X151" s="519">
        <f t="shared" si="128"/>
        <v>48489</v>
      </c>
      <c r="Y151" s="287">
        <f t="shared" si="113"/>
        <v>236132.39999999985</v>
      </c>
      <c r="Z151" s="511">
        <f t="shared" si="121"/>
        <v>7.0000000000000007E-2</v>
      </c>
      <c r="AA151" s="287">
        <f t="shared" si="122"/>
        <v>1746.44</v>
      </c>
      <c r="AB151" s="287">
        <f t="shared" si="114"/>
        <v>369</v>
      </c>
      <c r="AC151" s="287">
        <f t="shared" si="123"/>
        <v>1377.44</v>
      </c>
      <c r="AD151" s="287">
        <f t="shared" si="100"/>
        <v>134.16999999999999</v>
      </c>
      <c r="AE151" s="287">
        <f t="shared" si="101"/>
        <v>188.55</v>
      </c>
      <c r="AF151" s="287">
        <f t="shared" si="115"/>
        <v>2069.1600000000003</v>
      </c>
      <c r="AG151" s="287">
        <f t="shared" si="116"/>
        <v>40185.4</v>
      </c>
      <c r="AH151" s="287">
        <f t="shared" si="117"/>
        <v>90415.52</v>
      </c>
      <c r="AI151" s="530">
        <f t="shared" si="102"/>
        <v>12295.44000000001</v>
      </c>
      <c r="AJ151" s="530">
        <f t="shared" si="91"/>
        <v>-28101.829999999842</v>
      </c>
      <c r="AK151" s="530">
        <f t="shared" si="103"/>
        <v>-15806.389999999832</v>
      </c>
      <c r="AL151" s="287">
        <f t="shared" si="118"/>
        <v>235763.39999999985</v>
      </c>
      <c r="AM151" s="428">
        <f t="shared" si="129"/>
        <v>7</v>
      </c>
      <c r="AN151" s="14">
        <f t="shared" si="104"/>
        <v>749.98</v>
      </c>
      <c r="AO151" s="14">
        <f t="shared" si="92"/>
        <v>118798.93999999993</v>
      </c>
      <c r="AP151" s="14">
        <f t="shared" si="105"/>
        <v>959.90000000000009</v>
      </c>
      <c r="AS151" s="14">
        <f t="shared" si="124"/>
        <v>749.98</v>
      </c>
      <c r="AT151" s="14">
        <f t="shared" si="130"/>
        <v>69267.580000000104</v>
      </c>
      <c r="AU151" s="287">
        <f t="shared" si="131"/>
        <v>1210.4572912002693</v>
      </c>
      <c r="AV151" s="287">
        <f t="shared" si="132"/>
        <v>133397.64465128104</v>
      </c>
    </row>
    <row r="152" spans="1:48" x14ac:dyDescent="0.25">
      <c r="A152" s="519">
        <f t="shared" si="106"/>
        <v>48519</v>
      </c>
      <c r="B152" s="287">
        <f t="shared" si="125"/>
        <v>134327.8299999999</v>
      </c>
      <c r="C152" s="14">
        <f t="shared" si="119"/>
        <v>786.54</v>
      </c>
      <c r="D152" s="14">
        <f t="shared" si="133"/>
        <v>450.71999999999997</v>
      </c>
      <c r="E152" s="14">
        <f t="shared" si="120"/>
        <v>335.82</v>
      </c>
      <c r="F152" s="14">
        <f t="shared" si="96"/>
        <v>134.16999999999999</v>
      </c>
      <c r="G152" s="14">
        <f t="shared" si="94"/>
        <v>188.55</v>
      </c>
      <c r="H152" s="14">
        <f t="shared" si="95"/>
        <v>1109.26</v>
      </c>
      <c r="I152" s="287">
        <f t="shared" si="107"/>
        <v>53147.289999999964</v>
      </c>
      <c r="J152" s="287">
        <f t="shared" si="108"/>
        <v>55861.630000000005</v>
      </c>
      <c r="K152" s="287">
        <f t="shared" si="109"/>
        <v>133877.1099999999</v>
      </c>
      <c r="L152" s="428">
        <f t="shared" si="93"/>
        <v>7</v>
      </c>
      <c r="M152" s="428">
        <f t="shared" si="126"/>
        <v>93</v>
      </c>
      <c r="N152" s="287">
        <f t="shared" si="127"/>
        <v>207661.57</v>
      </c>
      <c r="O152" s="287">
        <f t="shared" si="110"/>
        <v>1536.52</v>
      </c>
      <c r="P152" s="287">
        <f t="shared" si="134"/>
        <v>325.16000000000008</v>
      </c>
      <c r="Q152" s="287">
        <f t="shared" si="111"/>
        <v>1211.3599999999999</v>
      </c>
      <c r="R152" s="287">
        <f t="shared" si="98"/>
        <v>134.16999999999999</v>
      </c>
      <c r="S152" s="287">
        <f t="shared" si="99"/>
        <v>188.55</v>
      </c>
      <c r="T152" s="287">
        <f t="shared" si="97"/>
        <v>1859.24</v>
      </c>
      <c r="U152" s="287">
        <f t="shared" si="135"/>
        <v>23613.590000000007</v>
      </c>
      <c r="V152" s="287">
        <f t="shared" si="136"/>
        <v>120819.29</v>
      </c>
      <c r="W152" s="287">
        <f t="shared" si="112"/>
        <v>207336.41</v>
      </c>
      <c r="X152" s="519">
        <f t="shared" si="128"/>
        <v>48519</v>
      </c>
      <c r="Y152" s="287">
        <f t="shared" si="113"/>
        <v>235763.39999999985</v>
      </c>
      <c r="Z152" s="511">
        <f t="shared" si="121"/>
        <v>7.0000000000000007E-2</v>
      </c>
      <c r="AA152" s="287">
        <f t="shared" si="122"/>
        <v>1746.44</v>
      </c>
      <c r="AB152" s="287">
        <f t="shared" si="114"/>
        <v>371.15000000000009</v>
      </c>
      <c r="AC152" s="287">
        <f t="shared" si="123"/>
        <v>1375.29</v>
      </c>
      <c r="AD152" s="287">
        <f t="shared" si="100"/>
        <v>134.16999999999999</v>
      </c>
      <c r="AE152" s="287">
        <f t="shared" si="101"/>
        <v>188.55</v>
      </c>
      <c r="AF152" s="287">
        <f t="shared" si="115"/>
        <v>2069.1600000000003</v>
      </c>
      <c r="AG152" s="287">
        <f t="shared" si="116"/>
        <v>40556.550000000003</v>
      </c>
      <c r="AH152" s="287">
        <f t="shared" si="117"/>
        <v>91790.81</v>
      </c>
      <c r="AI152" s="530">
        <f t="shared" si="102"/>
        <v>12085.52000000001</v>
      </c>
      <c r="AJ152" s="530">
        <f t="shared" si="91"/>
        <v>-28055.839999999851</v>
      </c>
      <c r="AK152" s="530">
        <f t="shared" si="103"/>
        <v>-15970.319999999841</v>
      </c>
      <c r="AL152" s="287">
        <f t="shared" si="118"/>
        <v>235392.24999999985</v>
      </c>
      <c r="AM152" s="428">
        <f t="shared" si="129"/>
        <v>7</v>
      </c>
      <c r="AN152" s="14">
        <f t="shared" si="104"/>
        <v>749.98</v>
      </c>
      <c r="AO152" s="14">
        <f t="shared" si="92"/>
        <v>118924.49999999996</v>
      </c>
      <c r="AP152" s="14">
        <f t="shared" si="105"/>
        <v>959.90000000000009</v>
      </c>
      <c r="AS152" s="14">
        <f t="shared" si="124"/>
        <v>749.98</v>
      </c>
      <c r="AT152" s="14">
        <f t="shared" si="130"/>
        <v>70017.5600000001</v>
      </c>
      <c r="AU152" s="287">
        <f t="shared" si="131"/>
        <v>1214.4921488376035</v>
      </c>
      <c r="AV152" s="287">
        <f t="shared" si="132"/>
        <v>134612.13680011863</v>
      </c>
    </row>
    <row r="153" spans="1:48" x14ac:dyDescent="0.25">
      <c r="A153" s="519">
        <f t="shared" si="106"/>
        <v>48549</v>
      </c>
      <c r="B153" s="287">
        <f t="shared" si="125"/>
        <v>133877.1099999999</v>
      </c>
      <c r="C153" s="14">
        <f t="shared" si="119"/>
        <v>786.54</v>
      </c>
      <c r="D153" s="14">
        <f t="shared" si="133"/>
        <v>451.84999999999997</v>
      </c>
      <c r="E153" s="14">
        <f t="shared" si="120"/>
        <v>334.69</v>
      </c>
      <c r="F153" s="14">
        <f t="shared" si="96"/>
        <v>134.16999999999999</v>
      </c>
      <c r="G153" s="14">
        <f t="shared" si="94"/>
        <v>188.55</v>
      </c>
      <c r="H153" s="14">
        <f t="shared" si="95"/>
        <v>1109.26</v>
      </c>
      <c r="I153" s="287">
        <f t="shared" si="107"/>
        <v>53599.139999999963</v>
      </c>
      <c r="J153" s="287">
        <f t="shared" si="108"/>
        <v>56196.320000000007</v>
      </c>
      <c r="K153" s="287">
        <f t="shared" si="109"/>
        <v>133425.25999999989</v>
      </c>
      <c r="L153" s="428">
        <f t="shared" si="93"/>
        <v>7</v>
      </c>
      <c r="M153" s="428">
        <f t="shared" si="126"/>
        <v>94</v>
      </c>
      <c r="N153" s="287">
        <f t="shared" si="127"/>
        <v>207336.41</v>
      </c>
      <c r="O153" s="287">
        <f t="shared" si="110"/>
        <v>1536.52</v>
      </c>
      <c r="P153" s="287">
        <f t="shared" si="134"/>
        <v>327.05999999999995</v>
      </c>
      <c r="Q153" s="287">
        <f t="shared" si="111"/>
        <v>1209.46</v>
      </c>
      <c r="R153" s="287">
        <f t="shared" si="98"/>
        <v>134.16999999999999</v>
      </c>
      <c r="S153" s="287">
        <f t="shared" si="99"/>
        <v>188.55</v>
      </c>
      <c r="T153" s="287">
        <f t="shared" si="97"/>
        <v>1859.24</v>
      </c>
      <c r="U153" s="287">
        <f t="shared" si="135"/>
        <v>23940.650000000009</v>
      </c>
      <c r="V153" s="287">
        <f t="shared" si="136"/>
        <v>122028.75</v>
      </c>
      <c r="W153" s="287">
        <f t="shared" si="112"/>
        <v>207009.35</v>
      </c>
      <c r="X153" s="519">
        <f t="shared" si="128"/>
        <v>48549</v>
      </c>
      <c r="Y153" s="287">
        <f t="shared" si="113"/>
        <v>235392.24999999985</v>
      </c>
      <c r="Z153" s="511">
        <f t="shared" si="121"/>
        <v>7.0000000000000007E-2</v>
      </c>
      <c r="AA153" s="287">
        <f t="shared" si="122"/>
        <v>1746.44</v>
      </c>
      <c r="AB153" s="287">
        <f t="shared" si="114"/>
        <v>373.32000000000016</v>
      </c>
      <c r="AC153" s="287">
        <f t="shared" si="123"/>
        <v>1373.12</v>
      </c>
      <c r="AD153" s="287">
        <f t="shared" si="100"/>
        <v>134.16999999999999</v>
      </c>
      <c r="AE153" s="287">
        <f t="shared" si="101"/>
        <v>188.55</v>
      </c>
      <c r="AF153" s="287">
        <f t="shared" si="115"/>
        <v>2069.1600000000003</v>
      </c>
      <c r="AG153" s="287">
        <f t="shared" si="116"/>
        <v>40929.870000000003</v>
      </c>
      <c r="AH153" s="287">
        <f t="shared" si="117"/>
        <v>93163.93</v>
      </c>
      <c r="AI153" s="530">
        <f t="shared" si="102"/>
        <v>11875.600000000009</v>
      </c>
      <c r="AJ153" s="530">
        <f t="shared" si="91"/>
        <v>-28009.579999999842</v>
      </c>
      <c r="AK153" s="530">
        <f t="shared" si="103"/>
        <v>-16133.979999999832</v>
      </c>
      <c r="AL153" s="287">
        <f t="shared" si="118"/>
        <v>235018.92999999985</v>
      </c>
      <c r="AM153" s="428">
        <f t="shared" si="129"/>
        <v>7</v>
      </c>
      <c r="AN153" s="14">
        <f t="shared" si="104"/>
        <v>749.98</v>
      </c>
      <c r="AO153" s="14">
        <f t="shared" si="92"/>
        <v>119049.28999999994</v>
      </c>
      <c r="AP153" s="14">
        <f t="shared" si="105"/>
        <v>959.90000000000009</v>
      </c>
      <c r="AS153" s="14">
        <f t="shared" si="124"/>
        <v>749.98</v>
      </c>
      <c r="AT153" s="14">
        <f t="shared" si="130"/>
        <v>70767.540000000095</v>
      </c>
      <c r="AU153" s="287">
        <f t="shared" si="131"/>
        <v>1218.5404560003954</v>
      </c>
      <c r="AV153" s="287">
        <f t="shared" si="132"/>
        <v>135830.67725611903</v>
      </c>
    </row>
    <row r="154" spans="1:48" x14ac:dyDescent="0.25">
      <c r="A154" s="519">
        <f t="shared" si="106"/>
        <v>48579</v>
      </c>
      <c r="B154" s="287">
        <f t="shared" si="125"/>
        <v>133425.25999999989</v>
      </c>
      <c r="C154" s="14">
        <f t="shared" si="119"/>
        <v>786.54</v>
      </c>
      <c r="D154" s="14">
        <f t="shared" si="133"/>
        <v>452.97999999999996</v>
      </c>
      <c r="E154" s="14">
        <f t="shared" si="120"/>
        <v>333.56</v>
      </c>
      <c r="F154" s="14">
        <f t="shared" si="96"/>
        <v>134.16999999999999</v>
      </c>
      <c r="G154" s="14">
        <f t="shared" si="94"/>
        <v>188.55</v>
      </c>
      <c r="H154" s="14">
        <f t="shared" si="95"/>
        <v>1109.26</v>
      </c>
      <c r="I154" s="287">
        <f t="shared" si="107"/>
        <v>54052.119999999966</v>
      </c>
      <c r="J154" s="287">
        <f t="shared" si="108"/>
        <v>56529.880000000005</v>
      </c>
      <c r="K154" s="287">
        <f t="shared" si="109"/>
        <v>132972.27999999988</v>
      </c>
      <c r="L154" s="428">
        <f t="shared" si="93"/>
        <v>7</v>
      </c>
      <c r="M154" s="428">
        <f t="shared" si="126"/>
        <v>95</v>
      </c>
      <c r="N154" s="287">
        <f t="shared" si="127"/>
        <v>207009.35</v>
      </c>
      <c r="O154" s="287">
        <f t="shared" si="110"/>
        <v>1536.52</v>
      </c>
      <c r="P154" s="287">
        <f t="shared" si="134"/>
        <v>328.97</v>
      </c>
      <c r="Q154" s="287">
        <f t="shared" si="111"/>
        <v>1207.55</v>
      </c>
      <c r="R154" s="287">
        <f t="shared" si="98"/>
        <v>134.16999999999999</v>
      </c>
      <c r="S154" s="287">
        <f t="shared" si="99"/>
        <v>188.55</v>
      </c>
      <c r="T154" s="287">
        <f t="shared" si="97"/>
        <v>1859.24</v>
      </c>
      <c r="U154" s="287">
        <f t="shared" si="135"/>
        <v>24269.62000000001</v>
      </c>
      <c r="V154" s="287">
        <f t="shared" si="136"/>
        <v>123236.3</v>
      </c>
      <c r="W154" s="287">
        <f t="shared" si="112"/>
        <v>206680.38</v>
      </c>
      <c r="X154" s="519">
        <f t="shared" si="128"/>
        <v>48579</v>
      </c>
      <c r="Y154" s="287">
        <f t="shared" si="113"/>
        <v>235018.92999999985</v>
      </c>
      <c r="Z154" s="511">
        <f t="shared" si="121"/>
        <v>7.0000000000000007E-2</v>
      </c>
      <c r="AA154" s="287">
        <f t="shared" si="122"/>
        <v>1746.44</v>
      </c>
      <c r="AB154" s="287">
        <f t="shared" si="114"/>
        <v>375.5</v>
      </c>
      <c r="AC154" s="287">
        <f t="shared" si="123"/>
        <v>1370.94</v>
      </c>
      <c r="AD154" s="287">
        <f t="shared" si="100"/>
        <v>134.16999999999999</v>
      </c>
      <c r="AE154" s="287">
        <f t="shared" si="101"/>
        <v>188.55</v>
      </c>
      <c r="AF154" s="287">
        <f t="shared" si="115"/>
        <v>2069.1600000000003</v>
      </c>
      <c r="AG154" s="287">
        <f t="shared" si="116"/>
        <v>41305.370000000003</v>
      </c>
      <c r="AH154" s="287">
        <f t="shared" si="117"/>
        <v>94534.87</v>
      </c>
      <c r="AI154" s="530">
        <f t="shared" si="102"/>
        <v>11665.680000000009</v>
      </c>
      <c r="AJ154" s="530">
        <f t="shared" si="91"/>
        <v>-27963.049999999843</v>
      </c>
      <c r="AK154" s="530">
        <f t="shared" si="103"/>
        <v>-16297.369999999833</v>
      </c>
      <c r="AL154" s="287">
        <f t="shared" si="118"/>
        <v>234643.42999999985</v>
      </c>
      <c r="AM154" s="428">
        <f t="shared" si="129"/>
        <v>7</v>
      </c>
      <c r="AN154" s="14">
        <f t="shared" si="104"/>
        <v>749.98</v>
      </c>
      <c r="AO154" s="14">
        <f t="shared" si="92"/>
        <v>119173.29999999994</v>
      </c>
      <c r="AP154" s="14">
        <f t="shared" si="105"/>
        <v>959.90000000000009</v>
      </c>
      <c r="AS154" s="14">
        <f t="shared" si="124"/>
        <v>749.98</v>
      </c>
      <c r="AT154" s="14">
        <f t="shared" si="130"/>
        <v>71517.520000000091</v>
      </c>
      <c r="AU154" s="287">
        <f t="shared" si="131"/>
        <v>1222.6022575203967</v>
      </c>
      <c r="AV154" s="287">
        <f t="shared" si="132"/>
        <v>137053.27951363943</v>
      </c>
    </row>
    <row r="155" spans="1:48" x14ac:dyDescent="0.25">
      <c r="A155" s="519">
        <f t="shared" si="106"/>
        <v>48609</v>
      </c>
      <c r="B155" s="287">
        <f t="shared" si="125"/>
        <v>132972.27999999988</v>
      </c>
      <c r="C155" s="14">
        <f t="shared" si="119"/>
        <v>786.54</v>
      </c>
      <c r="D155" s="14">
        <f t="shared" si="133"/>
        <v>454.10999999999996</v>
      </c>
      <c r="E155" s="14">
        <f t="shared" si="120"/>
        <v>332.43</v>
      </c>
      <c r="F155" s="14">
        <f t="shared" si="96"/>
        <v>134.16999999999999</v>
      </c>
      <c r="G155" s="14">
        <f t="shared" si="94"/>
        <v>188.55</v>
      </c>
      <c r="H155" s="14">
        <f t="shared" si="95"/>
        <v>1109.26</v>
      </c>
      <c r="I155" s="287">
        <f t="shared" si="107"/>
        <v>54506.229999999967</v>
      </c>
      <c r="J155" s="287">
        <f t="shared" si="108"/>
        <v>56862.310000000005</v>
      </c>
      <c r="K155" s="287">
        <f t="shared" si="109"/>
        <v>132518.1699999999</v>
      </c>
      <c r="L155" s="428">
        <f t="shared" si="93"/>
        <v>8</v>
      </c>
      <c r="M155" s="428">
        <f t="shared" si="126"/>
        <v>96</v>
      </c>
      <c r="N155" s="287">
        <f t="shared" si="127"/>
        <v>206680.38</v>
      </c>
      <c r="O155" s="287">
        <f t="shared" si="110"/>
        <v>1536.52</v>
      </c>
      <c r="P155" s="287">
        <f t="shared" si="134"/>
        <v>330.87999999999988</v>
      </c>
      <c r="Q155" s="287">
        <f t="shared" si="111"/>
        <v>1205.6400000000001</v>
      </c>
      <c r="R155" s="287">
        <f t="shared" si="98"/>
        <v>134.16999999999999</v>
      </c>
      <c r="S155" s="287">
        <f t="shared" si="99"/>
        <v>188.55</v>
      </c>
      <c r="T155" s="287">
        <f t="shared" si="97"/>
        <v>1859.24</v>
      </c>
      <c r="U155" s="287">
        <f t="shared" si="135"/>
        <v>24600.500000000011</v>
      </c>
      <c r="V155" s="287">
        <f t="shared" si="136"/>
        <v>124441.94</v>
      </c>
      <c r="W155" s="287">
        <f t="shared" si="112"/>
        <v>206349.5</v>
      </c>
      <c r="X155" s="519">
        <f t="shared" si="128"/>
        <v>48609</v>
      </c>
      <c r="Y155" s="287">
        <f t="shared" si="113"/>
        <v>234643.42999999985</v>
      </c>
      <c r="Z155" s="511">
        <f t="shared" si="121"/>
        <v>7.0000000000000007E-2</v>
      </c>
      <c r="AA155" s="287">
        <f t="shared" si="122"/>
        <v>1746.44</v>
      </c>
      <c r="AB155" s="287">
        <f t="shared" si="114"/>
        <v>377.69000000000005</v>
      </c>
      <c r="AC155" s="287">
        <f t="shared" si="123"/>
        <v>1368.75</v>
      </c>
      <c r="AD155" s="287">
        <f t="shared" si="100"/>
        <v>134.16999999999999</v>
      </c>
      <c r="AE155" s="287">
        <f t="shared" si="101"/>
        <v>188.55</v>
      </c>
      <c r="AF155" s="287">
        <f t="shared" si="115"/>
        <v>2069.1600000000003</v>
      </c>
      <c r="AG155" s="287">
        <f t="shared" si="116"/>
        <v>41683.060000000005</v>
      </c>
      <c r="AH155" s="287">
        <f t="shared" si="117"/>
        <v>95903.62</v>
      </c>
      <c r="AI155" s="530">
        <f t="shared" si="102"/>
        <v>11455.760000000009</v>
      </c>
      <c r="AJ155" s="530">
        <f t="shared" ref="AJ155:AJ218" si="137">+W155-AL155</f>
        <v>-27916.239999999845</v>
      </c>
      <c r="AK155" s="530">
        <f t="shared" si="103"/>
        <v>-16460.479999999836</v>
      </c>
      <c r="AL155" s="287">
        <f t="shared" si="118"/>
        <v>234265.73999999985</v>
      </c>
      <c r="AM155" s="428">
        <f t="shared" si="129"/>
        <v>8</v>
      </c>
      <c r="AN155" s="14">
        <f t="shared" si="104"/>
        <v>749.98</v>
      </c>
      <c r="AO155" s="14">
        <f t="shared" si="92"/>
        <v>119296.52999999996</v>
      </c>
      <c r="AP155" s="14">
        <f t="shared" si="105"/>
        <v>959.90000000000009</v>
      </c>
      <c r="AS155" s="14">
        <f t="shared" si="124"/>
        <v>749.98</v>
      </c>
      <c r="AT155" s="14">
        <f t="shared" si="130"/>
        <v>72267.500000000087</v>
      </c>
      <c r="AU155" s="287">
        <f t="shared" si="131"/>
        <v>1226.6775983787982</v>
      </c>
      <c r="AV155" s="287">
        <f t="shared" si="132"/>
        <v>138279.95711201822</v>
      </c>
    </row>
    <row r="156" spans="1:48" x14ac:dyDescent="0.25">
      <c r="A156" s="519">
        <f t="shared" si="106"/>
        <v>48639</v>
      </c>
      <c r="B156" s="287">
        <f t="shared" si="125"/>
        <v>132518.1699999999</v>
      </c>
      <c r="C156" s="14">
        <f t="shared" si="119"/>
        <v>786.54</v>
      </c>
      <c r="D156" s="14">
        <f t="shared" si="133"/>
        <v>455.23999999999995</v>
      </c>
      <c r="E156" s="14">
        <f t="shared" si="120"/>
        <v>331.3</v>
      </c>
      <c r="F156" s="14">
        <f t="shared" si="96"/>
        <v>134.16999999999999</v>
      </c>
      <c r="G156" s="14">
        <f t="shared" si="94"/>
        <v>188.55</v>
      </c>
      <c r="H156" s="14">
        <f t="shared" si="95"/>
        <v>1109.26</v>
      </c>
      <c r="I156" s="287">
        <f t="shared" si="107"/>
        <v>54961.469999999965</v>
      </c>
      <c r="J156" s="287">
        <f t="shared" si="108"/>
        <v>57193.610000000008</v>
      </c>
      <c r="K156" s="287">
        <f t="shared" si="109"/>
        <v>132062.92999999991</v>
      </c>
      <c r="L156" s="428">
        <f t="shared" si="93"/>
        <v>8</v>
      </c>
      <c r="M156" s="428">
        <f t="shared" si="126"/>
        <v>97</v>
      </c>
      <c r="N156" s="287">
        <f t="shared" si="127"/>
        <v>206349.5</v>
      </c>
      <c r="O156" s="287">
        <f t="shared" si="110"/>
        <v>1536.52</v>
      </c>
      <c r="P156" s="287">
        <f t="shared" si="134"/>
        <v>332.80999999999995</v>
      </c>
      <c r="Q156" s="287">
        <f t="shared" si="111"/>
        <v>1203.71</v>
      </c>
      <c r="R156" s="287">
        <f t="shared" si="98"/>
        <v>134.16999999999999</v>
      </c>
      <c r="S156" s="287">
        <f t="shared" si="99"/>
        <v>188.55</v>
      </c>
      <c r="T156" s="287">
        <f t="shared" si="97"/>
        <v>1859.24</v>
      </c>
      <c r="U156" s="287">
        <f t="shared" si="135"/>
        <v>24933.310000000012</v>
      </c>
      <c r="V156" s="287">
        <f t="shared" si="136"/>
        <v>125645.65000000001</v>
      </c>
      <c r="W156" s="287">
        <f t="shared" si="112"/>
        <v>206016.69</v>
      </c>
      <c r="X156" s="519">
        <f t="shared" si="128"/>
        <v>48639</v>
      </c>
      <c r="Y156" s="287">
        <f t="shared" si="113"/>
        <v>234265.73999999985</v>
      </c>
      <c r="Z156" s="511">
        <f t="shared" si="121"/>
        <v>7.0000000000000007E-2</v>
      </c>
      <c r="AA156" s="287">
        <f t="shared" si="122"/>
        <v>1746.44</v>
      </c>
      <c r="AB156" s="287">
        <f t="shared" si="114"/>
        <v>379.8900000000001</v>
      </c>
      <c r="AC156" s="287">
        <f t="shared" si="123"/>
        <v>1366.55</v>
      </c>
      <c r="AD156" s="287">
        <f t="shared" si="100"/>
        <v>134.16999999999999</v>
      </c>
      <c r="AE156" s="287">
        <f t="shared" si="101"/>
        <v>188.55</v>
      </c>
      <c r="AF156" s="287">
        <f t="shared" si="115"/>
        <v>2069.1600000000003</v>
      </c>
      <c r="AG156" s="287">
        <f t="shared" si="116"/>
        <v>42062.950000000004</v>
      </c>
      <c r="AH156" s="287">
        <f t="shared" si="117"/>
        <v>97270.17</v>
      </c>
      <c r="AI156" s="530">
        <f t="shared" si="102"/>
        <v>11245.840000000009</v>
      </c>
      <c r="AJ156" s="530">
        <f t="shared" si="137"/>
        <v>-27869.159999999829</v>
      </c>
      <c r="AK156" s="530">
        <f t="shared" si="103"/>
        <v>-16623.319999999818</v>
      </c>
      <c r="AL156" s="287">
        <f t="shared" si="118"/>
        <v>233885.84999999983</v>
      </c>
      <c r="AM156" s="428">
        <f t="shared" si="129"/>
        <v>8</v>
      </c>
      <c r="AN156" s="14">
        <f t="shared" si="104"/>
        <v>749.98</v>
      </c>
      <c r="AO156" s="14">
        <f t="shared" si="92"/>
        <v>119418.95999999995</v>
      </c>
      <c r="AP156" s="14">
        <f t="shared" si="105"/>
        <v>959.90000000000009</v>
      </c>
      <c r="AS156" s="14">
        <f t="shared" si="124"/>
        <v>749.98</v>
      </c>
      <c r="AT156" s="14">
        <f t="shared" si="130"/>
        <v>73017.480000000083</v>
      </c>
      <c r="AU156" s="287">
        <f t="shared" si="131"/>
        <v>1230.7665237067274</v>
      </c>
      <c r="AV156" s="287">
        <f t="shared" si="132"/>
        <v>139510.72363572495</v>
      </c>
    </row>
    <row r="157" spans="1:48" x14ac:dyDescent="0.25">
      <c r="A157" s="519">
        <f t="shared" si="106"/>
        <v>48669</v>
      </c>
      <c r="B157" s="287">
        <f t="shared" si="125"/>
        <v>132062.92999999991</v>
      </c>
      <c r="C157" s="14">
        <f t="shared" si="119"/>
        <v>786.54</v>
      </c>
      <c r="D157" s="14">
        <f t="shared" si="133"/>
        <v>456.37999999999994</v>
      </c>
      <c r="E157" s="14">
        <f t="shared" si="120"/>
        <v>330.16</v>
      </c>
      <c r="F157" s="14">
        <f t="shared" si="96"/>
        <v>134.16999999999999</v>
      </c>
      <c r="G157" s="14">
        <f t="shared" si="94"/>
        <v>188.55</v>
      </c>
      <c r="H157" s="14">
        <f t="shared" si="95"/>
        <v>1109.26</v>
      </c>
      <c r="I157" s="287">
        <f t="shared" si="107"/>
        <v>55417.849999999962</v>
      </c>
      <c r="J157" s="287">
        <f t="shared" si="108"/>
        <v>57523.770000000011</v>
      </c>
      <c r="K157" s="287">
        <f t="shared" si="109"/>
        <v>131606.5499999999</v>
      </c>
      <c r="L157" s="428">
        <f t="shared" si="93"/>
        <v>8</v>
      </c>
      <c r="M157" s="428">
        <f t="shared" si="126"/>
        <v>98</v>
      </c>
      <c r="N157" s="287">
        <f t="shared" si="127"/>
        <v>206016.69</v>
      </c>
      <c r="O157" s="287">
        <f t="shared" si="110"/>
        <v>1536.52</v>
      </c>
      <c r="P157" s="287">
        <f t="shared" si="134"/>
        <v>334.76</v>
      </c>
      <c r="Q157" s="287">
        <f t="shared" si="111"/>
        <v>1201.76</v>
      </c>
      <c r="R157" s="287">
        <f t="shared" si="98"/>
        <v>134.16999999999999</v>
      </c>
      <c r="S157" s="287">
        <f t="shared" si="99"/>
        <v>188.55</v>
      </c>
      <c r="T157" s="287">
        <f t="shared" si="97"/>
        <v>1859.24</v>
      </c>
      <c r="U157" s="287">
        <f t="shared" si="135"/>
        <v>25268.070000000011</v>
      </c>
      <c r="V157" s="287">
        <f t="shared" si="136"/>
        <v>126847.41</v>
      </c>
      <c r="W157" s="287">
        <f t="shared" si="112"/>
        <v>205681.93</v>
      </c>
      <c r="X157" s="519">
        <f t="shared" si="128"/>
        <v>48669</v>
      </c>
      <c r="Y157" s="287">
        <f t="shared" si="113"/>
        <v>233885.84999999983</v>
      </c>
      <c r="Z157" s="511">
        <f t="shared" si="121"/>
        <v>7.0000000000000007E-2</v>
      </c>
      <c r="AA157" s="287">
        <f t="shared" si="122"/>
        <v>1746.44</v>
      </c>
      <c r="AB157" s="287">
        <f t="shared" si="114"/>
        <v>382.11000000000013</v>
      </c>
      <c r="AC157" s="287">
        <f t="shared" si="123"/>
        <v>1364.33</v>
      </c>
      <c r="AD157" s="287">
        <f t="shared" si="100"/>
        <v>134.16999999999999</v>
      </c>
      <c r="AE157" s="287">
        <f t="shared" si="101"/>
        <v>188.55</v>
      </c>
      <c r="AF157" s="287">
        <f t="shared" si="115"/>
        <v>2069.1600000000003</v>
      </c>
      <c r="AG157" s="287">
        <f t="shared" si="116"/>
        <v>42445.060000000005</v>
      </c>
      <c r="AH157" s="287">
        <f t="shared" si="117"/>
        <v>98634.5</v>
      </c>
      <c r="AI157" s="530">
        <f t="shared" si="102"/>
        <v>11035.920000000009</v>
      </c>
      <c r="AJ157" s="530">
        <f t="shared" si="137"/>
        <v>-27821.809999999852</v>
      </c>
      <c r="AK157" s="530">
        <f t="shared" si="103"/>
        <v>-16785.889999999843</v>
      </c>
      <c r="AL157" s="287">
        <f t="shared" si="118"/>
        <v>233503.73999999985</v>
      </c>
      <c r="AM157" s="428">
        <f t="shared" si="129"/>
        <v>8</v>
      </c>
      <c r="AN157" s="14">
        <f t="shared" si="104"/>
        <v>749.98</v>
      </c>
      <c r="AO157" s="14">
        <f t="shared" si="92"/>
        <v>119540.57999999996</v>
      </c>
      <c r="AP157" s="14">
        <f t="shared" si="105"/>
        <v>959.90000000000009</v>
      </c>
      <c r="AS157" s="14">
        <f t="shared" si="124"/>
        <v>749.98</v>
      </c>
      <c r="AT157" s="14">
        <f t="shared" si="130"/>
        <v>73767.460000000079</v>
      </c>
      <c r="AU157" s="287">
        <f t="shared" si="131"/>
        <v>1234.8690787857499</v>
      </c>
      <c r="AV157" s="287">
        <f t="shared" si="132"/>
        <v>140745.59271451071</v>
      </c>
    </row>
    <row r="158" spans="1:48" ht="15.75" thickBot="1" x14ac:dyDescent="0.3">
      <c r="A158" s="522">
        <f t="shared" si="106"/>
        <v>48699</v>
      </c>
      <c r="B158" s="348">
        <f t="shared" si="125"/>
        <v>131606.5499999999</v>
      </c>
      <c r="C158" s="21">
        <f t="shared" si="119"/>
        <v>786.54</v>
      </c>
      <c r="D158" s="21">
        <f t="shared" si="133"/>
        <v>457.52</v>
      </c>
      <c r="E158" s="21">
        <f t="shared" si="120"/>
        <v>329.02</v>
      </c>
      <c r="F158" s="21">
        <f t="shared" si="96"/>
        <v>134.16999999999999</v>
      </c>
      <c r="G158" s="21">
        <f t="shared" si="94"/>
        <v>188.55</v>
      </c>
      <c r="H158" s="21">
        <f t="shared" si="95"/>
        <v>1109.26</v>
      </c>
      <c r="I158" s="348">
        <f t="shared" si="107"/>
        <v>55875.369999999959</v>
      </c>
      <c r="J158" s="348">
        <f t="shared" si="108"/>
        <v>57852.790000000008</v>
      </c>
      <c r="K158" s="348">
        <f t="shared" si="109"/>
        <v>131149.02999999991</v>
      </c>
      <c r="L158" s="429">
        <f t="shared" si="93"/>
        <v>8</v>
      </c>
      <c r="M158" s="429">
        <f t="shared" si="126"/>
        <v>99</v>
      </c>
      <c r="N158" s="348">
        <f t="shared" si="127"/>
        <v>205681.93</v>
      </c>
      <c r="O158" s="348">
        <f t="shared" si="110"/>
        <v>1536.52</v>
      </c>
      <c r="P158" s="348">
        <f t="shared" si="134"/>
        <v>336.71000000000004</v>
      </c>
      <c r="Q158" s="348">
        <f t="shared" si="111"/>
        <v>1199.81</v>
      </c>
      <c r="R158" s="348">
        <f t="shared" si="98"/>
        <v>134.16999999999999</v>
      </c>
      <c r="S158" s="348">
        <f t="shared" si="99"/>
        <v>188.55</v>
      </c>
      <c r="T158" s="348">
        <f t="shared" si="97"/>
        <v>1859.24</v>
      </c>
      <c r="U158" s="348">
        <f t="shared" si="135"/>
        <v>25604.78000000001</v>
      </c>
      <c r="V158" s="348">
        <f t="shared" si="136"/>
        <v>128047.22</v>
      </c>
      <c r="W158" s="348">
        <f t="shared" si="112"/>
        <v>205345.22</v>
      </c>
      <c r="X158" s="522">
        <f t="shared" si="128"/>
        <v>48699</v>
      </c>
      <c r="Y158" s="348">
        <f t="shared" si="113"/>
        <v>233503.73999999985</v>
      </c>
      <c r="Z158" s="512">
        <f t="shared" si="121"/>
        <v>7.0000000000000007E-2</v>
      </c>
      <c r="AA158" s="348">
        <f t="shared" si="122"/>
        <v>1746.44</v>
      </c>
      <c r="AB158" s="348">
        <f t="shared" si="114"/>
        <v>384.33000000000015</v>
      </c>
      <c r="AC158" s="348">
        <f t="shared" si="123"/>
        <v>1362.11</v>
      </c>
      <c r="AD158" s="348">
        <f t="shared" si="100"/>
        <v>134.16999999999999</v>
      </c>
      <c r="AE158" s="348">
        <f t="shared" si="101"/>
        <v>188.55</v>
      </c>
      <c r="AF158" s="348">
        <f t="shared" si="115"/>
        <v>2069.1600000000003</v>
      </c>
      <c r="AG158" s="348">
        <f t="shared" si="116"/>
        <v>42829.390000000007</v>
      </c>
      <c r="AH158" s="348">
        <f t="shared" si="117"/>
        <v>99996.61</v>
      </c>
      <c r="AI158" s="531">
        <f t="shared" si="102"/>
        <v>10826.000000000009</v>
      </c>
      <c r="AJ158" s="531">
        <f t="shared" si="137"/>
        <v>-27774.189999999857</v>
      </c>
      <c r="AK158" s="531">
        <f t="shared" si="103"/>
        <v>-16948.18999999985</v>
      </c>
      <c r="AL158" s="348">
        <f t="shared" si="118"/>
        <v>233119.40999999986</v>
      </c>
      <c r="AM158" s="429">
        <f t="shared" si="129"/>
        <v>8</v>
      </c>
      <c r="AN158" s="21">
        <f t="shared" si="104"/>
        <v>749.98</v>
      </c>
      <c r="AO158" s="21">
        <f t="shared" si="92"/>
        <v>119661.38999999994</v>
      </c>
      <c r="AP158" s="21">
        <f t="shared" si="105"/>
        <v>959.90000000000009</v>
      </c>
      <c r="AQ158" s="21"/>
      <c r="AR158" s="23"/>
      <c r="AS158" s="21">
        <f t="shared" si="124"/>
        <v>749.98</v>
      </c>
      <c r="AT158" s="21">
        <f t="shared" si="130"/>
        <v>74517.440000000075</v>
      </c>
      <c r="AU158" s="348">
        <f t="shared" si="131"/>
        <v>1238.9853090483691</v>
      </c>
      <c r="AV158" s="348">
        <f t="shared" si="132"/>
        <v>141984.57802355909</v>
      </c>
    </row>
    <row r="159" spans="1:48" x14ac:dyDescent="0.25">
      <c r="A159" s="519">
        <f t="shared" si="106"/>
        <v>48729</v>
      </c>
      <c r="B159" s="287">
        <f t="shared" si="125"/>
        <v>131149.02999999991</v>
      </c>
      <c r="C159" s="14">
        <f t="shared" si="119"/>
        <v>786.54</v>
      </c>
      <c r="D159" s="14">
        <f t="shared" si="133"/>
        <v>458.66999999999996</v>
      </c>
      <c r="E159" s="14">
        <f t="shared" si="120"/>
        <v>327.87</v>
      </c>
      <c r="F159" s="14">
        <f t="shared" si="96"/>
        <v>134.16999999999999</v>
      </c>
      <c r="G159" s="14">
        <f t="shared" si="94"/>
        <v>188.55</v>
      </c>
      <c r="H159" s="14">
        <f t="shared" si="95"/>
        <v>1109.26</v>
      </c>
      <c r="I159" s="287">
        <f t="shared" si="107"/>
        <v>56334.039999999957</v>
      </c>
      <c r="J159" s="287">
        <f t="shared" si="108"/>
        <v>58180.660000000011</v>
      </c>
      <c r="K159" s="287">
        <f t="shared" si="109"/>
        <v>130690.35999999991</v>
      </c>
      <c r="L159" s="428">
        <f t="shared" si="93"/>
        <v>8</v>
      </c>
      <c r="M159" s="428">
        <f t="shared" si="126"/>
        <v>100</v>
      </c>
      <c r="N159" s="287">
        <f t="shared" si="127"/>
        <v>205345.22</v>
      </c>
      <c r="O159" s="287">
        <f t="shared" si="110"/>
        <v>1536.52</v>
      </c>
      <c r="P159" s="287">
        <f t="shared" si="134"/>
        <v>338.67000000000007</v>
      </c>
      <c r="Q159" s="287">
        <f t="shared" si="111"/>
        <v>1197.8499999999999</v>
      </c>
      <c r="R159" s="287">
        <f t="shared" si="98"/>
        <v>134.16999999999999</v>
      </c>
      <c r="S159" s="287">
        <f t="shared" si="99"/>
        <v>188.55</v>
      </c>
      <c r="T159" s="287">
        <f t="shared" si="97"/>
        <v>1859.24</v>
      </c>
      <c r="U159" s="287">
        <f t="shared" si="135"/>
        <v>25943.450000000012</v>
      </c>
      <c r="V159" s="287">
        <f t="shared" si="136"/>
        <v>129245.07</v>
      </c>
      <c r="W159" s="287">
        <f t="shared" si="112"/>
        <v>205006.55</v>
      </c>
      <c r="X159" s="519">
        <f t="shared" si="128"/>
        <v>48729</v>
      </c>
      <c r="Y159" s="287">
        <f t="shared" si="113"/>
        <v>233119.40999999986</v>
      </c>
      <c r="Z159" s="511">
        <f t="shared" si="121"/>
        <v>7.0000000000000007E-2</v>
      </c>
      <c r="AA159" s="287">
        <f t="shared" si="122"/>
        <v>1746.44</v>
      </c>
      <c r="AB159" s="287">
        <f t="shared" si="114"/>
        <v>386.58000000000015</v>
      </c>
      <c r="AC159" s="287">
        <f t="shared" si="123"/>
        <v>1359.86</v>
      </c>
      <c r="AD159" s="287">
        <f t="shared" si="100"/>
        <v>134.16999999999999</v>
      </c>
      <c r="AE159" s="287">
        <f t="shared" si="101"/>
        <v>188.55</v>
      </c>
      <c r="AF159" s="287">
        <f t="shared" si="115"/>
        <v>2069.1600000000003</v>
      </c>
      <c r="AG159" s="287">
        <f t="shared" si="116"/>
        <v>43215.970000000008</v>
      </c>
      <c r="AH159" s="287">
        <f t="shared" si="117"/>
        <v>101356.47</v>
      </c>
      <c r="AI159" s="530">
        <f t="shared" si="102"/>
        <v>10616.080000000009</v>
      </c>
      <c r="AJ159" s="530">
        <f t="shared" si="137"/>
        <v>-27726.279999999882</v>
      </c>
      <c r="AK159" s="530">
        <f t="shared" si="103"/>
        <v>-17110.199999999873</v>
      </c>
      <c r="AL159" s="287">
        <f t="shared" si="118"/>
        <v>232732.82999999987</v>
      </c>
      <c r="AM159" s="428">
        <f t="shared" si="129"/>
        <v>8</v>
      </c>
      <c r="AN159" s="14">
        <f t="shared" si="104"/>
        <v>749.98</v>
      </c>
      <c r="AO159" s="14">
        <f t="shared" si="92"/>
        <v>119781.38999999993</v>
      </c>
      <c r="AP159" s="14">
        <f t="shared" si="105"/>
        <v>959.90000000000009</v>
      </c>
      <c r="AS159" s="14">
        <f t="shared" si="124"/>
        <v>749.98</v>
      </c>
      <c r="AT159" s="14">
        <f t="shared" si="130"/>
        <v>75267.420000000071</v>
      </c>
      <c r="AU159" s="287">
        <f t="shared" si="131"/>
        <v>1243.1152600785301</v>
      </c>
      <c r="AV159" s="287">
        <f t="shared" si="132"/>
        <v>143227.69328363764</v>
      </c>
    </row>
    <row r="160" spans="1:48" x14ac:dyDescent="0.25">
      <c r="A160" s="519">
        <f t="shared" si="106"/>
        <v>48759</v>
      </c>
      <c r="B160" s="287">
        <f t="shared" si="125"/>
        <v>130690.35999999991</v>
      </c>
      <c r="C160" s="14">
        <f t="shared" si="119"/>
        <v>786.54</v>
      </c>
      <c r="D160" s="14">
        <f t="shared" si="133"/>
        <v>459.80999999999995</v>
      </c>
      <c r="E160" s="14">
        <f t="shared" si="120"/>
        <v>326.73</v>
      </c>
      <c r="F160" s="14">
        <f t="shared" si="96"/>
        <v>134.16999999999999</v>
      </c>
      <c r="G160" s="14">
        <f t="shared" si="94"/>
        <v>188.55</v>
      </c>
      <c r="H160" s="14">
        <f t="shared" si="95"/>
        <v>1109.26</v>
      </c>
      <c r="I160" s="287">
        <f t="shared" si="107"/>
        <v>56793.849999999955</v>
      </c>
      <c r="J160" s="287">
        <f t="shared" si="108"/>
        <v>58507.390000000014</v>
      </c>
      <c r="K160" s="287">
        <f t="shared" si="109"/>
        <v>130230.54999999992</v>
      </c>
      <c r="L160" s="428">
        <f t="shared" si="93"/>
        <v>8</v>
      </c>
      <c r="M160" s="428">
        <f t="shared" si="126"/>
        <v>101</v>
      </c>
      <c r="N160" s="287">
        <f t="shared" si="127"/>
        <v>205006.55</v>
      </c>
      <c r="O160" s="287">
        <f t="shared" si="110"/>
        <v>1536.52</v>
      </c>
      <c r="P160" s="287">
        <f t="shared" si="134"/>
        <v>340.65000000000009</v>
      </c>
      <c r="Q160" s="287">
        <f t="shared" si="111"/>
        <v>1195.8699999999999</v>
      </c>
      <c r="R160" s="287">
        <f t="shared" si="98"/>
        <v>134.16999999999999</v>
      </c>
      <c r="S160" s="287">
        <f t="shared" si="99"/>
        <v>188.55</v>
      </c>
      <c r="T160" s="287">
        <f t="shared" si="97"/>
        <v>1859.24</v>
      </c>
      <c r="U160" s="287">
        <f t="shared" si="135"/>
        <v>26284.100000000013</v>
      </c>
      <c r="V160" s="287">
        <f t="shared" si="136"/>
        <v>130440.94</v>
      </c>
      <c r="W160" s="287">
        <f t="shared" si="112"/>
        <v>204665.9</v>
      </c>
      <c r="X160" s="519">
        <f t="shared" si="128"/>
        <v>48759</v>
      </c>
      <c r="Y160" s="287">
        <f t="shared" si="113"/>
        <v>232732.82999999987</v>
      </c>
      <c r="Z160" s="511">
        <f t="shared" si="121"/>
        <v>7.0000000000000007E-2</v>
      </c>
      <c r="AA160" s="287">
        <f t="shared" si="122"/>
        <v>1746.44</v>
      </c>
      <c r="AB160" s="287">
        <f t="shared" si="114"/>
        <v>388.83000000000015</v>
      </c>
      <c r="AC160" s="287">
        <f t="shared" si="123"/>
        <v>1357.61</v>
      </c>
      <c r="AD160" s="287">
        <f t="shared" si="100"/>
        <v>134.16999999999999</v>
      </c>
      <c r="AE160" s="287">
        <f t="shared" si="101"/>
        <v>188.55</v>
      </c>
      <c r="AF160" s="287">
        <f t="shared" si="115"/>
        <v>2069.1600000000003</v>
      </c>
      <c r="AG160" s="287">
        <f t="shared" si="116"/>
        <v>43604.80000000001</v>
      </c>
      <c r="AH160" s="287">
        <f t="shared" si="117"/>
        <v>102714.08</v>
      </c>
      <c r="AI160" s="530">
        <f t="shared" si="102"/>
        <v>10406.160000000009</v>
      </c>
      <c r="AJ160" s="530">
        <f t="shared" si="137"/>
        <v>-27678.099999999889</v>
      </c>
      <c r="AK160" s="530">
        <f t="shared" si="103"/>
        <v>-17271.939999999879</v>
      </c>
      <c r="AL160" s="287">
        <f t="shared" si="118"/>
        <v>232343.99999999988</v>
      </c>
      <c r="AM160" s="428">
        <f t="shared" si="129"/>
        <v>8</v>
      </c>
      <c r="AN160" s="14">
        <f t="shared" si="104"/>
        <v>749.98</v>
      </c>
      <c r="AO160" s="14">
        <f t="shared" si="92"/>
        <v>119900.54999999993</v>
      </c>
      <c r="AP160" s="14">
        <f t="shared" si="105"/>
        <v>959.90000000000009</v>
      </c>
      <c r="AS160" s="14">
        <f t="shared" si="124"/>
        <v>749.98</v>
      </c>
      <c r="AT160" s="14">
        <f t="shared" si="130"/>
        <v>76017.400000000067</v>
      </c>
      <c r="AU160" s="287">
        <f t="shared" si="131"/>
        <v>1247.2589776121256</v>
      </c>
      <c r="AV160" s="287">
        <f t="shared" si="132"/>
        <v>144474.95226124977</v>
      </c>
    </row>
    <row r="161" spans="1:48" x14ac:dyDescent="0.25">
      <c r="A161" s="519">
        <f t="shared" si="106"/>
        <v>48789</v>
      </c>
      <c r="B161" s="287">
        <f t="shared" si="125"/>
        <v>130230.54999999992</v>
      </c>
      <c r="C161" s="14">
        <f t="shared" si="119"/>
        <v>786.54</v>
      </c>
      <c r="D161" s="14">
        <f t="shared" si="133"/>
        <v>460.96</v>
      </c>
      <c r="E161" s="14">
        <f t="shared" si="120"/>
        <v>325.58</v>
      </c>
      <c r="F161" s="14">
        <f t="shared" si="96"/>
        <v>134.16999999999999</v>
      </c>
      <c r="G161" s="14">
        <f t="shared" si="94"/>
        <v>188.55</v>
      </c>
      <c r="H161" s="14">
        <f t="shared" si="95"/>
        <v>1109.26</v>
      </c>
      <c r="I161" s="287">
        <f t="shared" si="107"/>
        <v>57254.809999999954</v>
      </c>
      <c r="J161" s="287">
        <f t="shared" si="108"/>
        <v>58832.970000000016</v>
      </c>
      <c r="K161" s="287">
        <f t="shared" si="109"/>
        <v>129769.58999999991</v>
      </c>
      <c r="L161" s="428">
        <f t="shared" si="93"/>
        <v>8</v>
      </c>
      <c r="M161" s="428">
        <f t="shared" si="126"/>
        <v>102</v>
      </c>
      <c r="N161" s="287">
        <f t="shared" si="127"/>
        <v>204665.9</v>
      </c>
      <c r="O161" s="287">
        <f t="shared" si="110"/>
        <v>1536.52</v>
      </c>
      <c r="P161" s="287">
        <f t="shared" si="134"/>
        <v>342.63999999999987</v>
      </c>
      <c r="Q161" s="287">
        <f t="shared" si="111"/>
        <v>1193.8800000000001</v>
      </c>
      <c r="R161" s="287">
        <f t="shared" si="98"/>
        <v>134.16999999999999</v>
      </c>
      <c r="S161" s="287">
        <f t="shared" si="99"/>
        <v>188.55</v>
      </c>
      <c r="T161" s="287">
        <f t="shared" si="97"/>
        <v>1859.24</v>
      </c>
      <c r="U161" s="287">
        <f t="shared" si="135"/>
        <v>26626.740000000013</v>
      </c>
      <c r="V161" s="287">
        <f t="shared" si="136"/>
        <v>131634.82</v>
      </c>
      <c r="W161" s="287">
        <f t="shared" si="112"/>
        <v>204323.25999999998</v>
      </c>
      <c r="X161" s="519">
        <f t="shared" si="128"/>
        <v>48789</v>
      </c>
      <c r="Y161" s="287">
        <f t="shared" si="113"/>
        <v>232343.99999999988</v>
      </c>
      <c r="Z161" s="511">
        <f t="shared" si="121"/>
        <v>7.0000000000000007E-2</v>
      </c>
      <c r="AA161" s="287">
        <f t="shared" si="122"/>
        <v>1746.44</v>
      </c>
      <c r="AB161" s="287">
        <f t="shared" si="114"/>
        <v>391.10000000000014</v>
      </c>
      <c r="AC161" s="287">
        <f t="shared" si="123"/>
        <v>1355.34</v>
      </c>
      <c r="AD161" s="287">
        <f t="shared" si="100"/>
        <v>134.16999999999999</v>
      </c>
      <c r="AE161" s="287">
        <f t="shared" si="101"/>
        <v>188.55</v>
      </c>
      <c r="AF161" s="287">
        <f t="shared" si="115"/>
        <v>2069.1600000000003</v>
      </c>
      <c r="AG161" s="287">
        <f t="shared" si="116"/>
        <v>43995.900000000009</v>
      </c>
      <c r="AH161" s="287">
        <f t="shared" si="117"/>
        <v>104069.42</v>
      </c>
      <c r="AI161" s="530">
        <f t="shared" si="102"/>
        <v>10196.240000000009</v>
      </c>
      <c r="AJ161" s="530">
        <f t="shared" si="137"/>
        <v>-27629.639999999898</v>
      </c>
      <c r="AK161" s="530">
        <f t="shared" si="103"/>
        <v>-17433.399999999889</v>
      </c>
      <c r="AL161" s="287">
        <f t="shared" si="118"/>
        <v>231952.89999999988</v>
      </c>
      <c r="AM161" s="428">
        <f t="shared" si="129"/>
        <v>8</v>
      </c>
      <c r="AN161" s="14">
        <f t="shared" si="104"/>
        <v>749.98</v>
      </c>
      <c r="AO161" s="14">
        <f t="shared" si="92"/>
        <v>120018.86999999991</v>
      </c>
      <c r="AP161" s="14">
        <f t="shared" si="105"/>
        <v>959.90000000000009</v>
      </c>
      <c r="AS161" s="14">
        <f t="shared" si="124"/>
        <v>749.98</v>
      </c>
      <c r="AT161" s="14">
        <f t="shared" si="130"/>
        <v>76767.380000000063</v>
      </c>
      <c r="AU161" s="287">
        <f t="shared" si="131"/>
        <v>1251.4165075374992</v>
      </c>
      <c r="AV161" s="287">
        <f t="shared" si="132"/>
        <v>145726.36876878727</v>
      </c>
    </row>
    <row r="162" spans="1:48" x14ac:dyDescent="0.25">
      <c r="A162" s="519">
        <f t="shared" si="106"/>
        <v>48819</v>
      </c>
      <c r="B162" s="287">
        <f t="shared" si="125"/>
        <v>129769.58999999991</v>
      </c>
      <c r="C162" s="14">
        <f t="shared" si="119"/>
        <v>786.54</v>
      </c>
      <c r="D162" s="14">
        <f t="shared" si="133"/>
        <v>462.11999999999995</v>
      </c>
      <c r="E162" s="14">
        <f t="shared" si="120"/>
        <v>324.42</v>
      </c>
      <c r="F162" s="14">
        <f t="shared" si="96"/>
        <v>134.16999999999999</v>
      </c>
      <c r="G162" s="14">
        <f t="shared" si="94"/>
        <v>188.55</v>
      </c>
      <c r="H162" s="14">
        <f t="shared" si="95"/>
        <v>1109.26</v>
      </c>
      <c r="I162" s="287">
        <f t="shared" si="107"/>
        <v>57716.929999999957</v>
      </c>
      <c r="J162" s="287">
        <f t="shared" si="108"/>
        <v>59157.390000000014</v>
      </c>
      <c r="K162" s="287">
        <f t="shared" si="109"/>
        <v>129307.46999999991</v>
      </c>
      <c r="L162" s="428">
        <f t="shared" si="93"/>
        <v>8</v>
      </c>
      <c r="M162" s="428">
        <f t="shared" si="126"/>
        <v>103</v>
      </c>
      <c r="N162" s="287">
        <f t="shared" si="127"/>
        <v>204323.25999999998</v>
      </c>
      <c r="O162" s="287">
        <f t="shared" si="110"/>
        <v>1536.52</v>
      </c>
      <c r="P162" s="287">
        <f t="shared" si="134"/>
        <v>344.62999999999988</v>
      </c>
      <c r="Q162" s="287">
        <f t="shared" si="111"/>
        <v>1191.8900000000001</v>
      </c>
      <c r="R162" s="287">
        <f t="shared" si="98"/>
        <v>134.16999999999999</v>
      </c>
      <c r="S162" s="287">
        <f t="shared" si="99"/>
        <v>188.55</v>
      </c>
      <c r="T162" s="287">
        <f t="shared" si="97"/>
        <v>1859.24</v>
      </c>
      <c r="U162" s="287">
        <f t="shared" si="135"/>
        <v>26971.370000000014</v>
      </c>
      <c r="V162" s="287">
        <f t="shared" si="136"/>
        <v>132826.71000000002</v>
      </c>
      <c r="W162" s="287">
        <f t="shared" si="112"/>
        <v>203978.62999999998</v>
      </c>
      <c r="X162" s="519">
        <f t="shared" si="128"/>
        <v>48819</v>
      </c>
      <c r="Y162" s="287">
        <f t="shared" si="113"/>
        <v>231952.89999999988</v>
      </c>
      <c r="Z162" s="511">
        <f t="shared" si="121"/>
        <v>7.0000000000000007E-2</v>
      </c>
      <c r="AA162" s="287">
        <f t="shared" si="122"/>
        <v>1746.44</v>
      </c>
      <c r="AB162" s="287">
        <f t="shared" si="114"/>
        <v>393.38000000000011</v>
      </c>
      <c r="AC162" s="287">
        <f t="shared" si="123"/>
        <v>1353.06</v>
      </c>
      <c r="AD162" s="287">
        <f t="shared" si="100"/>
        <v>134.16999999999999</v>
      </c>
      <c r="AE162" s="287">
        <f t="shared" si="101"/>
        <v>188.55</v>
      </c>
      <c r="AF162" s="287">
        <f t="shared" si="115"/>
        <v>2069.1600000000003</v>
      </c>
      <c r="AG162" s="287">
        <f t="shared" si="116"/>
        <v>44389.280000000006</v>
      </c>
      <c r="AH162" s="287">
        <f t="shared" si="117"/>
        <v>105422.48</v>
      </c>
      <c r="AI162" s="530">
        <f t="shared" si="102"/>
        <v>9986.3200000000088</v>
      </c>
      <c r="AJ162" s="530">
        <f t="shared" si="137"/>
        <v>-27580.889999999898</v>
      </c>
      <c r="AK162" s="530">
        <f t="shared" si="103"/>
        <v>-17594.569999999891</v>
      </c>
      <c r="AL162" s="287">
        <f t="shared" si="118"/>
        <v>231559.51999999987</v>
      </c>
      <c r="AM162" s="428">
        <f t="shared" si="129"/>
        <v>8</v>
      </c>
      <c r="AN162" s="14">
        <f t="shared" si="104"/>
        <v>749.98</v>
      </c>
      <c r="AO162" s="14">
        <f t="shared" si="92"/>
        <v>120136.35999999994</v>
      </c>
      <c r="AP162" s="14">
        <f t="shared" si="105"/>
        <v>959.90000000000009</v>
      </c>
      <c r="AS162" s="14">
        <f t="shared" si="124"/>
        <v>749.98</v>
      </c>
      <c r="AT162" s="14">
        <f t="shared" si="130"/>
        <v>77517.360000000059</v>
      </c>
      <c r="AU162" s="287">
        <f t="shared" si="131"/>
        <v>1255.5878958959574</v>
      </c>
      <c r="AV162" s="287">
        <f t="shared" si="132"/>
        <v>146981.95666468324</v>
      </c>
    </row>
    <row r="163" spans="1:48" x14ac:dyDescent="0.25">
      <c r="A163" s="519">
        <f t="shared" si="106"/>
        <v>48849</v>
      </c>
      <c r="B163" s="287">
        <f t="shared" si="125"/>
        <v>129307.46999999991</v>
      </c>
      <c r="C163" s="14">
        <f t="shared" si="119"/>
        <v>786.54</v>
      </c>
      <c r="D163" s="14">
        <f t="shared" si="133"/>
        <v>463.27</v>
      </c>
      <c r="E163" s="14">
        <f t="shared" si="120"/>
        <v>323.27</v>
      </c>
      <c r="F163" s="14">
        <f t="shared" si="96"/>
        <v>134.16999999999999</v>
      </c>
      <c r="G163" s="14">
        <f t="shared" si="94"/>
        <v>188.55</v>
      </c>
      <c r="H163" s="14">
        <f t="shared" si="95"/>
        <v>1109.26</v>
      </c>
      <c r="I163" s="287">
        <f t="shared" si="107"/>
        <v>58180.199999999953</v>
      </c>
      <c r="J163" s="287">
        <f t="shared" si="108"/>
        <v>59480.660000000011</v>
      </c>
      <c r="K163" s="287">
        <f t="shared" si="109"/>
        <v>128844.19999999991</v>
      </c>
      <c r="L163" s="428">
        <f t="shared" si="93"/>
        <v>8</v>
      </c>
      <c r="M163" s="428">
        <f t="shared" si="126"/>
        <v>104</v>
      </c>
      <c r="N163" s="287">
        <f t="shared" si="127"/>
        <v>203978.62999999998</v>
      </c>
      <c r="O163" s="287">
        <f t="shared" si="110"/>
        <v>1536.52</v>
      </c>
      <c r="P163" s="287">
        <f t="shared" si="134"/>
        <v>346.63999999999987</v>
      </c>
      <c r="Q163" s="287">
        <f t="shared" si="111"/>
        <v>1189.8800000000001</v>
      </c>
      <c r="R163" s="287">
        <f t="shared" si="98"/>
        <v>134.16999999999999</v>
      </c>
      <c r="S163" s="287">
        <f t="shared" si="99"/>
        <v>188.55</v>
      </c>
      <c r="T163" s="287">
        <f t="shared" si="97"/>
        <v>1859.24</v>
      </c>
      <c r="U163" s="287">
        <f t="shared" si="135"/>
        <v>27318.010000000013</v>
      </c>
      <c r="V163" s="287">
        <f t="shared" si="136"/>
        <v>134016.59000000003</v>
      </c>
      <c r="W163" s="287">
        <f t="shared" si="112"/>
        <v>203631.98999999996</v>
      </c>
      <c r="X163" s="519">
        <f t="shared" si="128"/>
        <v>48849</v>
      </c>
      <c r="Y163" s="287">
        <f t="shared" si="113"/>
        <v>231559.51999999987</v>
      </c>
      <c r="Z163" s="511">
        <f t="shared" si="121"/>
        <v>7.0000000000000007E-2</v>
      </c>
      <c r="AA163" s="287">
        <f t="shared" si="122"/>
        <v>1746.44</v>
      </c>
      <c r="AB163" s="287">
        <f t="shared" si="114"/>
        <v>395.68000000000006</v>
      </c>
      <c r="AC163" s="287">
        <f t="shared" si="123"/>
        <v>1350.76</v>
      </c>
      <c r="AD163" s="287">
        <f t="shared" si="100"/>
        <v>134.16999999999999</v>
      </c>
      <c r="AE163" s="287">
        <f t="shared" si="101"/>
        <v>188.55</v>
      </c>
      <c r="AF163" s="287">
        <f t="shared" si="115"/>
        <v>2069.1600000000003</v>
      </c>
      <c r="AG163" s="287">
        <f t="shared" si="116"/>
        <v>44784.960000000006</v>
      </c>
      <c r="AH163" s="287">
        <f t="shared" si="117"/>
        <v>106773.23999999999</v>
      </c>
      <c r="AI163" s="530">
        <f t="shared" si="102"/>
        <v>9776.4000000000087</v>
      </c>
      <c r="AJ163" s="530">
        <f t="shared" si="137"/>
        <v>-27531.849999999919</v>
      </c>
      <c r="AK163" s="530">
        <f t="shared" si="103"/>
        <v>-17755.44999999991</v>
      </c>
      <c r="AL163" s="287">
        <f t="shared" si="118"/>
        <v>231163.83999999988</v>
      </c>
      <c r="AM163" s="428">
        <f t="shared" si="129"/>
        <v>8</v>
      </c>
      <c r="AN163" s="14">
        <f t="shared" si="104"/>
        <v>749.98</v>
      </c>
      <c r="AO163" s="14">
        <f t="shared" si="92"/>
        <v>120252.98999999993</v>
      </c>
      <c r="AP163" s="14">
        <f t="shared" si="105"/>
        <v>959.90000000000009</v>
      </c>
      <c r="AS163" s="14">
        <f t="shared" si="124"/>
        <v>749.98</v>
      </c>
      <c r="AT163" s="14">
        <f t="shared" si="130"/>
        <v>78267.340000000055</v>
      </c>
      <c r="AU163" s="287">
        <f t="shared" si="131"/>
        <v>1259.7731888822775</v>
      </c>
      <c r="AV163" s="287">
        <f t="shared" si="132"/>
        <v>148241.72985356551</v>
      </c>
    </row>
    <row r="164" spans="1:48" x14ac:dyDescent="0.25">
      <c r="A164" s="519">
        <f t="shared" si="106"/>
        <v>48879</v>
      </c>
      <c r="B164" s="287">
        <f t="shared" si="125"/>
        <v>128844.19999999991</v>
      </c>
      <c r="C164" s="14">
        <f t="shared" si="119"/>
        <v>786.54</v>
      </c>
      <c r="D164" s="14">
        <f t="shared" si="133"/>
        <v>464.42999999999995</v>
      </c>
      <c r="E164" s="14">
        <f t="shared" si="120"/>
        <v>322.11</v>
      </c>
      <c r="F164" s="14">
        <f t="shared" si="96"/>
        <v>134.16999999999999</v>
      </c>
      <c r="G164" s="14">
        <f t="shared" si="94"/>
        <v>188.55</v>
      </c>
      <c r="H164" s="14">
        <f t="shared" si="95"/>
        <v>1109.26</v>
      </c>
      <c r="I164" s="287">
        <f t="shared" si="107"/>
        <v>58644.629999999954</v>
      </c>
      <c r="J164" s="287">
        <f t="shared" si="108"/>
        <v>59802.770000000011</v>
      </c>
      <c r="K164" s="287">
        <f t="shared" si="109"/>
        <v>128379.76999999992</v>
      </c>
      <c r="L164" s="428">
        <f t="shared" si="93"/>
        <v>8</v>
      </c>
      <c r="M164" s="428">
        <f t="shared" si="126"/>
        <v>105</v>
      </c>
      <c r="N164" s="287">
        <f t="shared" si="127"/>
        <v>203631.98999999996</v>
      </c>
      <c r="O164" s="287">
        <f t="shared" si="110"/>
        <v>1536.52</v>
      </c>
      <c r="P164" s="287">
        <f t="shared" si="134"/>
        <v>348.67000000000007</v>
      </c>
      <c r="Q164" s="287">
        <f t="shared" si="111"/>
        <v>1187.8499999999999</v>
      </c>
      <c r="R164" s="287">
        <f t="shared" si="98"/>
        <v>134.16999999999999</v>
      </c>
      <c r="S164" s="287">
        <f t="shared" si="99"/>
        <v>188.55</v>
      </c>
      <c r="T164" s="287">
        <f t="shared" si="97"/>
        <v>1859.24</v>
      </c>
      <c r="U164" s="287">
        <f t="shared" si="135"/>
        <v>27666.680000000015</v>
      </c>
      <c r="V164" s="287">
        <f t="shared" si="136"/>
        <v>135204.44000000003</v>
      </c>
      <c r="W164" s="287">
        <f t="shared" si="112"/>
        <v>203283.31999999995</v>
      </c>
      <c r="X164" s="519">
        <f t="shared" si="128"/>
        <v>48879</v>
      </c>
      <c r="Y164" s="287">
        <f t="shared" si="113"/>
        <v>231163.83999999988</v>
      </c>
      <c r="Z164" s="511">
        <f t="shared" si="121"/>
        <v>7.0000000000000007E-2</v>
      </c>
      <c r="AA164" s="287">
        <f t="shared" si="122"/>
        <v>1746.44</v>
      </c>
      <c r="AB164" s="287">
        <f t="shared" si="114"/>
        <v>397.98</v>
      </c>
      <c r="AC164" s="287">
        <f t="shared" si="123"/>
        <v>1348.46</v>
      </c>
      <c r="AD164" s="287">
        <f t="shared" si="100"/>
        <v>134.16999999999999</v>
      </c>
      <c r="AE164" s="287">
        <f t="shared" si="101"/>
        <v>188.55</v>
      </c>
      <c r="AF164" s="287">
        <f t="shared" si="115"/>
        <v>2069.1600000000003</v>
      </c>
      <c r="AG164" s="287">
        <f t="shared" si="116"/>
        <v>45182.94000000001</v>
      </c>
      <c r="AH164" s="287">
        <f t="shared" si="117"/>
        <v>108121.7</v>
      </c>
      <c r="AI164" s="530">
        <f t="shared" si="102"/>
        <v>9566.4800000000087</v>
      </c>
      <c r="AJ164" s="530">
        <f t="shared" si="137"/>
        <v>-27482.539999999921</v>
      </c>
      <c r="AK164" s="530">
        <f t="shared" si="103"/>
        <v>-17916.05999999991</v>
      </c>
      <c r="AL164" s="287">
        <f t="shared" si="118"/>
        <v>230765.85999999987</v>
      </c>
      <c r="AM164" s="428">
        <f t="shared" si="129"/>
        <v>8</v>
      </c>
      <c r="AN164" s="14">
        <f t="shared" si="104"/>
        <v>749.98</v>
      </c>
      <c r="AO164" s="14">
        <f t="shared" si="92"/>
        <v>120368.74999999991</v>
      </c>
      <c r="AP164" s="14">
        <f t="shared" si="105"/>
        <v>959.90000000000009</v>
      </c>
      <c r="AS164" s="14">
        <f t="shared" si="124"/>
        <v>749.98</v>
      </c>
      <c r="AT164" s="14">
        <f t="shared" si="130"/>
        <v>79017.320000000051</v>
      </c>
      <c r="AU164" s="287">
        <f t="shared" si="131"/>
        <v>1263.9724328452185</v>
      </c>
      <c r="AV164" s="287">
        <f t="shared" si="132"/>
        <v>149505.70228641073</v>
      </c>
    </row>
    <row r="165" spans="1:48" x14ac:dyDescent="0.25">
      <c r="A165" s="519">
        <f t="shared" si="106"/>
        <v>48909</v>
      </c>
      <c r="B165" s="287">
        <f t="shared" si="125"/>
        <v>128379.76999999992</v>
      </c>
      <c r="C165" s="14">
        <f t="shared" si="119"/>
        <v>786.54</v>
      </c>
      <c r="D165" s="14">
        <f t="shared" si="133"/>
        <v>465.59</v>
      </c>
      <c r="E165" s="14">
        <f t="shared" si="120"/>
        <v>320.95</v>
      </c>
      <c r="F165" s="14">
        <f t="shared" si="96"/>
        <v>134.16999999999999</v>
      </c>
      <c r="G165" s="14">
        <f t="shared" si="94"/>
        <v>188.55</v>
      </c>
      <c r="H165" s="14">
        <f t="shared" si="95"/>
        <v>1109.26</v>
      </c>
      <c r="I165" s="287">
        <f t="shared" si="107"/>
        <v>59110.21999999995</v>
      </c>
      <c r="J165" s="287">
        <f t="shared" si="108"/>
        <v>60123.720000000008</v>
      </c>
      <c r="K165" s="287">
        <f t="shared" si="109"/>
        <v>127914.17999999992</v>
      </c>
      <c r="L165" s="428">
        <f t="shared" si="93"/>
        <v>8</v>
      </c>
      <c r="M165" s="428">
        <f t="shared" si="126"/>
        <v>106</v>
      </c>
      <c r="N165" s="287">
        <f t="shared" si="127"/>
        <v>203283.31999999995</v>
      </c>
      <c r="O165" s="287">
        <f t="shared" si="110"/>
        <v>1536.52</v>
      </c>
      <c r="P165" s="287">
        <f t="shared" si="134"/>
        <v>350.70000000000005</v>
      </c>
      <c r="Q165" s="287">
        <f t="shared" si="111"/>
        <v>1185.82</v>
      </c>
      <c r="R165" s="287">
        <f t="shared" si="98"/>
        <v>134.16999999999999</v>
      </c>
      <c r="S165" s="287">
        <f t="shared" si="99"/>
        <v>188.55</v>
      </c>
      <c r="T165" s="287">
        <f t="shared" si="97"/>
        <v>1859.24</v>
      </c>
      <c r="U165" s="287">
        <f t="shared" si="135"/>
        <v>28017.380000000016</v>
      </c>
      <c r="V165" s="287">
        <f t="shared" si="136"/>
        <v>136390.26000000004</v>
      </c>
      <c r="W165" s="287">
        <f t="shared" si="112"/>
        <v>202932.61999999994</v>
      </c>
      <c r="X165" s="519">
        <f t="shared" si="128"/>
        <v>48909</v>
      </c>
      <c r="Y165" s="287">
        <f t="shared" si="113"/>
        <v>230765.85999999987</v>
      </c>
      <c r="Z165" s="511">
        <f t="shared" si="121"/>
        <v>7.0000000000000007E-2</v>
      </c>
      <c r="AA165" s="287">
        <f t="shared" si="122"/>
        <v>1746.44</v>
      </c>
      <c r="AB165" s="287">
        <f t="shared" si="114"/>
        <v>400.30999999999995</v>
      </c>
      <c r="AC165" s="287">
        <f t="shared" si="123"/>
        <v>1346.13</v>
      </c>
      <c r="AD165" s="287">
        <f t="shared" si="100"/>
        <v>134.16999999999999</v>
      </c>
      <c r="AE165" s="287">
        <f t="shared" si="101"/>
        <v>188.55</v>
      </c>
      <c r="AF165" s="287">
        <f t="shared" si="115"/>
        <v>2069.1600000000003</v>
      </c>
      <c r="AG165" s="287">
        <f t="shared" si="116"/>
        <v>45583.250000000007</v>
      </c>
      <c r="AH165" s="287">
        <f t="shared" si="117"/>
        <v>109467.83</v>
      </c>
      <c r="AI165" s="530">
        <f t="shared" si="102"/>
        <v>9356.5600000000086</v>
      </c>
      <c r="AJ165" s="530">
        <f t="shared" si="137"/>
        <v>-27432.929999999935</v>
      </c>
      <c r="AK165" s="530">
        <f t="shared" si="103"/>
        <v>-18076.369999999926</v>
      </c>
      <c r="AL165" s="287">
        <f t="shared" si="118"/>
        <v>230365.54999999987</v>
      </c>
      <c r="AM165" s="428">
        <f t="shared" si="129"/>
        <v>8</v>
      </c>
      <c r="AN165" s="14">
        <f t="shared" si="104"/>
        <v>749.98</v>
      </c>
      <c r="AO165" s="14">
        <f t="shared" si="92"/>
        <v>120483.63999999991</v>
      </c>
      <c r="AP165" s="14">
        <f t="shared" si="105"/>
        <v>959.90000000000009</v>
      </c>
      <c r="AS165" s="14">
        <f t="shared" si="124"/>
        <v>749.98</v>
      </c>
      <c r="AT165" s="14">
        <f t="shared" si="130"/>
        <v>79767.300000000047</v>
      </c>
      <c r="AU165" s="287">
        <f t="shared" si="131"/>
        <v>1268.1856742880357</v>
      </c>
      <c r="AV165" s="287">
        <f t="shared" si="132"/>
        <v>150773.88796069878</v>
      </c>
    </row>
    <row r="166" spans="1:48" x14ac:dyDescent="0.25">
      <c r="A166" s="519">
        <f t="shared" si="106"/>
        <v>48939</v>
      </c>
      <c r="B166" s="287">
        <f t="shared" si="125"/>
        <v>127914.17999999992</v>
      </c>
      <c r="C166" s="14">
        <f t="shared" si="119"/>
        <v>786.54</v>
      </c>
      <c r="D166" s="14">
        <f t="shared" si="133"/>
        <v>466.74999999999994</v>
      </c>
      <c r="E166" s="14">
        <f t="shared" si="120"/>
        <v>319.79000000000002</v>
      </c>
      <c r="F166" s="14">
        <f t="shared" si="96"/>
        <v>134.16999999999999</v>
      </c>
      <c r="G166" s="14">
        <f t="shared" si="94"/>
        <v>188.55</v>
      </c>
      <c r="H166" s="14">
        <f t="shared" si="95"/>
        <v>1109.26</v>
      </c>
      <c r="I166" s="287">
        <f t="shared" si="107"/>
        <v>59576.96999999995</v>
      </c>
      <c r="J166" s="287">
        <f t="shared" si="108"/>
        <v>60443.510000000009</v>
      </c>
      <c r="K166" s="287">
        <f t="shared" si="109"/>
        <v>127447.42999999992</v>
      </c>
      <c r="L166" s="428">
        <f t="shared" si="93"/>
        <v>8</v>
      </c>
      <c r="M166" s="428">
        <f t="shared" si="126"/>
        <v>107</v>
      </c>
      <c r="N166" s="287">
        <f t="shared" si="127"/>
        <v>202932.61999999994</v>
      </c>
      <c r="O166" s="287">
        <f t="shared" si="110"/>
        <v>1536.52</v>
      </c>
      <c r="P166" s="287">
        <f t="shared" si="134"/>
        <v>352.75</v>
      </c>
      <c r="Q166" s="287">
        <f t="shared" si="111"/>
        <v>1183.77</v>
      </c>
      <c r="R166" s="287">
        <f t="shared" si="98"/>
        <v>134.16999999999999</v>
      </c>
      <c r="S166" s="287">
        <f t="shared" si="99"/>
        <v>188.55</v>
      </c>
      <c r="T166" s="287">
        <f t="shared" si="97"/>
        <v>1859.24</v>
      </c>
      <c r="U166" s="287">
        <f t="shared" si="135"/>
        <v>28370.130000000016</v>
      </c>
      <c r="V166" s="287">
        <f t="shared" si="136"/>
        <v>137574.03000000003</v>
      </c>
      <c r="W166" s="287">
        <f t="shared" si="112"/>
        <v>202579.86999999994</v>
      </c>
      <c r="X166" s="519">
        <f t="shared" si="128"/>
        <v>48939</v>
      </c>
      <c r="Y166" s="287">
        <f t="shared" si="113"/>
        <v>230365.54999999987</v>
      </c>
      <c r="Z166" s="511">
        <f t="shared" si="121"/>
        <v>7.0000000000000007E-2</v>
      </c>
      <c r="AA166" s="287">
        <f t="shared" si="122"/>
        <v>1746.44</v>
      </c>
      <c r="AB166" s="287">
        <f t="shared" si="114"/>
        <v>402.6400000000001</v>
      </c>
      <c r="AC166" s="287">
        <f t="shared" si="123"/>
        <v>1343.8</v>
      </c>
      <c r="AD166" s="287">
        <f t="shared" si="100"/>
        <v>134.16999999999999</v>
      </c>
      <c r="AE166" s="287">
        <f t="shared" si="101"/>
        <v>188.55</v>
      </c>
      <c r="AF166" s="287">
        <f t="shared" si="115"/>
        <v>2069.1600000000003</v>
      </c>
      <c r="AG166" s="287">
        <f t="shared" si="116"/>
        <v>45985.890000000007</v>
      </c>
      <c r="AH166" s="287">
        <f t="shared" si="117"/>
        <v>110811.63</v>
      </c>
      <c r="AI166" s="530">
        <f t="shared" si="102"/>
        <v>9146.6400000000085</v>
      </c>
      <c r="AJ166" s="530">
        <f t="shared" si="137"/>
        <v>-27383.039999999921</v>
      </c>
      <c r="AK166" s="530">
        <f t="shared" si="103"/>
        <v>-18236.399999999914</v>
      </c>
      <c r="AL166" s="287">
        <f t="shared" si="118"/>
        <v>229962.90999999986</v>
      </c>
      <c r="AM166" s="428">
        <f t="shared" si="129"/>
        <v>8</v>
      </c>
      <c r="AN166" s="14">
        <f t="shared" si="104"/>
        <v>749.98</v>
      </c>
      <c r="AO166" s="14">
        <f t="shared" si="92"/>
        <v>120597.63999999991</v>
      </c>
      <c r="AP166" s="14">
        <f t="shared" si="105"/>
        <v>959.90000000000009</v>
      </c>
      <c r="AS166" s="14">
        <f t="shared" si="124"/>
        <v>749.98</v>
      </c>
      <c r="AT166" s="14">
        <f t="shared" si="130"/>
        <v>80517.280000000042</v>
      </c>
      <c r="AU166" s="287">
        <f t="shared" si="131"/>
        <v>1272.412959868996</v>
      </c>
      <c r="AV166" s="287">
        <f t="shared" si="132"/>
        <v>152046.30092056777</v>
      </c>
    </row>
    <row r="167" spans="1:48" x14ac:dyDescent="0.25">
      <c r="A167" s="519">
        <f t="shared" si="106"/>
        <v>48969</v>
      </c>
      <c r="B167" s="287">
        <f t="shared" si="125"/>
        <v>127447.42999999992</v>
      </c>
      <c r="C167" s="14">
        <f t="shared" si="119"/>
        <v>786.54</v>
      </c>
      <c r="D167" s="14">
        <f t="shared" si="133"/>
        <v>467.91999999999996</v>
      </c>
      <c r="E167" s="14">
        <f t="shared" si="120"/>
        <v>318.62</v>
      </c>
      <c r="F167" s="14">
        <f t="shared" si="96"/>
        <v>134.16999999999999</v>
      </c>
      <c r="G167" s="14">
        <f t="shared" si="94"/>
        <v>188.55</v>
      </c>
      <c r="H167" s="14">
        <f t="shared" si="95"/>
        <v>1109.26</v>
      </c>
      <c r="I167" s="287">
        <f t="shared" si="107"/>
        <v>60044.889999999948</v>
      </c>
      <c r="J167" s="287">
        <f t="shared" si="108"/>
        <v>60762.130000000012</v>
      </c>
      <c r="K167" s="287">
        <f t="shared" si="109"/>
        <v>126979.50999999992</v>
      </c>
      <c r="L167" s="428">
        <f t="shared" si="93"/>
        <v>9</v>
      </c>
      <c r="M167" s="428">
        <f t="shared" si="126"/>
        <v>108</v>
      </c>
      <c r="N167" s="287">
        <f t="shared" si="127"/>
        <v>202579.86999999994</v>
      </c>
      <c r="O167" s="287">
        <f t="shared" si="110"/>
        <v>1536.52</v>
      </c>
      <c r="P167" s="287">
        <f t="shared" si="134"/>
        <v>354.79999999999995</v>
      </c>
      <c r="Q167" s="287">
        <f t="shared" si="111"/>
        <v>1181.72</v>
      </c>
      <c r="R167" s="287">
        <f t="shared" si="98"/>
        <v>134.16999999999999</v>
      </c>
      <c r="S167" s="287">
        <f t="shared" si="99"/>
        <v>188.55</v>
      </c>
      <c r="T167" s="287">
        <f t="shared" si="97"/>
        <v>1859.24</v>
      </c>
      <c r="U167" s="287">
        <f t="shared" si="135"/>
        <v>28724.930000000015</v>
      </c>
      <c r="V167" s="287">
        <f t="shared" si="136"/>
        <v>138755.75000000003</v>
      </c>
      <c r="W167" s="287">
        <f t="shared" si="112"/>
        <v>202225.06999999995</v>
      </c>
      <c r="X167" s="519">
        <f t="shared" si="128"/>
        <v>48969</v>
      </c>
      <c r="Y167" s="287">
        <f t="shared" si="113"/>
        <v>229962.90999999986</v>
      </c>
      <c r="Z167" s="511">
        <f t="shared" si="121"/>
        <v>7.0000000000000007E-2</v>
      </c>
      <c r="AA167" s="287">
        <f t="shared" si="122"/>
        <v>1746.44</v>
      </c>
      <c r="AB167" s="287">
        <f t="shared" si="114"/>
        <v>404.99</v>
      </c>
      <c r="AC167" s="287">
        <f t="shared" si="123"/>
        <v>1341.45</v>
      </c>
      <c r="AD167" s="287">
        <f t="shared" si="100"/>
        <v>134.16999999999999</v>
      </c>
      <c r="AE167" s="287">
        <f t="shared" si="101"/>
        <v>188.55</v>
      </c>
      <c r="AF167" s="287">
        <f t="shared" si="115"/>
        <v>2069.1600000000003</v>
      </c>
      <c r="AG167" s="287">
        <f t="shared" si="116"/>
        <v>46390.880000000005</v>
      </c>
      <c r="AH167" s="287">
        <f t="shared" si="117"/>
        <v>112153.08</v>
      </c>
      <c r="AI167" s="530">
        <f t="shared" si="102"/>
        <v>8936.7200000000084</v>
      </c>
      <c r="AJ167" s="530">
        <f t="shared" si="137"/>
        <v>-27332.849999999919</v>
      </c>
      <c r="AK167" s="530">
        <f t="shared" si="103"/>
        <v>-18396.12999999991</v>
      </c>
      <c r="AL167" s="287">
        <f t="shared" si="118"/>
        <v>229557.91999999987</v>
      </c>
      <c r="AM167" s="428">
        <f t="shared" si="129"/>
        <v>9</v>
      </c>
      <c r="AN167" s="14">
        <f t="shared" si="104"/>
        <v>749.98</v>
      </c>
      <c r="AO167" s="14">
        <f t="shared" si="92"/>
        <v>120710.75999999992</v>
      </c>
      <c r="AP167" s="14">
        <f t="shared" si="105"/>
        <v>959.90000000000009</v>
      </c>
      <c r="AS167" s="14">
        <f t="shared" si="124"/>
        <v>749.98</v>
      </c>
      <c r="AT167" s="14">
        <f t="shared" si="130"/>
        <v>81267.260000000038</v>
      </c>
      <c r="AU167" s="287">
        <f t="shared" si="131"/>
        <v>1276.6543364018926</v>
      </c>
      <c r="AV167" s="287">
        <f t="shared" si="132"/>
        <v>153322.95525696967</v>
      </c>
    </row>
    <row r="168" spans="1:48" x14ac:dyDescent="0.25">
      <c r="A168" s="519">
        <f t="shared" si="106"/>
        <v>48999</v>
      </c>
      <c r="B168" s="287">
        <f t="shared" si="125"/>
        <v>126979.50999999992</v>
      </c>
      <c r="C168" s="14">
        <f t="shared" si="119"/>
        <v>786.54</v>
      </c>
      <c r="D168" s="14">
        <f t="shared" si="133"/>
        <v>469.09</v>
      </c>
      <c r="E168" s="14">
        <f t="shared" si="120"/>
        <v>317.45</v>
      </c>
      <c r="F168" s="14">
        <f t="shared" si="96"/>
        <v>134.16999999999999</v>
      </c>
      <c r="G168" s="14">
        <f t="shared" si="94"/>
        <v>188.55</v>
      </c>
      <c r="H168" s="14">
        <f t="shared" si="95"/>
        <v>1109.26</v>
      </c>
      <c r="I168" s="287">
        <f t="shared" si="107"/>
        <v>60513.979999999945</v>
      </c>
      <c r="J168" s="287">
        <f t="shared" si="108"/>
        <v>61079.580000000009</v>
      </c>
      <c r="K168" s="287">
        <f t="shared" si="109"/>
        <v>126510.41999999993</v>
      </c>
      <c r="L168" s="428">
        <f t="shared" si="93"/>
        <v>9</v>
      </c>
      <c r="M168" s="428">
        <f t="shared" si="126"/>
        <v>109</v>
      </c>
      <c r="N168" s="287">
        <f t="shared" si="127"/>
        <v>202225.06999999995</v>
      </c>
      <c r="O168" s="287">
        <f t="shared" si="110"/>
        <v>1536.52</v>
      </c>
      <c r="P168" s="287">
        <f t="shared" si="134"/>
        <v>356.86999999999989</v>
      </c>
      <c r="Q168" s="287">
        <f t="shared" si="111"/>
        <v>1179.6500000000001</v>
      </c>
      <c r="R168" s="287">
        <f t="shared" si="98"/>
        <v>134.16999999999999</v>
      </c>
      <c r="S168" s="287">
        <f t="shared" si="99"/>
        <v>188.55</v>
      </c>
      <c r="T168" s="287">
        <f t="shared" si="97"/>
        <v>1859.24</v>
      </c>
      <c r="U168" s="287">
        <f t="shared" si="135"/>
        <v>29081.800000000014</v>
      </c>
      <c r="V168" s="287">
        <f t="shared" si="136"/>
        <v>139935.40000000002</v>
      </c>
      <c r="W168" s="287">
        <f t="shared" si="112"/>
        <v>201868.19999999995</v>
      </c>
      <c r="X168" s="519">
        <f t="shared" si="128"/>
        <v>48999</v>
      </c>
      <c r="Y168" s="287">
        <f t="shared" si="113"/>
        <v>229557.91999999987</v>
      </c>
      <c r="Z168" s="511">
        <f t="shared" si="121"/>
        <v>7.0000000000000007E-2</v>
      </c>
      <c r="AA168" s="287">
        <f t="shared" si="122"/>
        <v>1746.44</v>
      </c>
      <c r="AB168" s="287">
        <f t="shared" si="114"/>
        <v>407.35000000000014</v>
      </c>
      <c r="AC168" s="287">
        <f t="shared" si="123"/>
        <v>1339.09</v>
      </c>
      <c r="AD168" s="287">
        <f t="shared" si="100"/>
        <v>134.16999999999999</v>
      </c>
      <c r="AE168" s="287">
        <f t="shared" si="101"/>
        <v>188.55</v>
      </c>
      <c r="AF168" s="287">
        <f t="shared" si="115"/>
        <v>2069.1600000000003</v>
      </c>
      <c r="AG168" s="287">
        <f t="shared" si="116"/>
        <v>46798.23</v>
      </c>
      <c r="AH168" s="287">
        <f t="shared" si="117"/>
        <v>113492.17</v>
      </c>
      <c r="AI168" s="530">
        <f t="shared" si="102"/>
        <v>8726.8000000000084</v>
      </c>
      <c r="AJ168" s="530">
        <f t="shared" si="137"/>
        <v>-27282.369999999908</v>
      </c>
      <c r="AK168" s="530">
        <f t="shared" si="103"/>
        <v>-18555.569999999898</v>
      </c>
      <c r="AL168" s="287">
        <f t="shared" si="118"/>
        <v>229150.56999999986</v>
      </c>
      <c r="AM168" s="428">
        <f t="shared" si="129"/>
        <v>9</v>
      </c>
      <c r="AN168" s="14">
        <f t="shared" si="104"/>
        <v>749.98</v>
      </c>
      <c r="AO168" s="14">
        <f t="shared" si="92"/>
        <v>120822.97999999992</v>
      </c>
      <c r="AP168" s="14">
        <f t="shared" si="105"/>
        <v>959.90000000000009</v>
      </c>
      <c r="AS168" s="14">
        <f t="shared" si="124"/>
        <v>749.98</v>
      </c>
      <c r="AT168" s="14">
        <f t="shared" si="130"/>
        <v>82017.240000000034</v>
      </c>
      <c r="AU168" s="287">
        <f t="shared" si="131"/>
        <v>1280.9098508565655</v>
      </c>
      <c r="AV168" s="287">
        <f t="shared" si="132"/>
        <v>154603.86510782622</v>
      </c>
    </row>
    <row r="169" spans="1:48" x14ac:dyDescent="0.25">
      <c r="A169" s="519">
        <f t="shared" si="106"/>
        <v>49029</v>
      </c>
      <c r="B169" s="287">
        <f t="shared" si="125"/>
        <v>126510.41999999993</v>
      </c>
      <c r="C169" s="14">
        <f t="shared" si="119"/>
        <v>786.54</v>
      </c>
      <c r="D169" s="14">
        <f t="shared" si="133"/>
        <v>470.26</v>
      </c>
      <c r="E169" s="14">
        <f t="shared" si="120"/>
        <v>316.27999999999997</v>
      </c>
      <c r="F169" s="14">
        <f t="shared" si="96"/>
        <v>134.16999999999999</v>
      </c>
      <c r="G169" s="14">
        <f t="shared" si="94"/>
        <v>188.55</v>
      </c>
      <c r="H169" s="14">
        <f t="shared" si="95"/>
        <v>1109.26</v>
      </c>
      <c r="I169" s="287">
        <f t="shared" si="107"/>
        <v>60984.239999999947</v>
      </c>
      <c r="J169" s="287">
        <f t="shared" si="108"/>
        <v>61395.860000000008</v>
      </c>
      <c r="K169" s="287">
        <f t="shared" si="109"/>
        <v>126040.15999999993</v>
      </c>
      <c r="L169" s="428">
        <f t="shared" si="93"/>
        <v>9</v>
      </c>
      <c r="M169" s="428">
        <f t="shared" si="126"/>
        <v>110</v>
      </c>
      <c r="N169" s="287">
        <f t="shared" si="127"/>
        <v>201868.19999999995</v>
      </c>
      <c r="O169" s="287">
        <f t="shared" si="110"/>
        <v>1536.52</v>
      </c>
      <c r="P169" s="287">
        <f t="shared" si="134"/>
        <v>358.96000000000004</v>
      </c>
      <c r="Q169" s="287">
        <f t="shared" si="111"/>
        <v>1177.56</v>
      </c>
      <c r="R169" s="287">
        <f t="shared" si="98"/>
        <v>134.16999999999999</v>
      </c>
      <c r="S169" s="287">
        <f t="shared" si="99"/>
        <v>188.55</v>
      </c>
      <c r="T169" s="287">
        <f t="shared" si="97"/>
        <v>1859.24</v>
      </c>
      <c r="U169" s="287">
        <f t="shared" si="135"/>
        <v>29440.760000000013</v>
      </c>
      <c r="V169" s="287">
        <f t="shared" si="136"/>
        <v>141112.96000000002</v>
      </c>
      <c r="W169" s="287">
        <f t="shared" si="112"/>
        <v>201509.23999999996</v>
      </c>
      <c r="X169" s="519">
        <f t="shared" si="128"/>
        <v>49029</v>
      </c>
      <c r="Y169" s="287">
        <f t="shared" si="113"/>
        <v>229150.56999999986</v>
      </c>
      <c r="Z169" s="511">
        <f t="shared" si="121"/>
        <v>7.0000000000000007E-2</v>
      </c>
      <c r="AA169" s="287">
        <f t="shared" si="122"/>
        <v>1746.44</v>
      </c>
      <c r="AB169" s="287">
        <f t="shared" si="114"/>
        <v>409.73</v>
      </c>
      <c r="AC169" s="287">
        <f t="shared" si="123"/>
        <v>1336.71</v>
      </c>
      <c r="AD169" s="287">
        <f t="shared" si="100"/>
        <v>134.16999999999999</v>
      </c>
      <c r="AE169" s="287">
        <f t="shared" si="101"/>
        <v>188.55</v>
      </c>
      <c r="AF169" s="287">
        <f t="shared" si="115"/>
        <v>2069.1600000000003</v>
      </c>
      <c r="AG169" s="287">
        <f t="shared" si="116"/>
        <v>47207.960000000006</v>
      </c>
      <c r="AH169" s="287">
        <f t="shared" si="117"/>
        <v>114828.88</v>
      </c>
      <c r="AI169" s="530">
        <f t="shared" si="102"/>
        <v>8516.8800000000083</v>
      </c>
      <c r="AJ169" s="530">
        <f t="shared" si="137"/>
        <v>-27231.599999999889</v>
      </c>
      <c r="AK169" s="530">
        <f t="shared" si="103"/>
        <v>-18714.719999999881</v>
      </c>
      <c r="AL169" s="287">
        <f t="shared" si="118"/>
        <v>228740.83999999985</v>
      </c>
      <c r="AM169" s="428">
        <f t="shared" si="129"/>
        <v>9</v>
      </c>
      <c r="AN169" s="14">
        <f t="shared" si="104"/>
        <v>749.98</v>
      </c>
      <c r="AO169" s="14">
        <f t="shared" si="92"/>
        <v>120934.27999999991</v>
      </c>
      <c r="AP169" s="14">
        <f t="shared" si="105"/>
        <v>959.90000000000009</v>
      </c>
      <c r="AS169" s="14">
        <f t="shared" si="124"/>
        <v>749.98</v>
      </c>
      <c r="AT169" s="14">
        <f t="shared" si="130"/>
        <v>82767.22000000003</v>
      </c>
      <c r="AU169" s="287">
        <f t="shared" si="131"/>
        <v>1285.1795503594205</v>
      </c>
      <c r="AV169" s="287">
        <f t="shared" si="132"/>
        <v>155889.04465818565</v>
      </c>
    </row>
    <row r="170" spans="1:48" ht="15.75" thickBot="1" x14ac:dyDescent="0.3">
      <c r="A170" s="522">
        <f t="shared" si="106"/>
        <v>49059</v>
      </c>
      <c r="B170" s="348">
        <f t="shared" si="125"/>
        <v>126040.15999999993</v>
      </c>
      <c r="C170" s="21">
        <f t="shared" si="119"/>
        <v>786.54</v>
      </c>
      <c r="D170" s="21">
        <f t="shared" si="133"/>
        <v>471.43999999999994</v>
      </c>
      <c r="E170" s="21">
        <f t="shared" si="120"/>
        <v>315.10000000000002</v>
      </c>
      <c r="F170" s="21">
        <f t="shared" si="96"/>
        <v>134.16999999999999</v>
      </c>
      <c r="G170" s="21">
        <f t="shared" si="94"/>
        <v>188.55</v>
      </c>
      <c r="H170" s="21">
        <f t="shared" si="95"/>
        <v>1109.26</v>
      </c>
      <c r="I170" s="348">
        <f t="shared" si="107"/>
        <v>61455.679999999949</v>
      </c>
      <c r="J170" s="348">
        <f t="shared" si="108"/>
        <v>61710.960000000006</v>
      </c>
      <c r="K170" s="348">
        <f t="shared" si="109"/>
        <v>125568.71999999993</v>
      </c>
      <c r="L170" s="429">
        <f t="shared" si="93"/>
        <v>9</v>
      </c>
      <c r="M170" s="429">
        <f t="shared" si="126"/>
        <v>111</v>
      </c>
      <c r="N170" s="348">
        <f t="shared" si="127"/>
        <v>201509.23999999996</v>
      </c>
      <c r="O170" s="348">
        <f t="shared" si="110"/>
        <v>1536.52</v>
      </c>
      <c r="P170" s="348">
        <f t="shared" si="134"/>
        <v>361.04999999999995</v>
      </c>
      <c r="Q170" s="348">
        <f t="shared" si="111"/>
        <v>1175.47</v>
      </c>
      <c r="R170" s="348">
        <f t="shared" si="98"/>
        <v>134.16999999999999</v>
      </c>
      <c r="S170" s="348">
        <f t="shared" si="99"/>
        <v>188.55</v>
      </c>
      <c r="T170" s="348">
        <f t="shared" si="97"/>
        <v>1859.24</v>
      </c>
      <c r="U170" s="348">
        <f t="shared" si="135"/>
        <v>29801.810000000012</v>
      </c>
      <c r="V170" s="348">
        <f t="shared" si="136"/>
        <v>142288.43000000002</v>
      </c>
      <c r="W170" s="348">
        <f t="shared" si="112"/>
        <v>201148.18999999997</v>
      </c>
      <c r="X170" s="522">
        <f t="shared" si="128"/>
        <v>49059</v>
      </c>
      <c r="Y170" s="348">
        <f t="shared" si="113"/>
        <v>228740.83999999985</v>
      </c>
      <c r="Z170" s="512">
        <f t="shared" si="121"/>
        <v>7.0000000000000007E-2</v>
      </c>
      <c r="AA170" s="348">
        <f t="shared" si="122"/>
        <v>1746.44</v>
      </c>
      <c r="AB170" s="348">
        <f t="shared" si="114"/>
        <v>412.12000000000012</v>
      </c>
      <c r="AC170" s="348">
        <f t="shared" si="123"/>
        <v>1334.32</v>
      </c>
      <c r="AD170" s="348">
        <f t="shared" si="100"/>
        <v>134.16999999999999</v>
      </c>
      <c r="AE170" s="348">
        <f t="shared" si="101"/>
        <v>188.55</v>
      </c>
      <c r="AF170" s="348">
        <f t="shared" si="115"/>
        <v>2069.1600000000003</v>
      </c>
      <c r="AG170" s="348">
        <f t="shared" si="116"/>
        <v>47620.080000000009</v>
      </c>
      <c r="AH170" s="348">
        <f t="shared" si="117"/>
        <v>116163.20000000001</v>
      </c>
      <c r="AI170" s="531">
        <f t="shared" si="102"/>
        <v>8306.9600000000082</v>
      </c>
      <c r="AJ170" s="531">
        <f t="shared" si="137"/>
        <v>-27180.529999999882</v>
      </c>
      <c r="AK170" s="530">
        <f t="shared" si="103"/>
        <v>-18873.569999999876</v>
      </c>
      <c r="AL170" s="348">
        <f t="shared" si="118"/>
        <v>228328.71999999986</v>
      </c>
      <c r="AM170" s="429">
        <f t="shared" si="129"/>
        <v>9</v>
      </c>
      <c r="AN170" s="21">
        <f t="shared" si="104"/>
        <v>749.98</v>
      </c>
      <c r="AO170" s="21">
        <f t="shared" si="92"/>
        <v>121044.66999999991</v>
      </c>
      <c r="AP170" s="21">
        <f t="shared" si="105"/>
        <v>959.90000000000009</v>
      </c>
      <c r="AQ170" s="21"/>
      <c r="AR170" s="23"/>
      <c r="AS170" s="21">
        <f t="shared" si="124"/>
        <v>749.98</v>
      </c>
      <c r="AT170" s="21">
        <f t="shared" si="130"/>
        <v>83517.200000000026</v>
      </c>
      <c r="AU170" s="348">
        <f t="shared" si="131"/>
        <v>1289.4634821939524</v>
      </c>
      <c r="AV170" s="348">
        <f t="shared" si="132"/>
        <v>157178.50814037959</v>
      </c>
    </row>
    <row r="171" spans="1:48" x14ac:dyDescent="0.25">
      <c r="A171" s="519">
        <f t="shared" si="106"/>
        <v>49089</v>
      </c>
      <c r="B171" s="287">
        <f t="shared" si="125"/>
        <v>125568.71999999993</v>
      </c>
      <c r="C171" s="14">
        <f t="shared" si="119"/>
        <v>786.54</v>
      </c>
      <c r="D171" s="14">
        <f t="shared" si="133"/>
        <v>472.61999999999995</v>
      </c>
      <c r="E171" s="14">
        <f t="shared" si="120"/>
        <v>313.92</v>
      </c>
      <c r="F171" s="14">
        <f t="shared" si="96"/>
        <v>134.16999999999999</v>
      </c>
      <c r="G171" s="14">
        <f t="shared" si="94"/>
        <v>188.55</v>
      </c>
      <c r="H171" s="14">
        <f t="shared" si="95"/>
        <v>1109.26</v>
      </c>
      <c r="I171" s="287">
        <f t="shared" si="107"/>
        <v>61928.299999999952</v>
      </c>
      <c r="J171" s="287">
        <f t="shared" si="108"/>
        <v>62024.880000000005</v>
      </c>
      <c r="K171" s="287">
        <f t="shared" si="109"/>
        <v>125096.09999999993</v>
      </c>
      <c r="L171" s="428">
        <f t="shared" si="93"/>
        <v>9</v>
      </c>
      <c r="M171" s="428">
        <f t="shared" si="126"/>
        <v>112</v>
      </c>
      <c r="N171" s="287">
        <f t="shared" si="127"/>
        <v>201148.18999999997</v>
      </c>
      <c r="O171" s="287">
        <f t="shared" si="110"/>
        <v>1536.52</v>
      </c>
      <c r="P171" s="287">
        <f t="shared" si="134"/>
        <v>363.16000000000008</v>
      </c>
      <c r="Q171" s="287">
        <f t="shared" si="111"/>
        <v>1173.3599999999999</v>
      </c>
      <c r="R171" s="287">
        <f t="shared" si="98"/>
        <v>134.16999999999999</v>
      </c>
      <c r="S171" s="287">
        <f t="shared" si="99"/>
        <v>188.55</v>
      </c>
      <c r="T171" s="287">
        <f t="shared" si="97"/>
        <v>1859.24</v>
      </c>
      <c r="U171" s="287">
        <f t="shared" si="135"/>
        <v>30164.970000000012</v>
      </c>
      <c r="V171" s="287">
        <f t="shared" si="136"/>
        <v>143461.79</v>
      </c>
      <c r="W171" s="287">
        <f t="shared" si="112"/>
        <v>200785.02999999997</v>
      </c>
      <c r="X171" s="519">
        <f t="shared" si="128"/>
        <v>49089</v>
      </c>
      <c r="Y171" s="287">
        <f t="shared" si="113"/>
        <v>228328.71999999986</v>
      </c>
      <c r="Z171" s="511">
        <f t="shared" si="121"/>
        <v>7.0000000000000007E-2</v>
      </c>
      <c r="AA171" s="287">
        <f t="shared" si="122"/>
        <v>1746.44</v>
      </c>
      <c r="AB171" s="287">
        <f t="shared" si="114"/>
        <v>414.52</v>
      </c>
      <c r="AC171" s="287">
        <f t="shared" si="123"/>
        <v>1331.92</v>
      </c>
      <c r="AD171" s="287">
        <f t="shared" si="100"/>
        <v>134.16999999999999</v>
      </c>
      <c r="AE171" s="287">
        <f t="shared" si="101"/>
        <v>188.55</v>
      </c>
      <c r="AF171" s="287">
        <f t="shared" si="115"/>
        <v>2069.1600000000003</v>
      </c>
      <c r="AG171" s="287">
        <f t="shared" si="116"/>
        <v>48034.600000000006</v>
      </c>
      <c r="AH171" s="287">
        <f t="shared" si="117"/>
        <v>117495.12000000001</v>
      </c>
      <c r="AI171" s="530">
        <f t="shared" si="102"/>
        <v>8097.0400000000081</v>
      </c>
      <c r="AJ171" s="530">
        <f t="shared" si="137"/>
        <v>-27129.169999999896</v>
      </c>
      <c r="AK171" s="530">
        <f t="shared" si="103"/>
        <v>-19032.129999999888</v>
      </c>
      <c r="AL171" s="287">
        <f t="shared" si="118"/>
        <v>227914.19999999987</v>
      </c>
      <c r="AM171" s="428">
        <f t="shared" si="129"/>
        <v>9</v>
      </c>
      <c r="AN171" s="14">
        <f t="shared" si="104"/>
        <v>749.98</v>
      </c>
      <c r="AO171" s="14">
        <f t="shared" si="92"/>
        <v>121154.12999999993</v>
      </c>
      <c r="AP171" s="14">
        <f t="shared" si="105"/>
        <v>959.90000000000009</v>
      </c>
      <c r="AS171" s="14">
        <f t="shared" si="124"/>
        <v>749.98</v>
      </c>
      <c r="AT171" s="14">
        <f t="shared" si="130"/>
        <v>84267.180000000022</v>
      </c>
      <c r="AU171" s="287">
        <f t="shared" si="131"/>
        <v>1293.7616938012652</v>
      </c>
      <c r="AV171" s="287">
        <f t="shared" si="132"/>
        <v>158472.26983418086</v>
      </c>
    </row>
    <row r="172" spans="1:48" x14ac:dyDescent="0.25">
      <c r="A172" s="519">
        <f t="shared" si="106"/>
        <v>49119</v>
      </c>
      <c r="B172" s="287">
        <f t="shared" si="125"/>
        <v>125096.09999999993</v>
      </c>
      <c r="C172" s="14">
        <f t="shared" si="119"/>
        <v>786.54</v>
      </c>
      <c r="D172" s="14">
        <f t="shared" si="133"/>
        <v>473.79999999999995</v>
      </c>
      <c r="E172" s="14">
        <f t="shared" si="120"/>
        <v>312.74</v>
      </c>
      <c r="F172" s="14">
        <f t="shared" si="96"/>
        <v>134.16999999999999</v>
      </c>
      <c r="G172" s="14">
        <f t="shared" si="94"/>
        <v>188.55</v>
      </c>
      <c r="H172" s="14">
        <f t="shared" si="95"/>
        <v>1109.26</v>
      </c>
      <c r="I172" s="287">
        <f t="shared" si="107"/>
        <v>62402.099999999955</v>
      </c>
      <c r="J172" s="287">
        <f t="shared" si="108"/>
        <v>62337.62</v>
      </c>
      <c r="K172" s="287">
        <f t="shared" si="109"/>
        <v>124622.29999999993</v>
      </c>
      <c r="L172" s="428">
        <f t="shared" si="93"/>
        <v>9</v>
      </c>
      <c r="M172" s="428">
        <f t="shared" si="126"/>
        <v>113</v>
      </c>
      <c r="N172" s="287">
        <f t="shared" si="127"/>
        <v>200785.02999999997</v>
      </c>
      <c r="O172" s="287">
        <f t="shared" si="110"/>
        <v>1536.52</v>
      </c>
      <c r="P172" s="287">
        <f t="shared" si="134"/>
        <v>365.27</v>
      </c>
      <c r="Q172" s="287">
        <f t="shared" si="111"/>
        <v>1171.25</v>
      </c>
      <c r="R172" s="287">
        <f t="shared" si="98"/>
        <v>134.16999999999999</v>
      </c>
      <c r="S172" s="287">
        <f t="shared" si="99"/>
        <v>188.55</v>
      </c>
      <c r="T172" s="287">
        <f t="shared" si="97"/>
        <v>1859.24</v>
      </c>
      <c r="U172" s="287">
        <f t="shared" si="135"/>
        <v>30530.240000000013</v>
      </c>
      <c r="V172" s="287">
        <f t="shared" si="136"/>
        <v>144633.04</v>
      </c>
      <c r="W172" s="287">
        <f t="shared" si="112"/>
        <v>200419.75999999998</v>
      </c>
      <c r="X172" s="519">
        <f t="shared" si="128"/>
        <v>49119</v>
      </c>
      <c r="Y172" s="287">
        <f t="shared" si="113"/>
        <v>227914.19999999987</v>
      </c>
      <c r="Z172" s="511">
        <f t="shared" si="121"/>
        <v>7.0000000000000007E-2</v>
      </c>
      <c r="AA172" s="287">
        <f t="shared" si="122"/>
        <v>1746.44</v>
      </c>
      <c r="AB172" s="287">
        <f t="shared" si="114"/>
        <v>416.94000000000005</v>
      </c>
      <c r="AC172" s="287">
        <f t="shared" si="123"/>
        <v>1329.5</v>
      </c>
      <c r="AD172" s="287">
        <f t="shared" si="100"/>
        <v>134.16999999999999</v>
      </c>
      <c r="AE172" s="287">
        <f t="shared" si="101"/>
        <v>188.55</v>
      </c>
      <c r="AF172" s="287">
        <f t="shared" si="115"/>
        <v>2069.1600000000003</v>
      </c>
      <c r="AG172" s="287">
        <f t="shared" si="116"/>
        <v>48451.540000000008</v>
      </c>
      <c r="AH172" s="287">
        <f t="shared" si="117"/>
        <v>118824.62000000001</v>
      </c>
      <c r="AI172" s="530">
        <f t="shared" si="102"/>
        <v>7887.1200000000081</v>
      </c>
      <c r="AJ172" s="530">
        <f t="shared" si="137"/>
        <v>-27077.499999999884</v>
      </c>
      <c r="AK172" s="530">
        <f t="shared" si="103"/>
        <v>-19190.379999999874</v>
      </c>
      <c r="AL172" s="287">
        <f t="shared" si="118"/>
        <v>227497.25999999986</v>
      </c>
      <c r="AM172" s="428">
        <f t="shared" si="129"/>
        <v>9</v>
      </c>
      <c r="AN172" s="14">
        <f t="shared" si="104"/>
        <v>749.98</v>
      </c>
      <c r="AO172" s="14">
        <f t="shared" si="92"/>
        <v>121262.65999999992</v>
      </c>
      <c r="AP172" s="14">
        <f t="shared" si="105"/>
        <v>959.90000000000009</v>
      </c>
      <c r="AS172" s="14">
        <f t="shared" si="124"/>
        <v>749.98</v>
      </c>
      <c r="AT172" s="14">
        <f t="shared" si="130"/>
        <v>85017.160000000018</v>
      </c>
      <c r="AU172" s="287">
        <f t="shared" si="131"/>
        <v>1298.0742327806026</v>
      </c>
      <c r="AV172" s="287">
        <f t="shared" si="132"/>
        <v>159770.34406696146</v>
      </c>
    </row>
    <row r="173" spans="1:48" x14ac:dyDescent="0.25">
      <c r="A173" s="519">
        <f t="shared" si="106"/>
        <v>49149</v>
      </c>
      <c r="B173" s="287">
        <f t="shared" si="125"/>
        <v>124622.29999999993</v>
      </c>
      <c r="C173" s="14">
        <f t="shared" si="119"/>
        <v>786.54</v>
      </c>
      <c r="D173" s="14">
        <f t="shared" si="133"/>
        <v>474.97999999999996</v>
      </c>
      <c r="E173" s="14">
        <f t="shared" si="120"/>
        <v>311.56</v>
      </c>
      <c r="F173" s="14">
        <f t="shared" si="96"/>
        <v>134.16999999999999</v>
      </c>
      <c r="G173" s="14">
        <f t="shared" si="94"/>
        <v>188.55</v>
      </c>
      <c r="H173" s="14">
        <f t="shared" si="95"/>
        <v>1109.26</v>
      </c>
      <c r="I173" s="287">
        <f t="shared" si="107"/>
        <v>62877.079999999958</v>
      </c>
      <c r="J173" s="287">
        <f t="shared" si="108"/>
        <v>62649.18</v>
      </c>
      <c r="K173" s="287">
        <f t="shared" si="109"/>
        <v>124147.31999999993</v>
      </c>
      <c r="L173" s="428">
        <f t="shared" si="93"/>
        <v>9</v>
      </c>
      <c r="M173" s="428">
        <f t="shared" si="126"/>
        <v>114</v>
      </c>
      <c r="N173" s="287">
        <f t="shared" si="127"/>
        <v>200419.75999999998</v>
      </c>
      <c r="O173" s="287">
        <f t="shared" si="110"/>
        <v>1536.52</v>
      </c>
      <c r="P173" s="287">
        <f t="shared" si="134"/>
        <v>367.40000000000009</v>
      </c>
      <c r="Q173" s="287">
        <f t="shared" si="111"/>
        <v>1169.1199999999999</v>
      </c>
      <c r="R173" s="287">
        <f t="shared" si="98"/>
        <v>134.16999999999999</v>
      </c>
      <c r="S173" s="287">
        <f t="shared" si="99"/>
        <v>188.55</v>
      </c>
      <c r="T173" s="287">
        <f t="shared" si="97"/>
        <v>1859.24</v>
      </c>
      <c r="U173" s="287">
        <f t="shared" si="135"/>
        <v>30897.640000000014</v>
      </c>
      <c r="V173" s="287">
        <f t="shared" si="136"/>
        <v>145802.16</v>
      </c>
      <c r="W173" s="287">
        <f t="shared" si="112"/>
        <v>200052.36</v>
      </c>
      <c r="X173" s="519">
        <f t="shared" si="128"/>
        <v>49149</v>
      </c>
      <c r="Y173" s="287">
        <f t="shared" si="113"/>
        <v>227497.25999999986</v>
      </c>
      <c r="Z173" s="511">
        <f t="shared" si="121"/>
        <v>7.0000000000000007E-2</v>
      </c>
      <c r="AA173" s="287">
        <f t="shared" si="122"/>
        <v>1746.44</v>
      </c>
      <c r="AB173" s="287">
        <f t="shared" si="114"/>
        <v>419.37000000000012</v>
      </c>
      <c r="AC173" s="287">
        <f t="shared" si="123"/>
        <v>1327.07</v>
      </c>
      <c r="AD173" s="287">
        <f t="shared" si="100"/>
        <v>134.16999999999999</v>
      </c>
      <c r="AE173" s="287">
        <f t="shared" si="101"/>
        <v>188.55</v>
      </c>
      <c r="AF173" s="287">
        <f t="shared" si="115"/>
        <v>2069.1600000000003</v>
      </c>
      <c r="AG173" s="287">
        <f t="shared" si="116"/>
        <v>48870.910000000011</v>
      </c>
      <c r="AH173" s="287">
        <f t="shared" si="117"/>
        <v>120151.69000000002</v>
      </c>
      <c r="AI173" s="530">
        <f t="shared" si="102"/>
        <v>7677.200000000008</v>
      </c>
      <c r="AJ173" s="530">
        <f t="shared" si="137"/>
        <v>-27025.529999999882</v>
      </c>
      <c r="AK173" s="530">
        <f t="shared" si="103"/>
        <v>-19348.329999999874</v>
      </c>
      <c r="AL173" s="287">
        <f t="shared" si="118"/>
        <v>227077.88999999987</v>
      </c>
      <c r="AM173" s="428">
        <f t="shared" si="129"/>
        <v>9</v>
      </c>
      <c r="AN173" s="14">
        <f t="shared" si="104"/>
        <v>749.98</v>
      </c>
      <c r="AO173" s="14">
        <f t="shared" ref="AO173:AO236" si="138">IF(W173&lt;=0,0,+$AA$5-$C$2+I173-U173)</f>
        <v>121370.23999999993</v>
      </c>
      <c r="AP173" s="14">
        <f t="shared" si="105"/>
        <v>959.90000000000009</v>
      </c>
      <c r="AS173" s="14">
        <f t="shared" si="124"/>
        <v>749.98</v>
      </c>
      <c r="AT173" s="14">
        <f t="shared" si="130"/>
        <v>85767.140000000014</v>
      </c>
      <c r="AU173" s="287">
        <f t="shared" si="131"/>
        <v>1302.4011468898714</v>
      </c>
      <c r="AV173" s="287">
        <f t="shared" si="132"/>
        <v>161072.74521385133</v>
      </c>
    </row>
    <row r="174" spans="1:48" x14ac:dyDescent="0.25">
      <c r="A174" s="519">
        <f t="shared" si="106"/>
        <v>49179</v>
      </c>
      <c r="B174" s="287">
        <f t="shared" si="125"/>
        <v>124147.31999999993</v>
      </c>
      <c r="C174" s="14">
        <f t="shared" si="119"/>
        <v>786.54</v>
      </c>
      <c r="D174" s="14">
        <f t="shared" si="133"/>
        <v>476.16999999999996</v>
      </c>
      <c r="E174" s="14">
        <f t="shared" si="120"/>
        <v>310.37</v>
      </c>
      <c r="F174" s="14">
        <f t="shared" si="96"/>
        <v>134.16999999999999</v>
      </c>
      <c r="G174" s="14">
        <f t="shared" si="94"/>
        <v>188.55</v>
      </c>
      <c r="H174" s="14">
        <f t="shared" si="95"/>
        <v>1109.26</v>
      </c>
      <c r="I174" s="287">
        <f t="shared" si="107"/>
        <v>63353.249999999956</v>
      </c>
      <c r="J174" s="287">
        <f t="shared" si="108"/>
        <v>62959.55</v>
      </c>
      <c r="K174" s="287">
        <f t="shared" si="109"/>
        <v>123671.14999999994</v>
      </c>
      <c r="L174" s="428">
        <f t="shared" si="93"/>
        <v>9</v>
      </c>
      <c r="M174" s="428">
        <f t="shared" si="126"/>
        <v>115</v>
      </c>
      <c r="N174" s="287">
        <f t="shared" si="127"/>
        <v>200052.36</v>
      </c>
      <c r="O174" s="287">
        <f t="shared" si="110"/>
        <v>1536.52</v>
      </c>
      <c r="P174" s="287">
        <f t="shared" si="134"/>
        <v>369.54999999999995</v>
      </c>
      <c r="Q174" s="287">
        <f t="shared" si="111"/>
        <v>1166.97</v>
      </c>
      <c r="R174" s="287">
        <f t="shared" si="98"/>
        <v>134.16999999999999</v>
      </c>
      <c r="S174" s="287">
        <f t="shared" si="99"/>
        <v>188.55</v>
      </c>
      <c r="T174" s="287">
        <f t="shared" si="97"/>
        <v>1859.24</v>
      </c>
      <c r="U174" s="287">
        <f t="shared" si="135"/>
        <v>31267.190000000013</v>
      </c>
      <c r="V174" s="287">
        <f t="shared" si="136"/>
        <v>146969.13</v>
      </c>
      <c r="W174" s="287">
        <f t="shared" si="112"/>
        <v>199682.81</v>
      </c>
      <c r="X174" s="519">
        <f t="shared" si="128"/>
        <v>49179</v>
      </c>
      <c r="Y174" s="287">
        <f t="shared" si="113"/>
        <v>227077.88999999987</v>
      </c>
      <c r="Z174" s="511">
        <f t="shared" si="121"/>
        <v>7.0000000000000007E-2</v>
      </c>
      <c r="AA174" s="287">
        <f t="shared" si="122"/>
        <v>1746.44</v>
      </c>
      <c r="AB174" s="287">
        <f t="shared" si="114"/>
        <v>421.82000000000016</v>
      </c>
      <c r="AC174" s="287">
        <f t="shared" si="123"/>
        <v>1324.62</v>
      </c>
      <c r="AD174" s="287">
        <f t="shared" si="100"/>
        <v>134.16999999999999</v>
      </c>
      <c r="AE174" s="287">
        <f t="shared" si="101"/>
        <v>188.55</v>
      </c>
      <c r="AF174" s="287">
        <f t="shared" si="115"/>
        <v>2069.1600000000003</v>
      </c>
      <c r="AG174" s="287">
        <f t="shared" si="116"/>
        <v>49292.73000000001</v>
      </c>
      <c r="AH174" s="287">
        <f t="shared" si="117"/>
        <v>121476.31000000001</v>
      </c>
      <c r="AI174" s="530">
        <f t="shared" si="102"/>
        <v>7467.2800000000079</v>
      </c>
      <c r="AJ174" s="530">
        <f t="shared" si="137"/>
        <v>-26973.259999999864</v>
      </c>
      <c r="AK174" s="530">
        <f t="shared" si="103"/>
        <v>-19505.979999999858</v>
      </c>
      <c r="AL174" s="287">
        <f t="shared" si="118"/>
        <v>226656.06999999986</v>
      </c>
      <c r="AM174" s="428">
        <f t="shared" si="129"/>
        <v>9</v>
      </c>
      <c r="AN174" s="14">
        <f t="shared" si="104"/>
        <v>749.98</v>
      </c>
      <c r="AO174" s="14">
        <f t="shared" si="138"/>
        <v>121476.85999999991</v>
      </c>
      <c r="AP174" s="14">
        <f t="shared" si="105"/>
        <v>959.90000000000009</v>
      </c>
      <c r="AS174" s="14">
        <f t="shared" si="124"/>
        <v>749.98</v>
      </c>
      <c r="AT174" s="14">
        <f t="shared" si="130"/>
        <v>86517.12000000001</v>
      </c>
      <c r="AU174" s="287">
        <f t="shared" si="131"/>
        <v>1306.7424840461711</v>
      </c>
      <c r="AV174" s="287">
        <f t="shared" si="132"/>
        <v>162379.48769789751</v>
      </c>
    </row>
    <row r="175" spans="1:48" x14ac:dyDescent="0.25">
      <c r="A175" s="519">
        <f t="shared" si="106"/>
        <v>49209</v>
      </c>
      <c r="B175" s="287">
        <f t="shared" si="125"/>
        <v>123671.14999999994</v>
      </c>
      <c r="C175" s="14">
        <f t="shared" si="119"/>
        <v>786.54</v>
      </c>
      <c r="D175" s="14">
        <f t="shared" si="133"/>
        <v>477.35999999999996</v>
      </c>
      <c r="E175" s="14">
        <f t="shared" si="120"/>
        <v>309.18</v>
      </c>
      <c r="F175" s="14">
        <f t="shared" si="96"/>
        <v>134.16999999999999</v>
      </c>
      <c r="G175" s="14">
        <f t="shared" si="94"/>
        <v>188.55</v>
      </c>
      <c r="H175" s="14">
        <f t="shared" si="95"/>
        <v>1109.26</v>
      </c>
      <c r="I175" s="287">
        <f t="shared" si="107"/>
        <v>63830.609999999957</v>
      </c>
      <c r="J175" s="287">
        <f t="shared" si="108"/>
        <v>63268.73</v>
      </c>
      <c r="K175" s="287">
        <f t="shared" si="109"/>
        <v>123193.78999999994</v>
      </c>
      <c r="L175" s="428">
        <f t="shared" ref="L175:L238" si="139">IF(MOD(M175,12)=0,M175/12,L174)</f>
        <v>9</v>
      </c>
      <c r="M175" s="428">
        <f t="shared" si="126"/>
        <v>116</v>
      </c>
      <c r="N175" s="287">
        <f t="shared" si="127"/>
        <v>199682.81</v>
      </c>
      <c r="O175" s="287">
        <f t="shared" si="110"/>
        <v>1536.52</v>
      </c>
      <c r="P175" s="287">
        <f t="shared" si="134"/>
        <v>371.70000000000005</v>
      </c>
      <c r="Q175" s="287">
        <f t="shared" si="111"/>
        <v>1164.82</v>
      </c>
      <c r="R175" s="287">
        <f t="shared" si="98"/>
        <v>134.16999999999999</v>
      </c>
      <c r="S175" s="287">
        <f t="shared" si="99"/>
        <v>188.55</v>
      </c>
      <c r="T175" s="287">
        <f t="shared" si="97"/>
        <v>1859.24</v>
      </c>
      <c r="U175" s="287">
        <f t="shared" si="135"/>
        <v>31638.890000000014</v>
      </c>
      <c r="V175" s="287">
        <f t="shared" si="136"/>
        <v>148133.95000000001</v>
      </c>
      <c r="W175" s="287">
        <f t="shared" si="112"/>
        <v>199311.11</v>
      </c>
      <c r="X175" s="519">
        <f t="shared" si="128"/>
        <v>49209</v>
      </c>
      <c r="Y175" s="287">
        <f t="shared" si="113"/>
        <v>226656.06999999986</v>
      </c>
      <c r="Z175" s="511">
        <f t="shared" si="121"/>
        <v>7.0000000000000007E-2</v>
      </c>
      <c r="AA175" s="287">
        <f t="shared" si="122"/>
        <v>1746.44</v>
      </c>
      <c r="AB175" s="287">
        <f t="shared" si="114"/>
        <v>424.28</v>
      </c>
      <c r="AC175" s="287">
        <f t="shared" si="123"/>
        <v>1322.16</v>
      </c>
      <c r="AD175" s="287">
        <f t="shared" si="100"/>
        <v>134.16999999999999</v>
      </c>
      <c r="AE175" s="287">
        <f t="shared" si="101"/>
        <v>188.55</v>
      </c>
      <c r="AF175" s="287">
        <f t="shared" si="115"/>
        <v>2069.1600000000003</v>
      </c>
      <c r="AG175" s="287">
        <f t="shared" si="116"/>
        <v>49717.010000000009</v>
      </c>
      <c r="AH175" s="287">
        <f t="shared" si="117"/>
        <v>122798.47000000002</v>
      </c>
      <c r="AI175" s="530">
        <f t="shared" si="102"/>
        <v>7257.3600000000079</v>
      </c>
      <c r="AJ175" s="530">
        <f t="shared" si="137"/>
        <v>-26920.679999999877</v>
      </c>
      <c r="AK175" s="530">
        <f t="shared" si="103"/>
        <v>-19663.319999999869</v>
      </c>
      <c r="AL175" s="287">
        <f t="shared" si="118"/>
        <v>226231.78999999986</v>
      </c>
      <c r="AM175" s="428">
        <f t="shared" si="129"/>
        <v>9</v>
      </c>
      <c r="AN175" s="14">
        <f t="shared" si="104"/>
        <v>749.98</v>
      </c>
      <c r="AO175" s="14">
        <f t="shared" si="138"/>
        <v>121582.51999999993</v>
      </c>
      <c r="AP175" s="14">
        <f t="shared" si="105"/>
        <v>959.90000000000009</v>
      </c>
      <c r="AS175" s="14">
        <f t="shared" si="124"/>
        <v>749.98</v>
      </c>
      <c r="AT175" s="14">
        <f t="shared" si="130"/>
        <v>87267.1</v>
      </c>
      <c r="AU175" s="287">
        <f t="shared" si="131"/>
        <v>1311.098292326325</v>
      </c>
      <c r="AV175" s="287">
        <f t="shared" si="132"/>
        <v>163690.58599022383</v>
      </c>
    </row>
    <row r="176" spans="1:48" x14ac:dyDescent="0.25">
      <c r="A176" s="519">
        <f t="shared" si="106"/>
        <v>49239</v>
      </c>
      <c r="B176" s="287">
        <f t="shared" si="125"/>
        <v>123193.78999999994</v>
      </c>
      <c r="C176" s="14">
        <f t="shared" si="119"/>
        <v>786.54</v>
      </c>
      <c r="D176" s="14">
        <f t="shared" si="133"/>
        <v>478.55999999999995</v>
      </c>
      <c r="E176" s="14">
        <f t="shared" si="120"/>
        <v>307.98</v>
      </c>
      <c r="F176" s="14">
        <f t="shared" si="96"/>
        <v>134.16999999999999</v>
      </c>
      <c r="G176" s="14">
        <f t="shared" si="94"/>
        <v>188.55</v>
      </c>
      <c r="H176" s="14">
        <f t="shared" si="95"/>
        <v>1109.26</v>
      </c>
      <c r="I176" s="287">
        <f t="shared" si="107"/>
        <v>64309.169999999955</v>
      </c>
      <c r="J176" s="287">
        <f t="shared" si="108"/>
        <v>63576.710000000006</v>
      </c>
      <c r="K176" s="287">
        <f t="shared" si="109"/>
        <v>122715.22999999994</v>
      </c>
      <c r="L176" s="428">
        <f t="shared" si="139"/>
        <v>9</v>
      </c>
      <c r="M176" s="428">
        <f t="shared" si="126"/>
        <v>117</v>
      </c>
      <c r="N176" s="287">
        <f t="shared" si="127"/>
        <v>199311.11</v>
      </c>
      <c r="O176" s="287">
        <f t="shared" si="110"/>
        <v>1536.52</v>
      </c>
      <c r="P176" s="287">
        <f t="shared" si="134"/>
        <v>373.86999999999989</v>
      </c>
      <c r="Q176" s="287">
        <f t="shared" si="111"/>
        <v>1162.6500000000001</v>
      </c>
      <c r="R176" s="287">
        <f t="shared" si="98"/>
        <v>134.16999999999999</v>
      </c>
      <c r="S176" s="287">
        <f t="shared" si="99"/>
        <v>188.55</v>
      </c>
      <c r="T176" s="287">
        <f t="shared" si="97"/>
        <v>1859.24</v>
      </c>
      <c r="U176" s="287">
        <f t="shared" si="135"/>
        <v>32012.760000000013</v>
      </c>
      <c r="V176" s="287">
        <f t="shared" si="136"/>
        <v>149296.6</v>
      </c>
      <c r="W176" s="287">
        <f t="shared" si="112"/>
        <v>198937.24</v>
      </c>
      <c r="X176" s="519">
        <f t="shared" si="128"/>
        <v>49239</v>
      </c>
      <c r="Y176" s="287">
        <f t="shared" si="113"/>
        <v>226231.78999999986</v>
      </c>
      <c r="Z176" s="511">
        <f t="shared" si="121"/>
        <v>7.0000000000000007E-2</v>
      </c>
      <c r="AA176" s="287">
        <f t="shared" si="122"/>
        <v>1746.44</v>
      </c>
      <c r="AB176" s="287">
        <f t="shared" si="114"/>
        <v>426.75</v>
      </c>
      <c r="AC176" s="287">
        <f t="shared" si="123"/>
        <v>1319.69</v>
      </c>
      <c r="AD176" s="287">
        <f t="shared" si="100"/>
        <v>134.16999999999999</v>
      </c>
      <c r="AE176" s="287">
        <f t="shared" si="101"/>
        <v>188.55</v>
      </c>
      <c r="AF176" s="287">
        <f t="shared" si="115"/>
        <v>2069.1600000000003</v>
      </c>
      <c r="AG176" s="287">
        <f t="shared" si="116"/>
        <v>50143.760000000009</v>
      </c>
      <c r="AH176" s="287">
        <f t="shared" si="117"/>
        <v>124118.16000000002</v>
      </c>
      <c r="AI176" s="530">
        <f t="shared" si="102"/>
        <v>7047.4400000000078</v>
      </c>
      <c r="AJ176" s="530">
        <f t="shared" si="137"/>
        <v>-26867.799999999872</v>
      </c>
      <c r="AK176" s="530">
        <f t="shared" si="103"/>
        <v>-19820.359999999862</v>
      </c>
      <c r="AL176" s="287">
        <f t="shared" si="118"/>
        <v>225805.03999999986</v>
      </c>
      <c r="AM176" s="428">
        <f t="shared" si="129"/>
        <v>9</v>
      </c>
      <c r="AN176" s="14">
        <f t="shared" si="104"/>
        <v>749.98</v>
      </c>
      <c r="AO176" s="14">
        <f t="shared" si="138"/>
        <v>121687.20999999993</v>
      </c>
      <c r="AP176" s="14">
        <f t="shared" si="105"/>
        <v>959.90000000000009</v>
      </c>
      <c r="AS176" s="14">
        <f t="shared" si="124"/>
        <v>749.98</v>
      </c>
      <c r="AT176" s="14">
        <f t="shared" si="130"/>
        <v>88017.08</v>
      </c>
      <c r="AU176" s="287">
        <f t="shared" si="131"/>
        <v>1315.4686199674127</v>
      </c>
      <c r="AV176" s="287">
        <f t="shared" si="132"/>
        <v>165006.05461019123</v>
      </c>
    </row>
    <row r="177" spans="1:48" x14ac:dyDescent="0.25">
      <c r="A177" s="519">
        <f t="shared" si="106"/>
        <v>49269</v>
      </c>
      <c r="B177" s="287">
        <f t="shared" si="125"/>
        <v>122715.22999999994</v>
      </c>
      <c r="C177" s="14">
        <f t="shared" si="119"/>
        <v>786.54</v>
      </c>
      <c r="D177" s="14">
        <f t="shared" si="133"/>
        <v>479.74999999999994</v>
      </c>
      <c r="E177" s="14">
        <f t="shared" si="120"/>
        <v>306.79000000000002</v>
      </c>
      <c r="F177" s="14">
        <f t="shared" si="96"/>
        <v>134.16999999999999</v>
      </c>
      <c r="G177" s="14">
        <f t="shared" si="94"/>
        <v>188.55</v>
      </c>
      <c r="H177" s="14">
        <f t="shared" si="95"/>
        <v>1109.26</v>
      </c>
      <c r="I177" s="287">
        <f t="shared" si="107"/>
        <v>64788.919999999955</v>
      </c>
      <c r="J177" s="287">
        <f t="shared" si="108"/>
        <v>63883.500000000007</v>
      </c>
      <c r="K177" s="287">
        <f t="shared" si="109"/>
        <v>122235.47999999994</v>
      </c>
      <c r="L177" s="428">
        <f t="shared" si="139"/>
        <v>9</v>
      </c>
      <c r="M177" s="428">
        <f t="shared" si="126"/>
        <v>118</v>
      </c>
      <c r="N177" s="287">
        <f t="shared" si="127"/>
        <v>198937.24</v>
      </c>
      <c r="O177" s="287">
        <f t="shared" si="110"/>
        <v>1536.52</v>
      </c>
      <c r="P177" s="287">
        <f t="shared" si="134"/>
        <v>376.04999999999995</v>
      </c>
      <c r="Q177" s="287">
        <f t="shared" si="111"/>
        <v>1160.47</v>
      </c>
      <c r="R177" s="287">
        <f t="shared" si="98"/>
        <v>134.16999999999999</v>
      </c>
      <c r="S177" s="287">
        <f t="shared" si="99"/>
        <v>188.55</v>
      </c>
      <c r="T177" s="287">
        <f t="shared" si="97"/>
        <v>1859.24</v>
      </c>
      <c r="U177" s="287">
        <f t="shared" si="135"/>
        <v>32388.810000000012</v>
      </c>
      <c r="V177" s="287">
        <f t="shared" si="136"/>
        <v>150457.07</v>
      </c>
      <c r="W177" s="287">
        <f t="shared" si="112"/>
        <v>198561.19</v>
      </c>
      <c r="X177" s="519">
        <f t="shared" si="128"/>
        <v>49269</v>
      </c>
      <c r="Y177" s="287">
        <f t="shared" si="113"/>
        <v>225805.03999999986</v>
      </c>
      <c r="Z177" s="511">
        <f t="shared" si="121"/>
        <v>7.0000000000000007E-2</v>
      </c>
      <c r="AA177" s="287">
        <f t="shared" si="122"/>
        <v>1746.44</v>
      </c>
      <c r="AB177" s="287">
        <f t="shared" si="114"/>
        <v>429.24</v>
      </c>
      <c r="AC177" s="287">
        <f t="shared" si="123"/>
        <v>1317.2</v>
      </c>
      <c r="AD177" s="287">
        <f t="shared" si="100"/>
        <v>134.16999999999999</v>
      </c>
      <c r="AE177" s="287">
        <f t="shared" si="101"/>
        <v>188.55</v>
      </c>
      <c r="AF177" s="287">
        <f t="shared" si="115"/>
        <v>2069.1600000000003</v>
      </c>
      <c r="AG177" s="287">
        <f t="shared" si="116"/>
        <v>50573.000000000007</v>
      </c>
      <c r="AH177" s="287">
        <f t="shared" si="117"/>
        <v>125435.36000000002</v>
      </c>
      <c r="AI177" s="530">
        <f t="shared" si="102"/>
        <v>6837.5200000000077</v>
      </c>
      <c r="AJ177" s="530">
        <f t="shared" si="137"/>
        <v>-26814.60999999987</v>
      </c>
      <c r="AK177" s="530">
        <f t="shared" si="103"/>
        <v>-19977.089999999862</v>
      </c>
      <c r="AL177" s="287">
        <f t="shared" si="118"/>
        <v>225375.79999999987</v>
      </c>
      <c r="AM177" s="428">
        <f t="shared" si="129"/>
        <v>9</v>
      </c>
      <c r="AN177" s="14">
        <f t="shared" si="104"/>
        <v>749.98</v>
      </c>
      <c r="AO177" s="14">
        <f t="shared" si="138"/>
        <v>121790.90999999993</v>
      </c>
      <c r="AP177" s="14">
        <f t="shared" si="105"/>
        <v>959.90000000000009</v>
      </c>
      <c r="AS177" s="14">
        <f t="shared" si="124"/>
        <v>749.98</v>
      </c>
      <c r="AT177" s="14">
        <f t="shared" si="130"/>
        <v>88767.06</v>
      </c>
      <c r="AU177" s="287">
        <f t="shared" si="131"/>
        <v>1319.8535153673042</v>
      </c>
      <c r="AV177" s="287">
        <f t="shared" si="132"/>
        <v>166325.90812555855</v>
      </c>
    </row>
    <row r="178" spans="1:48" x14ac:dyDescent="0.25">
      <c r="A178" s="519">
        <f t="shared" si="106"/>
        <v>49299</v>
      </c>
      <c r="B178" s="287">
        <f t="shared" si="125"/>
        <v>122235.47999999994</v>
      </c>
      <c r="C178" s="14">
        <f t="shared" si="119"/>
        <v>786.54</v>
      </c>
      <c r="D178" s="14">
        <f t="shared" si="133"/>
        <v>480.95</v>
      </c>
      <c r="E178" s="14">
        <f t="shared" si="120"/>
        <v>305.58999999999997</v>
      </c>
      <c r="F178" s="14">
        <f t="shared" si="96"/>
        <v>134.16999999999999</v>
      </c>
      <c r="G178" s="14">
        <f t="shared" si="94"/>
        <v>188.55</v>
      </c>
      <c r="H178" s="14">
        <f t="shared" si="95"/>
        <v>1109.26</v>
      </c>
      <c r="I178" s="287">
        <f t="shared" si="107"/>
        <v>65269.869999999952</v>
      </c>
      <c r="J178" s="287">
        <f t="shared" si="108"/>
        <v>64189.090000000004</v>
      </c>
      <c r="K178" s="287">
        <f t="shared" si="109"/>
        <v>121754.52999999994</v>
      </c>
      <c r="L178" s="428">
        <f t="shared" si="139"/>
        <v>9</v>
      </c>
      <c r="M178" s="428">
        <f t="shared" si="126"/>
        <v>119</v>
      </c>
      <c r="N178" s="287">
        <f t="shared" si="127"/>
        <v>198561.19</v>
      </c>
      <c r="O178" s="287">
        <f t="shared" si="110"/>
        <v>1536.52</v>
      </c>
      <c r="P178" s="287">
        <f t="shared" si="134"/>
        <v>378.25</v>
      </c>
      <c r="Q178" s="287">
        <f t="shared" si="111"/>
        <v>1158.27</v>
      </c>
      <c r="R178" s="287">
        <f t="shared" si="98"/>
        <v>134.16999999999999</v>
      </c>
      <c r="S178" s="287">
        <f t="shared" si="99"/>
        <v>188.55</v>
      </c>
      <c r="T178" s="287">
        <f t="shared" si="97"/>
        <v>1859.24</v>
      </c>
      <c r="U178" s="287">
        <f t="shared" si="135"/>
        <v>32767.060000000012</v>
      </c>
      <c r="V178" s="287">
        <f t="shared" si="136"/>
        <v>151615.34</v>
      </c>
      <c r="W178" s="287">
        <f t="shared" si="112"/>
        <v>198182.94</v>
      </c>
      <c r="X178" s="519">
        <f t="shared" si="128"/>
        <v>49299</v>
      </c>
      <c r="Y178" s="287">
        <f t="shared" si="113"/>
        <v>225375.79999999987</v>
      </c>
      <c r="Z178" s="511">
        <f t="shared" si="121"/>
        <v>7.0000000000000007E-2</v>
      </c>
      <c r="AA178" s="287">
        <f t="shared" si="122"/>
        <v>1746.44</v>
      </c>
      <c r="AB178" s="287">
        <f t="shared" si="114"/>
        <v>431.75</v>
      </c>
      <c r="AC178" s="287">
        <f t="shared" si="123"/>
        <v>1314.69</v>
      </c>
      <c r="AD178" s="287">
        <f t="shared" si="100"/>
        <v>134.16999999999999</v>
      </c>
      <c r="AE178" s="287">
        <f t="shared" si="101"/>
        <v>188.55</v>
      </c>
      <c r="AF178" s="287">
        <f t="shared" si="115"/>
        <v>2069.1600000000003</v>
      </c>
      <c r="AG178" s="287">
        <f t="shared" si="116"/>
        <v>51004.750000000007</v>
      </c>
      <c r="AH178" s="287">
        <f t="shared" si="117"/>
        <v>126750.05000000002</v>
      </c>
      <c r="AI178" s="530">
        <f t="shared" si="102"/>
        <v>6627.6000000000076</v>
      </c>
      <c r="AJ178" s="530">
        <f t="shared" si="137"/>
        <v>-26761.10999999987</v>
      </c>
      <c r="AK178" s="530">
        <f t="shared" si="103"/>
        <v>-20133.509999999864</v>
      </c>
      <c r="AL178" s="287">
        <f t="shared" si="118"/>
        <v>224944.04999999987</v>
      </c>
      <c r="AM178" s="428">
        <f t="shared" si="129"/>
        <v>9</v>
      </c>
      <c r="AN178" s="14">
        <f t="shared" si="104"/>
        <v>749.98</v>
      </c>
      <c r="AO178" s="14">
        <f t="shared" si="138"/>
        <v>121893.60999999991</v>
      </c>
      <c r="AP178" s="14">
        <f t="shared" si="105"/>
        <v>959.90000000000009</v>
      </c>
      <c r="AS178" s="14">
        <f t="shared" si="124"/>
        <v>749.98</v>
      </c>
      <c r="AT178" s="14">
        <f t="shared" si="130"/>
        <v>89517.04</v>
      </c>
      <c r="AU178" s="287">
        <f t="shared" si="131"/>
        <v>1324.2530270851951</v>
      </c>
      <c r="AV178" s="287">
        <f t="shared" si="132"/>
        <v>167650.16115264373</v>
      </c>
    </row>
    <row r="179" spans="1:48" x14ac:dyDescent="0.25">
      <c r="A179" s="519">
        <f t="shared" si="106"/>
        <v>49329</v>
      </c>
      <c r="B179" s="287">
        <f t="shared" si="125"/>
        <v>121754.52999999994</v>
      </c>
      <c r="C179" s="14">
        <f t="shared" si="119"/>
        <v>786.54</v>
      </c>
      <c r="D179" s="14">
        <f t="shared" si="133"/>
        <v>482.15</v>
      </c>
      <c r="E179" s="14">
        <f t="shared" si="120"/>
        <v>304.39</v>
      </c>
      <c r="F179" s="14">
        <f t="shared" si="96"/>
        <v>134.16999999999999</v>
      </c>
      <c r="G179" s="14">
        <f t="shared" si="94"/>
        <v>188.55</v>
      </c>
      <c r="H179" s="14">
        <f t="shared" si="95"/>
        <v>1109.26</v>
      </c>
      <c r="I179" s="287">
        <f t="shared" si="107"/>
        <v>65752.019999999946</v>
      </c>
      <c r="J179" s="287">
        <f t="shared" si="108"/>
        <v>64493.48</v>
      </c>
      <c r="K179" s="287">
        <f t="shared" si="109"/>
        <v>121272.37999999995</v>
      </c>
      <c r="L179" s="428">
        <f t="shared" si="139"/>
        <v>10</v>
      </c>
      <c r="M179" s="428">
        <f t="shared" si="126"/>
        <v>120</v>
      </c>
      <c r="N179" s="287">
        <f t="shared" si="127"/>
        <v>198182.94</v>
      </c>
      <c r="O179" s="287">
        <f t="shared" si="110"/>
        <v>1536.52</v>
      </c>
      <c r="P179" s="287">
        <f t="shared" si="134"/>
        <v>380.45000000000005</v>
      </c>
      <c r="Q179" s="287">
        <f t="shared" si="111"/>
        <v>1156.07</v>
      </c>
      <c r="R179" s="287">
        <f t="shared" si="98"/>
        <v>134.16999999999999</v>
      </c>
      <c r="S179" s="287">
        <f t="shared" si="99"/>
        <v>188.55</v>
      </c>
      <c r="T179" s="287">
        <f t="shared" si="97"/>
        <v>1859.24</v>
      </c>
      <c r="U179" s="287">
        <f t="shared" si="135"/>
        <v>33147.510000000009</v>
      </c>
      <c r="V179" s="287">
        <f t="shared" si="136"/>
        <v>152771.41</v>
      </c>
      <c r="W179" s="287">
        <f t="shared" si="112"/>
        <v>197802.49</v>
      </c>
      <c r="X179" s="519">
        <f t="shared" si="128"/>
        <v>49329</v>
      </c>
      <c r="Y179" s="287">
        <f t="shared" si="113"/>
        <v>224944.04999999987</v>
      </c>
      <c r="Z179" s="511">
        <f t="shared" si="121"/>
        <v>7.0000000000000007E-2</v>
      </c>
      <c r="AA179" s="287">
        <f t="shared" si="122"/>
        <v>1746.44</v>
      </c>
      <c r="AB179" s="287">
        <f t="shared" si="114"/>
        <v>434.27</v>
      </c>
      <c r="AC179" s="287">
        <f t="shared" si="123"/>
        <v>1312.17</v>
      </c>
      <c r="AD179" s="287">
        <f t="shared" si="100"/>
        <v>134.16999999999999</v>
      </c>
      <c r="AE179" s="287">
        <f t="shared" si="101"/>
        <v>188.55</v>
      </c>
      <c r="AF179" s="287">
        <f t="shared" si="115"/>
        <v>2069.1600000000003</v>
      </c>
      <c r="AG179" s="287">
        <f t="shared" si="116"/>
        <v>51439.020000000004</v>
      </c>
      <c r="AH179" s="287">
        <f t="shared" si="117"/>
        <v>128062.22000000002</v>
      </c>
      <c r="AI179" s="530">
        <f t="shared" si="102"/>
        <v>6417.6800000000076</v>
      </c>
      <c r="AJ179" s="530">
        <f t="shared" si="137"/>
        <v>-26707.289999999892</v>
      </c>
      <c r="AK179" s="530">
        <f t="shared" si="103"/>
        <v>-20289.609999999884</v>
      </c>
      <c r="AL179" s="287">
        <f t="shared" si="118"/>
        <v>224509.77999999988</v>
      </c>
      <c r="AM179" s="428">
        <f t="shared" si="129"/>
        <v>10</v>
      </c>
      <c r="AN179" s="14">
        <f t="shared" si="104"/>
        <v>749.98</v>
      </c>
      <c r="AO179" s="14">
        <f t="shared" si="138"/>
        <v>121995.30999999994</v>
      </c>
      <c r="AP179" s="14">
        <f t="shared" si="105"/>
        <v>959.90000000000009</v>
      </c>
      <c r="AS179" s="14">
        <f t="shared" si="124"/>
        <v>749.98</v>
      </c>
      <c r="AT179" s="14">
        <f t="shared" si="130"/>
        <v>90267.01999999999</v>
      </c>
      <c r="AU179" s="287">
        <f t="shared" si="131"/>
        <v>1328.6672038421459</v>
      </c>
      <c r="AV179" s="287">
        <f t="shared" si="132"/>
        <v>168978.82835648587</v>
      </c>
    </row>
    <row r="180" spans="1:48" x14ac:dyDescent="0.25">
      <c r="A180" s="519">
        <f t="shared" si="106"/>
        <v>49359</v>
      </c>
      <c r="B180" s="287">
        <f t="shared" si="125"/>
        <v>121272.37999999995</v>
      </c>
      <c r="C180" s="14">
        <f t="shared" si="119"/>
        <v>786.54</v>
      </c>
      <c r="D180" s="14">
        <f t="shared" si="133"/>
        <v>483.35999999999996</v>
      </c>
      <c r="E180" s="14">
        <f t="shared" si="120"/>
        <v>303.18</v>
      </c>
      <c r="F180" s="14">
        <f t="shared" si="96"/>
        <v>134.16999999999999</v>
      </c>
      <c r="G180" s="14">
        <f t="shared" si="94"/>
        <v>188.55</v>
      </c>
      <c r="H180" s="14">
        <f t="shared" si="95"/>
        <v>1109.26</v>
      </c>
      <c r="I180" s="287">
        <f t="shared" si="107"/>
        <v>66235.379999999946</v>
      </c>
      <c r="J180" s="287">
        <f t="shared" si="108"/>
        <v>64796.66</v>
      </c>
      <c r="K180" s="287">
        <f t="shared" si="109"/>
        <v>120789.01999999995</v>
      </c>
      <c r="L180" s="428">
        <f t="shared" si="139"/>
        <v>10</v>
      </c>
      <c r="M180" s="428">
        <f t="shared" si="126"/>
        <v>121</v>
      </c>
      <c r="N180" s="287">
        <f t="shared" si="127"/>
        <v>197802.49</v>
      </c>
      <c r="O180" s="287">
        <f t="shared" si="110"/>
        <v>1536.52</v>
      </c>
      <c r="P180" s="287">
        <f t="shared" si="134"/>
        <v>382.67000000000007</v>
      </c>
      <c r="Q180" s="287">
        <f t="shared" si="111"/>
        <v>1153.8499999999999</v>
      </c>
      <c r="R180" s="287">
        <f t="shared" si="98"/>
        <v>134.16999999999999</v>
      </c>
      <c r="S180" s="287">
        <f t="shared" si="99"/>
        <v>188.55</v>
      </c>
      <c r="T180" s="287">
        <f t="shared" si="97"/>
        <v>1859.24</v>
      </c>
      <c r="U180" s="287">
        <f t="shared" si="135"/>
        <v>33530.180000000008</v>
      </c>
      <c r="V180" s="287">
        <f t="shared" si="136"/>
        <v>153925.26</v>
      </c>
      <c r="W180" s="287">
        <f t="shared" si="112"/>
        <v>197419.81999999998</v>
      </c>
      <c r="X180" s="519">
        <f t="shared" si="128"/>
        <v>49359</v>
      </c>
      <c r="Y180" s="287">
        <f t="shared" si="113"/>
        <v>224509.77999999988</v>
      </c>
      <c r="Z180" s="511">
        <f t="shared" si="121"/>
        <v>7.0000000000000007E-2</v>
      </c>
      <c r="AA180" s="287">
        <f t="shared" si="122"/>
        <v>1746.44</v>
      </c>
      <c r="AB180" s="287">
        <f t="shared" si="114"/>
        <v>436.79999999999995</v>
      </c>
      <c r="AC180" s="287">
        <f t="shared" si="123"/>
        <v>1309.6400000000001</v>
      </c>
      <c r="AD180" s="287">
        <f t="shared" si="100"/>
        <v>134.16999999999999</v>
      </c>
      <c r="AE180" s="287">
        <f t="shared" si="101"/>
        <v>188.55</v>
      </c>
      <c r="AF180" s="287">
        <f t="shared" si="115"/>
        <v>2069.1600000000003</v>
      </c>
      <c r="AG180" s="287">
        <f t="shared" si="116"/>
        <v>51875.820000000007</v>
      </c>
      <c r="AH180" s="287">
        <f t="shared" si="117"/>
        <v>129371.86000000002</v>
      </c>
      <c r="AI180" s="530">
        <f t="shared" si="102"/>
        <v>6207.7600000000075</v>
      </c>
      <c r="AJ180" s="530">
        <f t="shared" si="137"/>
        <v>-26653.159999999916</v>
      </c>
      <c r="AK180" s="530">
        <f t="shared" si="103"/>
        <v>-20445.399999999907</v>
      </c>
      <c r="AL180" s="287">
        <f t="shared" si="118"/>
        <v>224072.97999999989</v>
      </c>
      <c r="AM180" s="428">
        <f t="shared" si="129"/>
        <v>10</v>
      </c>
      <c r="AN180" s="14">
        <f t="shared" si="104"/>
        <v>749.98</v>
      </c>
      <c r="AO180" s="14">
        <f t="shared" si="138"/>
        <v>122095.99999999993</v>
      </c>
      <c r="AP180" s="14">
        <f t="shared" si="105"/>
        <v>959.90000000000009</v>
      </c>
      <c r="AS180" s="14">
        <f t="shared" si="124"/>
        <v>749.98</v>
      </c>
      <c r="AT180" s="14">
        <f t="shared" si="130"/>
        <v>91016.999999999985</v>
      </c>
      <c r="AU180" s="287">
        <f t="shared" si="131"/>
        <v>1333.0960945216195</v>
      </c>
      <c r="AV180" s="287">
        <f t="shared" si="132"/>
        <v>170311.92445100748</v>
      </c>
    </row>
    <row r="181" spans="1:48" x14ac:dyDescent="0.25">
      <c r="A181" s="519">
        <f t="shared" si="106"/>
        <v>49389</v>
      </c>
      <c r="B181" s="287">
        <f t="shared" si="125"/>
        <v>120789.01999999995</v>
      </c>
      <c r="C181" s="14">
        <f t="shared" si="119"/>
        <v>786.54</v>
      </c>
      <c r="D181" s="14">
        <f t="shared" si="133"/>
        <v>484.56999999999994</v>
      </c>
      <c r="E181" s="14">
        <f t="shared" si="120"/>
        <v>301.97000000000003</v>
      </c>
      <c r="F181" s="14">
        <f t="shared" si="96"/>
        <v>134.16999999999999</v>
      </c>
      <c r="G181" s="14">
        <f t="shared" si="94"/>
        <v>188.55</v>
      </c>
      <c r="H181" s="14">
        <f t="shared" si="95"/>
        <v>1109.26</v>
      </c>
      <c r="I181" s="287">
        <f t="shared" si="107"/>
        <v>66719.949999999953</v>
      </c>
      <c r="J181" s="287">
        <f t="shared" si="108"/>
        <v>65098.630000000005</v>
      </c>
      <c r="K181" s="287">
        <f t="shared" si="109"/>
        <v>120304.44999999994</v>
      </c>
      <c r="L181" s="428">
        <f t="shared" si="139"/>
        <v>10</v>
      </c>
      <c r="M181" s="428">
        <f t="shared" si="126"/>
        <v>122</v>
      </c>
      <c r="N181" s="287">
        <f t="shared" si="127"/>
        <v>197419.81999999998</v>
      </c>
      <c r="O181" s="287">
        <f t="shared" si="110"/>
        <v>1536.52</v>
      </c>
      <c r="P181" s="287">
        <f t="shared" si="134"/>
        <v>384.90000000000009</v>
      </c>
      <c r="Q181" s="287">
        <f t="shared" si="111"/>
        <v>1151.6199999999999</v>
      </c>
      <c r="R181" s="287">
        <f t="shared" si="98"/>
        <v>134.16999999999999</v>
      </c>
      <c r="S181" s="287">
        <f t="shared" si="99"/>
        <v>188.55</v>
      </c>
      <c r="T181" s="287">
        <f t="shared" si="97"/>
        <v>1859.24</v>
      </c>
      <c r="U181" s="287">
        <f t="shared" si="135"/>
        <v>33915.080000000009</v>
      </c>
      <c r="V181" s="287">
        <f t="shared" si="136"/>
        <v>155076.88</v>
      </c>
      <c r="W181" s="287">
        <f t="shared" si="112"/>
        <v>197034.91999999998</v>
      </c>
      <c r="X181" s="519">
        <f t="shared" si="128"/>
        <v>49389</v>
      </c>
      <c r="Y181" s="287">
        <f t="shared" si="113"/>
        <v>224072.97999999989</v>
      </c>
      <c r="Z181" s="511">
        <f t="shared" si="121"/>
        <v>7.0000000000000007E-2</v>
      </c>
      <c r="AA181" s="287">
        <f t="shared" si="122"/>
        <v>1746.44</v>
      </c>
      <c r="AB181" s="287">
        <f t="shared" si="114"/>
        <v>439.35000000000014</v>
      </c>
      <c r="AC181" s="287">
        <f t="shared" si="123"/>
        <v>1307.0899999999999</v>
      </c>
      <c r="AD181" s="287">
        <f t="shared" si="100"/>
        <v>134.16999999999999</v>
      </c>
      <c r="AE181" s="287">
        <f t="shared" si="101"/>
        <v>188.55</v>
      </c>
      <c r="AF181" s="287">
        <f t="shared" si="115"/>
        <v>2069.1600000000003</v>
      </c>
      <c r="AG181" s="287">
        <f t="shared" si="116"/>
        <v>52315.170000000006</v>
      </c>
      <c r="AH181" s="287">
        <f t="shared" si="117"/>
        <v>130678.95000000001</v>
      </c>
      <c r="AI181" s="530">
        <f t="shared" si="102"/>
        <v>5997.8400000000074</v>
      </c>
      <c r="AJ181" s="530">
        <f t="shared" si="137"/>
        <v>-26598.709999999905</v>
      </c>
      <c r="AK181" s="530">
        <f t="shared" si="103"/>
        <v>-20600.869999999897</v>
      </c>
      <c r="AL181" s="287">
        <f t="shared" si="118"/>
        <v>223633.62999999989</v>
      </c>
      <c r="AM181" s="428">
        <f t="shared" si="129"/>
        <v>10</v>
      </c>
      <c r="AN181" s="14">
        <f t="shared" si="104"/>
        <v>749.98</v>
      </c>
      <c r="AO181" s="14">
        <f t="shared" si="138"/>
        <v>122195.66999999993</v>
      </c>
      <c r="AP181" s="14">
        <f t="shared" si="105"/>
        <v>959.90000000000009</v>
      </c>
      <c r="AS181" s="14">
        <f t="shared" si="124"/>
        <v>749.98</v>
      </c>
      <c r="AT181" s="14">
        <f t="shared" si="130"/>
        <v>91766.979999999981</v>
      </c>
      <c r="AU181" s="287">
        <f t="shared" si="131"/>
        <v>1337.539748170025</v>
      </c>
      <c r="AV181" s="287">
        <f t="shared" si="132"/>
        <v>171649.46419917751</v>
      </c>
    </row>
    <row r="182" spans="1:48" ht="15.75" thickBot="1" x14ac:dyDescent="0.3">
      <c r="A182" s="522">
        <f t="shared" si="106"/>
        <v>49419</v>
      </c>
      <c r="B182" s="348">
        <f t="shared" si="125"/>
        <v>120304.44999999994</v>
      </c>
      <c r="C182" s="21">
        <f t="shared" si="119"/>
        <v>786.54</v>
      </c>
      <c r="D182" s="21">
        <f t="shared" si="133"/>
        <v>485.78</v>
      </c>
      <c r="E182" s="21">
        <f t="shared" si="120"/>
        <v>300.76</v>
      </c>
      <c r="F182" s="21">
        <f t="shared" si="96"/>
        <v>134.16999999999999</v>
      </c>
      <c r="G182" s="21">
        <f t="shared" si="94"/>
        <v>188.55</v>
      </c>
      <c r="H182" s="21">
        <f t="shared" si="95"/>
        <v>1109.26</v>
      </c>
      <c r="I182" s="348">
        <f t="shared" si="107"/>
        <v>67205.729999999952</v>
      </c>
      <c r="J182" s="348">
        <f t="shared" si="108"/>
        <v>65399.390000000007</v>
      </c>
      <c r="K182" s="348">
        <f t="shared" si="109"/>
        <v>119818.66999999994</v>
      </c>
      <c r="L182" s="429">
        <f t="shared" si="139"/>
        <v>10</v>
      </c>
      <c r="M182" s="429">
        <f t="shared" si="126"/>
        <v>123</v>
      </c>
      <c r="N182" s="348">
        <f t="shared" si="127"/>
        <v>197034.91999999998</v>
      </c>
      <c r="O182" s="348">
        <f t="shared" si="110"/>
        <v>1536.52</v>
      </c>
      <c r="P182" s="348">
        <f t="shared" si="134"/>
        <v>387.15000000000009</v>
      </c>
      <c r="Q182" s="348">
        <f t="shared" si="111"/>
        <v>1149.3699999999999</v>
      </c>
      <c r="R182" s="348">
        <f t="shared" si="98"/>
        <v>134.16999999999999</v>
      </c>
      <c r="S182" s="348">
        <f t="shared" si="99"/>
        <v>188.55</v>
      </c>
      <c r="T182" s="348">
        <f t="shared" si="97"/>
        <v>1859.24</v>
      </c>
      <c r="U182" s="348">
        <f t="shared" si="135"/>
        <v>34302.23000000001</v>
      </c>
      <c r="V182" s="348">
        <f t="shared" si="136"/>
        <v>156226.25</v>
      </c>
      <c r="W182" s="348">
        <f t="shared" si="112"/>
        <v>196647.77</v>
      </c>
      <c r="X182" s="522">
        <f t="shared" si="128"/>
        <v>49419</v>
      </c>
      <c r="Y182" s="348">
        <f t="shared" si="113"/>
        <v>223633.62999999989</v>
      </c>
      <c r="Z182" s="512">
        <f t="shared" si="121"/>
        <v>7.0000000000000007E-2</v>
      </c>
      <c r="AA182" s="348">
        <f t="shared" si="122"/>
        <v>1746.44</v>
      </c>
      <c r="AB182" s="348">
        <f t="shared" si="114"/>
        <v>441.91000000000008</v>
      </c>
      <c r="AC182" s="348">
        <f t="shared" si="123"/>
        <v>1304.53</v>
      </c>
      <c r="AD182" s="348">
        <f t="shared" si="100"/>
        <v>134.16999999999999</v>
      </c>
      <c r="AE182" s="348">
        <f t="shared" si="101"/>
        <v>188.55</v>
      </c>
      <c r="AF182" s="348">
        <f t="shared" si="115"/>
        <v>2069.1600000000003</v>
      </c>
      <c r="AG182" s="348">
        <f t="shared" si="116"/>
        <v>52757.080000000009</v>
      </c>
      <c r="AH182" s="348">
        <f t="shared" si="117"/>
        <v>131983.48000000001</v>
      </c>
      <c r="AI182" s="531">
        <f t="shared" si="102"/>
        <v>5787.9200000000073</v>
      </c>
      <c r="AJ182" s="531">
        <f t="shared" si="137"/>
        <v>-26543.949999999895</v>
      </c>
      <c r="AK182" s="530">
        <f t="shared" si="103"/>
        <v>-20756.02999999989</v>
      </c>
      <c r="AL182" s="348">
        <f t="shared" si="118"/>
        <v>223191.71999999988</v>
      </c>
      <c r="AM182" s="429">
        <f t="shared" si="129"/>
        <v>10</v>
      </c>
      <c r="AN182" s="21">
        <f t="shared" si="104"/>
        <v>749.98</v>
      </c>
      <c r="AO182" s="21">
        <f t="shared" si="138"/>
        <v>122294.29999999993</v>
      </c>
      <c r="AP182" s="21">
        <f t="shared" si="105"/>
        <v>959.90000000000009</v>
      </c>
      <c r="AQ182" s="21"/>
      <c r="AR182" s="23"/>
      <c r="AS182" s="21">
        <f t="shared" si="124"/>
        <v>749.98</v>
      </c>
      <c r="AT182" s="21">
        <f t="shared" si="130"/>
        <v>92516.959999999977</v>
      </c>
      <c r="AU182" s="348">
        <f t="shared" si="131"/>
        <v>1341.9982139972583</v>
      </c>
      <c r="AV182" s="348">
        <f t="shared" si="132"/>
        <v>172991.46241317477</v>
      </c>
    </row>
    <row r="183" spans="1:48" x14ac:dyDescent="0.25">
      <c r="A183" s="519">
        <f t="shared" si="106"/>
        <v>49449</v>
      </c>
      <c r="B183" s="287">
        <f t="shared" si="125"/>
        <v>119818.66999999994</v>
      </c>
      <c r="C183" s="14">
        <f t="shared" si="119"/>
        <v>786.54</v>
      </c>
      <c r="D183" s="14">
        <f t="shared" si="133"/>
        <v>486.98999999999995</v>
      </c>
      <c r="E183" s="14">
        <f t="shared" si="120"/>
        <v>299.55</v>
      </c>
      <c r="F183" s="14">
        <f t="shared" si="96"/>
        <v>134.16999999999999</v>
      </c>
      <c r="G183" s="14">
        <f t="shared" si="94"/>
        <v>188.55</v>
      </c>
      <c r="H183" s="14">
        <f t="shared" si="95"/>
        <v>1109.26</v>
      </c>
      <c r="I183" s="287">
        <f t="shared" si="107"/>
        <v>67692.719999999958</v>
      </c>
      <c r="J183" s="287">
        <f t="shared" si="108"/>
        <v>65698.94</v>
      </c>
      <c r="K183" s="287">
        <f t="shared" si="109"/>
        <v>119331.67999999993</v>
      </c>
      <c r="L183" s="428">
        <f t="shared" si="139"/>
        <v>10</v>
      </c>
      <c r="M183" s="428">
        <f t="shared" si="126"/>
        <v>124</v>
      </c>
      <c r="N183" s="287">
        <f t="shared" si="127"/>
        <v>196647.77</v>
      </c>
      <c r="O183" s="287">
        <f t="shared" si="110"/>
        <v>1536.52</v>
      </c>
      <c r="P183" s="287">
        <f t="shared" si="134"/>
        <v>389.41000000000008</v>
      </c>
      <c r="Q183" s="287">
        <f t="shared" si="111"/>
        <v>1147.1099999999999</v>
      </c>
      <c r="R183" s="287">
        <f t="shared" si="98"/>
        <v>134.16999999999999</v>
      </c>
      <c r="S183" s="287">
        <f t="shared" si="99"/>
        <v>188.55</v>
      </c>
      <c r="T183" s="287">
        <f t="shared" si="97"/>
        <v>1859.24</v>
      </c>
      <c r="U183" s="287">
        <f t="shared" si="135"/>
        <v>34691.640000000014</v>
      </c>
      <c r="V183" s="287">
        <f t="shared" si="136"/>
        <v>157373.35999999999</v>
      </c>
      <c r="W183" s="287">
        <f t="shared" si="112"/>
        <v>196258.36</v>
      </c>
      <c r="X183" s="519">
        <f t="shared" si="128"/>
        <v>49449</v>
      </c>
      <c r="Y183" s="287">
        <f t="shared" si="113"/>
        <v>223191.71999999988</v>
      </c>
      <c r="Z183" s="511">
        <f t="shared" si="121"/>
        <v>7.0000000000000007E-2</v>
      </c>
      <c r="AA183" s="287">
        <f t="shared" si="122"/>
        <v>1746.44</v>
      </c>
      <c r="AB183" s="287">
        <f t="shared" si="114"/>
        <v>444.49</v>
      </c>
      <c r="AC183" s="287">
        <f t="shared" si="123"/>
        <v>1301.95</v>
      </c>
      <c r="AD183" s="287">
        <f t="shared" si="100"/>
        <v>134.16999999999999</v>
      </c>
      <c r="AE183" s="287">
        <f t="shared" si="101"/>
        <v>188.55</v>
      </c>
      <c r="AF183" s="287">
        <f t="shared" si="115"/>
        <v>2069.1600000000003</v>
      </c>
      <c r="AG183" s="287">
        <f t="shared" si="116"/>
        <v>53201.570000000007</v>
      </c>
      <c r="AH183" s="287">
        <f t="shared" si="117"/>
        <v>133285.43000000002</v>
      </c>
      <c r="AI183" s="530">
        <f t="shared" si="102"/>
        <v>5578.0000000000073</v>
      </c>
      <c r="AJ183" s="530">
        <f t="shared" si="137"/>
        <v>-26488.869999999908</v>
      </c>
      <c r="AK183" s="530">
        <f t="shared" si="103"/>
        <v>-20910.869999999901</v>
      </c>
      <c r="AL183" s="287">
        <f t="shared" si="118"/>
        <v>222747.22999999989</v>
      </c>
      <c r="AM183" s="428">
        <f t="shared" si="129"/>
        <v>10</v>
      </c>
      <c r="AN183" s="14">
        <f t="shared" si="104"/>
        <v>749.98</v>
      </c>
      <c r="AO183" s="14">
        <f t="shared" si="138"/>
        <v>122391.87999999995</v>
      </c>
      <c r="AP183" s="14">
        <f t="shared" si="105"/>
        <v>959.90000000000009</v>
      </c>
      <c r="AS183" s="14">
        <f t="shared" si="124"/>
        <v>749.98</v>
      </c>
      <c r="AT183" s="14">
        <f t="shared" si="130"/>
        <v>93266.939999999973</v>
      </c>
      <c r="AU183" s="287">
        <f t="shared" si="131"/>
        <v>1346.4715413772494</v>
      </c>
      <c r="AV183" s="287">
        <f t="shared" si="132"/>
        <v>174337.93395455202</v>
      </c>
    </row>
    <row r="184" spans="1:48" x14ac:dyDescent="0.25">
      <c r="A184" s="519">
        <f t="shared" si="106"/>
        <v>49479</v>
      </c>
      <c r="B184" s="287">
        <f t="shared" si="125"/>
        <v>119331.67999999993</v>
      </c>
      <c r="C184" s="14">
        <f t="shared" si="119"/>
        <v>786.54</v>
      </c>
      <c r="D184" s="14">
        <f t="shared" si="133"/>
        <v>488.21</v>
      </c>
      <c r="E184" s="14">
        <f t="shared" si="120"/>
        <v>298.33</v>
      </c>
      <c r="F184" s="14">
        <f t="shared" si="96"/>
        <v>134.16999999999999</v>
      </c>
      <c r="G184" s="14">
        <f t="shared" si="94"/>
        <v>188.55</v>
      </c>
      <c r="H184" s="14">
        <f t="shared" si="95"/>
        <v>1109.26</v>
      </c>
      <c r="I184" s="287">
        <f t="shared" si="107"/>
        <v>68180.929999999964</v>
      </c>
      <c r="J184" s="287">
        <f t="shared" si="108"/>
        <v>65997.27</v>
      </c>
      <c r="K184" s="287">
        <f t="shared" si="109"/>
        <v>118843.46999999993</v>
      </c>
      <c r="L184" s="428">
        <f t="shared" si="139"/>
        <v>10</v>
      </c>
      <c r="M184" s="428">
        <f t="shared" si="126"/>
        <v>125</v>
      </c>
      <c r="N184" s="287">
        <f t="shared" si="127"/>
        <v>196258.36</v>
      </c>
      <c r="O184" s="287">
        <f t="shared" si="110"/>
        <v>1536.52</v>
      </c>
      <c r="P184" s="287">
        <f t="shared" si="134"/>
        <v>391.68000000000006</v>
      </c>
      <c r="Q184" s="287">
        <f t="shared" si="111"/>
        <v>1144.8399999999999</v>
      </c>
      <c r="R184" s="287">
        <f t="shared" si="98"/>
        <v>134.16999999999999</v>
      </c>
      <c r="S184" s="287">
        <f t="shared" si="99"/>
        <v>188.55</v>
      </c>
      <c r="T184" s="287">
        <f t="shared" si="97"/>
        <v>1859.24</v>
      </c>
      <c r="U184" s="287">
        <f t="shared" si="135"/>
        <v>35083.320000000014</v>
      </c>
      <c r="V184" s="287">
        <f t="shared" si="136"/>
        <v>158518.19999999998</v>
      </c>
      <c r="W184" s="287">
        <f t="shared" si="112"/>
        <v>195866.68</v>
      </c>
      <c r="X184" s="519">
        <f t="shared" si="128"/>
        <v>49479</v>
      </c>
      <c r="Y184" s="287">
        <f t="shared" si="113"/>
        <v>222747.22999999989</v>
      </c>
      <c r="Z184" s="511">
        <f t="shared" si="121"/>
        <v>7.0000000000000007E-2</v>
      </c>
      <c r="AA184" s="287">
        <f t="shared" si="122"/>
        <v>1746.44</v>
      </c>
      <c r="AB184" s="287">
        <f t="shared" si="114"/>
        <v>447.08000000000015</v>
      </c>
      <c r="AC184" s="287">
        <f t="shared" si="123"/>
        <v>1299.3599999999999</v>
      </c>
      <c r="AD184" s="287">
        <f t="shared" si="100"/>
        <v>134.16999999999999</v>
      </c>
      <c r="AE184" s="287">
        <f t="shared" si="101"/>
        <v>188.55</v>
      </c>
      <c r="AF184" s="287">
        <f t="shared" si="115"/>
        <v>2069.1600000000003</v>
      </c>
      <c r="AG184" s="287">
        <f t="shared" si="116"/>
        <v>53648.650000000009</v>
      </c>
      <c r="AH184" s="287">
        <f t="shared" si="117"/>
        <v>134584.79</v>
      </c>
      <c r="AI184" s="530">
        <f t="shared" si="102"/>
        <v>5368.0800000000072</v>
      </c>
      <c r="AJ184" s="530">
        <f t="shared" si="137"/>
        <v>-26433.469999999914</v>
      </c>
      <c r="AK184" s="530">
        <f t="shared" si="103"/>
        <v>-21065.389999999905</v>
      </c>
      <c r="AL184" s="287">
        <f t="shared" si="118"/>
        <v>222300.14999999991</v>
      </c>
      <c r="AM184" s="428">
        <f t="shared" si="129"/>
        <v>10</v>
      </c>
      <c r="AN184" s="14">
        <f t="shared" si="104"/>
        <v>749.98</v>
      </c>
      <c r="AO184" s="14">
        <f t="shared" si="138"/>
        <v>122488.40999999995</v>
      </c>
      <c r="AP184" s="14">
        <f t="shared" si="105"/>
        <v>959.90000000000009</v>
      </c>
      <c r="AS184" s="14">
        <f t="shared" si="124"/>
        <v>749.98</v>
      </c>
      <c r="AT184" s="14">
        <f t="shared" si="130"/>
        <v>94016.919999999969</v>
      </c>
      <c r="AU184" s="287">
        <f t="shared" si="131"/>
        <v>1350.9597798485067</v>
      </c>
      <c r="AV184" s="287">
        <f t="shared" si="132"/>
        <v>175688.89373440054</v>
      </c>
    </row>
    <row r="185" spans="1:48" x14ac:dyDescent="0.25">
      <c r="A185" s="519">
        <f t="shared" si="106"/>
        <v>49509</v>
      </c>
      <c r="B185" s="287">
        <f t="shared" si="125"/>
        <v>118843.46999999993</v>
      </c>
      <c r="C185" s="14">
        <f t="shared" si="119"/>
        <v>786.54</v>
      </c>
      <c r="D185" s="14">
        <f t="shared" si="133"/>
        <v>489.42999999999995</v>
      </c>
      <c r="E185" s="14">
        <f t="shared" si="120"/>
        <v>297.11</v>
      </c>
      <c r="F185" s="14">
        <f t="shared" si="96"/>
        <v>134.16999999999999</v>
      </c>
      <c r="G185" s="14">
        <f t="shared" si="94"/>
        <v>188.55</v>
      </c>
      <c r="H185" s="14">
        <f t="shared" si="95"/>
        <v>1109.26</v>
      </c>
      <c r="I185" s="287">
        <f t="shared" si="107"/>
        <v>68670.359999999957</v>
      </c>
      <c r="J185" s="287">
        <f t="shared" si="108"/>
        <v>66294.38</v>
      </c>
      <c r="K185" s="287">
        <f t="shared" si="109"/>
        <v>118354.03999999994</v>
      </c>
      <c r="L185" s="428">
        <f t="shared" si="139"/>
        <v>10</v>
      </c>
      <c r="M185" s="428">
        <f t="shared" si="126"/>
        <v>126</v>
      </c>
      <c r="N185" s="287">
        <f t="shared" si="127"/>
        <v>195866.68</v>
      </c>
      <c r="O185" s="287">
        <f t="shared" si="110"/>
        <v>1536.52</v>
      </c>
      <c r="P185" s="287">
        <f t="shared" si="134"/>
        <v>393.96000000000004</v>
      </c>
      <c r="Q185" s="287">
        <f t="shared" si="111"/>
        <v>1142.56</v>
      </c>
      <c r="R185" s="287">
        <f t="shared" si="98"/>
        <v>134.16999999999999</v>
      </c>
      <c r="S185" s="287">
        <f t="shared" si="99"/>
        <v>188.55</v>
      </c>
      <c r="T185" s="287">
        <f t="shared" si="97"/>
        <v>1859.24</v>
      </c>
      <c r="U185" s="287">
        <f t="shared" si="135"/>
        <v>35477.280000000013</v>
      </c>
      <c r="V185" s="287">
        <f t="shared" si="136"/>
        <v>159660.75999999998</v>
      </c>
      <c r="W185" s="287">
        <f t="shared" si="112"/>
        <v>195472.72</v>
      </c>
      <c r="X185" s="519">
        <f t="shared" si="128"/>
        <v>49509</v>
      </c>
      <c r="Y185" s="287">
        <f t="shared" si="113"/>
        <v>222300.14999999991</v>
      </c>
      <c r="Z185" s="511">
        <f t="shared" si="121"/>
        <v>7.0000000000000007E-2</v>
      </c>
      <c r="AA185" s="287">
        <f t="shared" si="122"/>
        <v>1746.44</v>
      </c>
      <c r="AB185" s="287">
        <f t="shared" si="114"/>
        <v>449.69000000000005</v>
      </c>
      <c r="AC185" s="287">
        <f t="shared" si="123"/>
        <v>1296.75</v>
      </c>
      <c r="AD185" s="287">
        <f t="shared" si="100"/>
        <v>134.16999999999999</v>
      </c>
      <c r="AE185" s="287">
        <f t="shared" si="101"/>
        <v>188.55</v>
      </c>
      <c r="AF185" s="287">
        <f t="shared" si="115"/>
        <v>2069.1600000000003</v>
      </c>
      <c r="AG185" s="287">
        <f t="shared" si="116"/>
        <v>54098.340000000011</v>
      </c>
      <c r="AH185" s="287">
        <f t="shared" si="117"/>
        <v>135881.54</v>
      </c>
      <c r="AI185" s="530">
        <f t="shared" si="102"/>
        <v>5158.1600000000071</v>
      </c>
      <c r="AJ185" s="530">
        <f t="shared" si="137"/>
        <v>-26377.739999999903</v>
      </c>
      <c r="AK185" s="530">
        <f t="shared" si="103"/>
        <v>-21219.579999999896</v>
      </c>
      <c r="AL185" s="287">
        <f t="shared" si="118"/>
        <v>221850.4599999999</v>
      </c>
      <c r="AM185" s="428">
        <f t="shared" si="129"/>
        <v>10</v>
      </c>
      <c r="AN185" s="14">
        <f t="shared" si="104"/>
        <v>749.98</v>
      </c>
      <c r="AO185" s="14">
        <f t="shared" si="138"/>
        <v>122583.87999999993</v>
      </c>
      <c r="AP185" s="14">
        <f t="shared" si="105"/>
        <v>959.90000000000009</v>
      </c>
      <c r="AS185" s="14">
        <f t="shared" si="124"/>
        <v>749.98</v>
      </c>
      <c r="AT185" s="14">
        <f t="shared" si="130"/>
        <v>94766.899999999965</v>
      </c>
      <c r="AU185" s="287">
        <f t="shared" si="131"/>
        <v>1355.4629791146683</v>
      </c>
      <c r="AV185" s="287">
        <f t="shared" si="132"/>
        <v>177044.35671351521</v>
      </c>
    </row>
    <row r="186" spans="1:48" x14ac:dyDescent="0.25">
      <c r="A186" s="519">
        <f t="shared" si="106"/>
        <v>49539</v>
      </c>
      <c r="B186" s="287">
        <f t="shared" si="125"/>
        <v>118354.03999999994</v>
      </c>
      <c r="C186" s="14">
        <f t="shared" si="119"/>
        <v>786.54</v>
      </c>
      <c r="D186" s="14">
        <f t="shared" si="133"/>
        <v>490.65</v>
      </c>
      <c r="E186" s="14">
        <f t="shared" si="120"/>
        <v>295.89</v>
      </c>
      <c r="F186" s="14">
        <f t="shared" si="96"/>
        <v>134.16999999999999</v>
      </c>
      <c r="G186" s="14">
        <f t="shared" ref="G186:G249" si="140">+G185</f>
        <v>188.55</v>
      </c>
      <c r="H186" s="14">
        <f t="shared" ref="H186:H249" si="141">SUM(D186:G186)</f>
        <v>1109.26</v>
      </c>
      <c r="I186" s="287">
        <f t="shared" si="107"/>
        <v>69161.009999999951</v>
      </c>
      <c r="J186" s="287">
        <f t="shared" si="108"/>
        <v>66590.27</v>
      </c>
      <c r="K186" s="287">
        <f t="shared" si="109"/>
        <v>117863.38999999994</v>
      </c>
      <c r="L186" s="428">
        <f t="shared" si="139"/>
        <v>10</v>
      </c>
      <c r="M186" s="428">
        <f t="shared" si="126"/>
        <v>127</v>
      </c>
      <c r="N186" s="287">
        <f t="shared" si="127"/>
        <v>195472.72</v>
      </c>
      <c r="O186" s="287">
        <f t="shared" si="110"/>
        <v>1536.52</v>
      </c>
      <c r="P186" s="287">
        <f t="shared" si="134"/>
        <v>396.26</v>
      </c>
      <c r="Q186" s="287">
        <f t="shared" si="111"/>
        <v>1140.26</v>
      </c>
      <c r="R186" s="287">
        <f t="shared" si="98"/>
        <v>134.16999999999999</v>
      </c>
      <c r="S186" s="287">
        <f t="shared" si="99"/>
        <v>188.55</v>
      </c>
      <c r="T186" s="287">
        <f t="shared" si="97"/>
        <v>1859.24</v>
      </c>
      <c r="U186" s="287">
        <f t="shared" si="135"/>
        <v>35873.540000000015</v>
      </c>
      <c r="V186" s="287">
        <f t="shared" si="136"/>
        <v>160801.01999999999</v>
      </c>
      <c r="W186" s="287">
        <f t="shared" si="112"/>
        <v>195076.46</v>
      </c>
      <c r="X186" s="519">
        <f t="shared" si="128"/>
        <v>49539</v>
      </c>
      <c r="Y186" s="287">
        <f t="shared" si="113"/>
        <v>221850.4599999999</v>
      </c>
      <c r="Z186" s="511">
        <f t="shared" si="121"/>
        <v>7.0000000000000007E-2</v>
      </c>
      <c r="AA186" s="287">
        <f t="shared" si="122"/>
        <v>1746.44</v>
      </c>
      <c r="AB186" s="287">
        <f t="shared" si="114"/>
        <v>452.30999999999995</v>
      </c>
      <c r="AC186" s="287">
        <f t="shared" si="123"/>
        <v>1294.1300000000001</v>
      </c>
      <c r="AD186" s="287">
        <f t="shared" si="100"/>
        <v>134.16999999999999</v>
      </c>
      <c r="AE186" s="287">
        <f t="shared" si="101"/>
        <v>188.55</v>
      </c>
      <c r="AF186" s="287">
        <f t="shared" si="115"/>
        <v>2069.1600000000003</v>
      </c>
      <c r="AG186" s="287">
        <f t="shared" si="116"/>
        <v>54550.650000000009</v>
      </c>
      <c r="AH186" s="287">
        <f t="shared" si="117"/>
        <v>137175.67000000001</v>
      </c>
      <c r="AI186" s="530">
        <f t="shared" si="102"/>
        <v>4948.2400000000071</v>
      </c>
      <c r="AJ186" s="530">
        <f t="shared" si="137"/>
        <v>-26321.689999999915</v>
      </c>
      <c r="AK186" s="530">
        <f t="shared" si="103"/>
        <v>-21373.44999999991</v>
      </c>
      <c r="AL186" s="287">
        <f t="shared" si="118"/>
        <v>221398.14999999991</v>
      </c>
      <c r="AM186" s="428">
        <f t="shared" si="129"/>
        <v>10</v>
      </c>
      <c r="AN186" s="14">
        <f t="shared" si="104"/>
        <v>749.98</v>
      </c>
      <c r="AO186" s="14">
        <f t="shared" si="138"/>
        <v>122678.26999999993</v>
      </c>
      <c r="AP186" s="14">
        <f t="shared" si="105"/>
        <v>959.90000000000009</v>
      </c>
      <c r="AS186" s="14">
        <f t="shared" si="124"/>
        <v>749.98</v>
      </c>
      <c r="AT186" s="14">
        <f t="shared" si="130"/>
        <v>95516.879999999961</v>
      </c>
      <c r="AU186" s="287">
        <f t="shared" si="131"/>
        <v>1359.9811890450508</v>
      </c>
      <c r="AV186" s="287">
        <f t="shared" si="132"/>
        <v>178404.33790256025</v>
      </c>
    </row>
    <row r="187" spans="1:48" x14ac:dyDescent="0.25">
      <c r="A187" s="519">
        <f t="shared" si="106"/>
        <v>49569</v>
      </c>
      <c r="B187" s="287">
        <f t="shared" si="125"/>
        <v>117863.38999999994</v>
      </c>
      <c r="C187" s="14">
        <f t="shared" si="119"/>
        <v>786.54</v>
      </c>
      <c r="D187" s="14">
        <f t="shared" si="133"/>
        <v>491.87999999999994</v>
      </c>
      <c r="E187" s="14">
        <f t="shared" si="120"/>
        <v>294.66000000000003</v>
      </c>
      <c r="F187" s="14">
        <f t="shared" ref="F187:F250" si="142">+F186</f>
        <v>134.16999999999999</v>
      </c>
      <c r="G187" s="14">
        <f t="shared" si="140"/>
        <v>188.55</v>
      </c>
      <c r="H187" s="14">
        <f t="shared" si="141"/>
        <v>1109.26</v>
      </c>
      <c r="I187" s="287">
        <f t="shared" si="107"/>
        <v>69652.889999999956</v>
      </c>
      <c r="J187" s="287">
        <f t="shared" si="108"/>
        <v>66884.930000000008</v>
      </c>
      <c r="K187" s="287">
        <f t="shared" si="109"/>
        <v>117371.50999999994</v>
      </c>
      <c r="L187" s="428">
        <f t="shared" si="139"/>
        <v>10</v>
      </c>
      <c r="M187" s="428">
        <f t="shared" si="126"/>
        <v>128</v>
      </c>
      <c r="N187" s="287">
        <f t="shared" si="127"/>
        <v>195076.46</v>
      </c>
      <c r="O187" s="287">
        <f t="shared" si="110"/>
        <v>1536.52</v>
      </c>
      <c r="P187" s="287">
        <f t="shared" si="134"/>
        <v>398.56999999999994</v>
      </c>
      <c r="Q187" s="287">
        <f t="shared" si="111"/>
        <v>1137.95</v>
      </c>
      <c r="R187" s="287">
        <f t="shared" si="98"/>
        <v>134.16999999999999</v>
      </c>
      <c r="S187" s="287">
        <f t="shared" si="99"/>
        <v>188.55</v>
      </c>
      <c r="T187" s="287">
        <f t="shared" ref="T187:T250" si="143">SUM(P187:S187)</f>
        <v>1859.24</v>
      </c>
      <c r="U187" s="287">
        <f t="shared" si="135"/>
        <v>36272.110000000015</v>
      </c>
      <c r="V187" s="287">
        <f t="shared" si="136"/>
        <v>161938.97</v>
      </c>
      <c r="W187" s="287">
        <f t="shared" si="112"/>
        <v>194677.88999999998</v>
      </c>
      <c r="X187" s="519">
        <f t="shared" si="128"/>
        <v>49569</v>
      </c>
      <c r="Y187" s="287">
        <f t="shared" si="113"/>
        <v>221398.14999999991</v>
      </c>
      <c r="Z187" s="511">
        <f t="shared" si="121"/>
        <v>7.0000000000000007E-2</v>
      </c>
      <c r="AA187" s="287">
        <f t="shared" si="122"/>
        <v>1746.44</v>
      </c>
      <c r="AB187" s="287">
        <f t="shared" si="114"/>
        <v>454.95000000000005</v>
      </c>
      <c r="AC187" s="287">
        <f t="shared" si="123"/>
        <v>1291.49</v>
      </c>
      <c r="AD187" s="287">
        <f t="shared" si="100"/>
        <v>134.16999999999999</v>
      </c>
      <c r="AE187" s="287">
        <f t="shared" si="101"/>
        <v>188.55</v>
      </c>
      <c r="AF187" s="287">
        <f t="shared" si="115"/>
        <v>2069.1600000000003</v>
      </c>
      <c r="AG187" s="287">
        <f t="shared" si="116"/>
        <v>55005.600000000006</v>
      </c>
      <c r="AH187" s="287">
        <f t="shared" si="117"/>
        <v>138467.16</v>
      </c>
      <c r="AI187" s="530">
        <f t="shared" si="102"/>
        <v>4738.320000000007</v>
      </c>
      <c r="AJ187" s="530">
        <f t="shared" si="137"/>
        <v>-26265.30999999991</v>
      </c>
      <c r="AK187" s="530">
        <f t="shared" si="103"/>
        <v>-21526.989999999903</v>
      </c>
      <c r="AL187" s="287">
        <f t="shared" si="118"/>
        <v>220943.1999999999</v>
      </c>
      <c r="AM187" s="428">
        <f t="shared" si="129"/>
        <v>10</v>
      </c>
      <c r="AN187" s="14">
        <f t="shared" si="104"/>
        <v>749.98</v>
      </c>
      <c r="AO187" s="14">
        <f t="shared" si="138"/>
        <v>122771.57999999993</v>
      </c>
      <c r="AP187" s="14">
        <f t="shared" si="105"/>
        <v>959.90000000000009</v>
      </c>
      <c r="AS187" s="14">
        <f t="shared" si="124"/>
        <v>749.98</v>
      </c>
      <c r="AT187" s="14">
        <f t="shared" si="130"/>
        <v>96266.859999999957</v>
      </c>
      <c r="AU187" s="287">
        <f t="shared" si="131"/>
        <v>1364.5144596752009</v>
      </c>
      <c r="AV187" s="287">
        <f t="shared" si="132"/>
        <v>179768.85236223546</v>
      </c>
    </row>
    <row r="188" spans="1:48" x14ac:dyDescent="0.25">
      <c r="A188" s="519">
        <f t="shared" si="106"/>
        <v>49599</v>
      </c>
      <c r="B188" s="287">
        <f t="shared" si="125"/>
        <v>117371.50999999994</v>
      </c>
      <c r="C188" s="14">
        <f t="shared" si="119"/>
        <v>786.54</v>
      </c>
      <c r="D188" s="14">
        <f t="shared" si="133"/>
        <v>493.10999999999996</v>
      </c>
      <c r="E188" s="14">
        <f t="shared" si="120"/>
        <v>293.43</v>
      </c>
      <c r="F188" s="14">
        <f t="shared" si="142"/>
        <v>134.16999999999999</v>
      </c>
      <c r="G188" s="14">
        <f t="shared" si="140"/>
        <v>188.55</v>
      </c>
      <c r="H188" s="14">
        <f t="shared" si="141"/>
        <v>1109.26</v>
      </c>
      <c r="I188" s="287">
        <f t="shared" si="107"/>
        <v>70145.999999999956</v>
      </c>
      <c r="J188" s="287">
        <f t="shared" si="108"/>
        <v>67178.36</v>
      </c>
      <c r="K188" s="287">
        <f t="shared" si="109"/>
        <v>116878.39999999994</v>
      </c>
      <c r="L188" s="428">
        <f t="shared" si="139"/>
        <v>10</v>
      </c>
      <c r="M188" s="428">
        <f t="shared" si="126"/>
        <v>129</v>
      </c>
      <c r="N188" s="287">
        <f t="shared" si="127"/>
        <v>194677.88999999998</v>
      </c>
      <c r="O188" s="287">
        <f t="shared" si="110"/>
        <v>1536.52</v>
      </c>
      <c r="P188" s="287">
        <f t="shared" si="134"/>
        <v>400.90000000000009</v>
      </c>
      <c r="Q188" s="287">
        <f t="shared" si="111"/>
        <v>1135.6199999999999</v>
      </c>
      <c r="R188" s="287">
        <f t="shared" ref="R188:R251" si="144">+R187</f>
        <v>134.16999999999999</v>
      </c>
      <c r="S188" s="287">
        <f t="shared" ref="S188:S251" si="145">+S187</f>
        <v>188.55</v>
      </c>
      <c r="T188" s="287">
        <f t="shared" si="143"/>
        <v>1859.24</v>
      </c>
      <c r="U188" s="287">
        <f t="shared" si="135"/>
        <v>36673.010000000017</v>
      </c>
      <c r="V188" s="287">
        <f t="shared" si="136"/>
        <v>163074.59</v>
      </c>
      <c r="W188" s="287">
        <f t="shared" si="112"/>
        <v>194276.99</v>
      </c>
      <c r="X188" s="519">
        <f t="shared" si="128"/>
        <v>49599</v>
      </c>
      <c r="Y188" s="287">
        <f t="shared" si="113"/>
        <v>220943.1999999999</v>
      </c>
      <c r="Z188" s="511">
        <f t="shared" si="121"/>
        <v>7.0000000000000007E-2</v>
      </c>
      <c r="AA188" s="287">
        <f t="shared" si="122"/>
        <v>1746.44</v>
      </c>
      <c r="AB188" s="287">
        <f t="shared" si="114"/>
        <v>457.60000000000014</v>
      </c>
      <c r="AC188" s="287">
        <f t="shared" si="123"/>
        <v>1288.8399999999999</v>
      </c>
      <c r="AD188" s="287">
        <f t="shared" ref="AD188:AD251" si="146">+AD187</f>
        <v>134.16999999999999</v>
      </c>
      <c r="AE188" s="287">
        <f t="shared" ref="AE188:AE251" si="147">+AE187</f>
        <v>188.55</v>
      </c>
      <c r="AF188" s="287">
        <f t="shared" si="115"/>
        <v>2069.1600000000003</v>
      </c>
      <c r="AG188" s="287">
        <f t="shared" si="116"/>
        <v>55463.200000000004</v>
      </c>
      <c r="AH188" s="287">
        <f t="shared" si="117"/>
        <v>139756</v>
      </c>
      <c r="AI188" s="530">
        <f t="shared" ref="AI188:AI251" si="148">O188-AA188+AI187</f>
        <v>4528.4000000000069</v>
      </c>
      <c r="AJ188" s="530">
        <f t="shared" si="137"/>
        <v>-26208.609999999899</v>
      </c>
      <c r="AK188" s="530">
        <f t="shared" ref="AK188:AK251" si="149">SUM(AI188:AJ188)</f>
        <v>-21680.20999999989</v>
      </c>
      <c r="AL188" s="287">
        <f t="shared" si="118"/>
        <v>220485.59999999989</v>
      </c>
      <c r="AM188" s="428">
        <f t="shared" si="129"/>
        <v>10</v>
      </c>
      <c r="AN188" s="14">
        <f t="shared" ref="AN188:AN251" si="150">IF(O188=0,0,+O188-C188)</f>
        <v>749.98</v>
      </c>
      <c r="AO188" s="14">
        <f t="shared" si="138"/>
        <v>122863.78999999992</v>
      </c>
      <c r="AP188" s="14">
        <f t="shared" ref="AP188:AP251" si="151">IF($O188=0,0,+AA188-$C188)</f>
        <v>959.90000000000009</v>
      </c>
      <c r="AS188" s="14">
        <f t="shared" si="124"/>
        <v>749.98</v>
      </c>
      <c r="AT188" s="14">
        <f t="shared" si="130"/>
        <v>97016.839999999953</v>
      </c>
      <c r="AU188" s="287">
        <f t="shared" si="131"/>
        <v>1369.0628412074514</v>
      </c>
      <c r="AV188" s="287">
        <f t="shared" si="132"/>
        <v>181137.91520344291</v>
      </c>
    </row>
    <row r="189" spans="1:48" x14ac:dyDescent="0.25">
      <c r="A189" s="519">
        <f t="shared" si="106"/>
        <v>49629</v>
      </c>
      <c r="B189" s="287">
        <f t="shared" si="125"/>
        <v>116878.39999999994</v>
      </c>
      <c r="C189" s="14">
        <f t="shared" si="119"/>
        <v>786.54</v>
      </c>
      <c r="D189" s="14">
        <f t="shared" si="133"/>
        <v>494.34</v>
      </c>
      <c r="E189" s="14">
        <f t="shared" si="120"/>
        <v>292.2</v>
      </c>
      <c r="F189" s="14">
        <f t="shared" si="142"/>
        <v>134.16999999999999</v>
      </c>
      <c r="G189" s="14">
        <f t="shared" si="140"/>
        <v>188.55</v>
      </c>
      <c r="H189" s="14">
        <f t="shared" si="141"/>
        <v>1109.26</v>
      </c>
      <c r="I189" s="287">
        <f t="shared" si="107"/>
        <v>70640.339999999953</v>
      </c>
      <c r="J189" s="287">
        <f t="shared" si="108"/>
        <v>67470.559999999998</v>
      </c>
      <c r="K189" s="287">
        <f t="shared" si="109"/>
        <v>116384.05999999994</v>
      </c>
      <c r="L189" s="428">
        <f t="shared" si="139"/>
        <v>10</v>
      </c>
      <c r="M189" s="428">
        <f t="shared" si="126"/>
        <v>130</v>
      </c>
      <c r="N189" s="287">
        <f t="shared" si="127"/>
        <v>194276.99</v>
      </c>
      <c r="O189" s="287">
        <f t="shared" si="110"/>
        <v>1536.52</v>
      </c>
      <c r="P189" s="287">
        <f t="shared" si="134"/>
        <v>403.24</v>
      </c>
      <c r="Q189" s="287">
        <f t="shared" si="111"/>
        <v>1133.28</v>
      </c>
      <c r="R189" s="287">
        <f t="shared" si="144"/>
        <v>134.16999999999999</v>
      </c>
      <c r="S189" s="287">
        <f t="shared" si="145"/>
        <v>188.55</v>
      </c>
      <c r="T189" s="287">
        <f t="shared" si="143"/>
        <v>1859.24</v>
      </c>
      <c r="U189" s="287">
        <f t="shared" si="135"/>
        <v>37076.250000000015</v>
      </c>
      <c r="V189" s="287">
        <f t="shared" si="136"/>
        <v>164207.87</v>
      </c>
      <c r="W189" s="287">
        <f t="shared" si="112"/>
        <v>193873.75</v>
      </c>
      <c r="X189" s="519">
        <f t="shared" si="128"/>
        <v>49629</v>
      </c>
      <c r="Y189" s="287">
        <f t="shared" si="113"/>
        <v>220485.59999999989</v>
      </c>
      <c r="Z189" s="511">
        <f t="shared" si="121"/>
        <v>7.0000000000000007E-2</v>
      </c>
      <c r="AA189" s="287">
        <f t="shared" si="122"/>
        <v>1746.44</v>
      </c>
      <c r="AB189" s="287">
        <f t="shared" si="114"/>
        <v>460.27</v>
      </c>
      <c r="AC189" s="287">
        <f t="shared" si="123"/>
        <v>1286.17</v>
      </c>
      <c r="AD189" s="287">
        <f t="shared" si="146"/>
        <v>134.16999999999999</v>
      </c>
      <c r="AE189" s="287">
        <f t="shared" si="147"/>
        <v>188.55</v>
      </c>
      <c r="AF189" s="287">
        <f t="shared" si="115"/>
        <v>2069.1600000000003</v>
      </c>
      <c r="AG189" s="287">
        <f t="shared" si="116"/>
        <v>55923.47</v>
      </c>
      <c r="AH189" s="287">
        <f t="shared" si="117"/>
        <v>141042.17000000001</v>
      </c>
      <c r="AI189" s="530">
        <f t="shared" si="148"/>
        <v>4318.4800000000068</v>
      </c>
      <c r="AJ189" s="530">
        <f t="shared" si="137"/>
        <v>-26151.5799999999</v>
      </c>
      <c r="AK189" s="530">
        <f t="shared" si="149"/>
        <v>-21833.099999999893</v>
      </c>
      <c r="AL189" s="287">
        <f t="shared" si="118"/>
        <v>220025.3299999999</v>
      </c>
      <c r="AM189" s="428">
        <f t="shared" si="129"/>
        <v>10</v>
      </c>
      <c r="AN189" s="14">
        <f t="shared" si="150"/>
        <v>749.98</v>
      </c>
      <c r="AO189" s="14">
        <f t="shared" si="138"/>
        <v>122954.88999999994</v>
      </c>
      <c r="AP189" s="14">
        <f t="shared" si="151"/>
        <v>959.90000000000009</v>
      </c>
      <c r="AS189" s="14">
        <f t="shared" si="124"/>
        <v>749.98</v>
      </c>
      <c r="AT189" s="14">
        <f t="shared" si="130"/>
        <v>97766.819999999949</v>
      </c>
      <c r="AU189" s="287">
        <f t="shared" si="131"/>
        <v>1373.6263840114764</v>
      </c>
      <c r="AV189" s="287">
        <f t="shared" si="132"/>
        <v>182511.54158745438</v>
      </c>
    </row>
    <row r="190" spans="1:48" x14ac:dyDescent="0.25">
      <c r="A190" s="519">
        <f t="shared" ref="A190:A253" si="152">IF(K190&lt;=0," ",+A189+30)</f>
        <v>49659</v>
      </c>
      <c r="B190" s="287">
        <f t="shared" si="125"/>
        <v>116384.05999999994</v>
      </c>
      <c r="C190" s="14">
        <f t="shared" si="119"/>
        <v>786.54</v>
      </c>
      <c r="D190" s="14">
        <f t="shared" si="133"/>
        <v>495.58</v>
      </c>
      <c r="E190" s="14">
        <f t="shared" si="120"/>
        <v>290.95999999999998</v>
      </c>
      <c r="F190" s="14">
        <f t="shared" si="142"/>
        <v>134.16999999999999</v>
      </c>
      <c r="G190" s="14">
        <f t="shared" si="140"/>
        <v>188.55</v>
      </c>
      <c r="H190" s="14">
        <f t="shared" si="141"/>
        <v>1109.26</v>
      </c>
      <c r="I190" s="287">
        <f t="shared" ref="I190:I253" si="153">$D190+$I189</f>
        <v>71135.919999999955</v>
      </c>
      <c r="J190" s="287">
        <f t="shared" ref="J190:J253" si="154">$E190+$J189</f>
        <v>67761.52</v>
      </c>
      <c r="K190" s="287">
        <f t="shared" ref="K190:K253" si="155">+B190-D190</f>
        <v>115888.47999999994</v>
      </c>
      <c r="L190" s="428">
        <f t="shared" si="139"/>
        <v>10</v>
      </c>
      <c r="M190" s="428">
        <f t="shared" si="126"/>
        <v>131</v>
      </c>
      <c r="N190" s="287">
        <f t="shared" si="127"/>
        <v>193873.75</v>
      </c>
      <c r="O190" s="287">
        <f t="shared" ref="O190:O253" si="156">IF($O$9&lt;=A190,IF(+$W189&lt;=0,0,$O$8),0)</f>
        <v>1536.52</v>
      </c>
      <c r="P190" s="287">
        <f t="shared" si="134"/>
        <v>405.58999999999992</v>
      </c>
      <c r="Q190" s="287">
        <f t="shared" ref="Q190:Q253" si="157">IF($O$9&lt;=A190,ROUND(N190*($O$6/12),2),0)</f>
        <v>1130.93</v>
      </c>
      <c r="R190" s="287">
        <f t="shared" si="144"/>
        <v>134.16999999999999</v>
      </c>
      <c r="S190" s="287">
        <f t="shared" si="145"/>
        <v>188.55</v>
      </c>
      <c r="T190" s="287">
        <f t="shared" si="143"/>
        <v>1859.24</v>
      </c>
      <c r="U190" s="287">
        <f t="shared" si="135"/>
        <v>37481.840000000011</v>
      </c>
      <c r="V190" s="287">
        <f t="shared" si="136"/>
        <v>165338.79999999999</v>
      </c>
      <c r="W190" s="287">
        <f t="shared" ref="W190:W253" si="158">+N190-P190</f>
        <v>193468.16</v>
      </c>
      <c r="X190" s="519">
        <f t="shared" si="128"/>
        <v>49659</v>
      </c>
      <c r="Y190" s="287">
        <f t="shared" ref="Y190:Y253" si="159">IF(+AL189&lt;0,0,+AL189)</f>
        <v>220025.3299999999</v>
      </c>
      <c r="Z190" s="511">
        <f t="shared" si="121"/>
        <v>7.0000000000000007E-2</v>
      </c>
      <c r="AA190" s="287">
        <f t="shared" si="122"/>
        <v>1746.44</v>
      </c>
      <c r="AB190" s="287">
        <f t="shared" ref="AB190:AB253" si="160">+AA190-AC190</f>
        <v>462.96000000000004</v>
      </c>
      <c r="AC190" s="287">
        <f t="shared" si="123"/>
        <v>1283.48</v>
      </c>
      <c r="AD190" s="287">
        <f t="shared" si="146"/>
        <v>134.16999999999999</v>
      </c>
      <c r="AE190" s="287">
        <f t="shared" si="147"/>
        <v>188.55</v>
      </c>
      <c r="AF190" s="287">
        <f t="shared" ref="AF190:AF253" si="161">SUM(AB190:AE190)</f>
        <v>2069.1600000000003</v>
      </c>
      <c r="AG190" s="287">
        <f t="shared" ref="AG190:AG253" si="162">+AB190+AG189</f>
        <v>56386.43</v>
      </c>
      <c r="AH190" s="287">
        <f t="shared" ref="AH190:AH253" si="163">+AH189+AC190</f>
        <v>142325.65000000002</v>
      </c>
      <c r="AI190" s="530">
        <f t="shared" si="148"/>
        <v>4108.5600000000068</v>
      </c>
      <c r="AJ190" s="530">
        <f t="shared" si="137"/>
        <v>-26094.209999999905</v>
      </c>
      <c r="AK190" s="530">
        <f t="shared" si="149"/>
        <v>-21985.6499999999</v>
      </c>
      <c r="AL190" s="287">
        <f t="shared" ref="AL190:AL253" si="164">+Y190-AB190</f>
        <v>219562.36999999991</v>
      </c>
      <c r="AM190" s="428">
        <f t="shared" si="129"/>
        <v>10</v>
      </c>
      <c r="AN190" s="14">
        <f t="shared" si="150"/>
        <v>749.98</v>
      </c>
      <c r="AO190" s="14">
        <f t="shared" si="138"/>
        <v>123044.87999999993</v>
      </c>
      <c r="AP190" s="14">
        <f t="shared" si="151"/>
        <v>959.90000000000009</v>
      </c>
      <c r="AS190" s="14">
        <f t="shared" si="124"/>
        <v>749.98</v>
      </c>
      <c r="AT190" s="14">
        <f t="shared" si="130"/>
        <v>98516.799999999945</v>
      </c>
      <c r="AU190" s="287">
        <f t="shared" si="131"/>
        <v>1378.2051386248479</v>
      </c>
      <c r="AV190" s="287">
        <f t="shared" si="132"/>
        <v>183889.74672607923</v>
      </c>
    </row>
    <row r="191" spans="1:48" x14ac:dyDescent="0.25">
      <c r="A191" s="519">
        <f t="shared" si="152"/>
        <v>49689</v>
      </c>
      <c r="B191" s="287">
        <f t="shared" si="125"/>
        <v>115888.47999999994</v>
      </c>
      <c r="C191" s="14">
        <f t="shared" si="119"/>
        <v>786.54</v>
      </c>
      <c r="D191" s="14">
        <f t="shared" si="133"/>
        <v>496.81999999999994</v>
      </c>
      <c r="E191" s="14">
        <f t="shared" si="120"/>
        <v>289.72000000000003</v>
      </c>
      <c r="F191" s="14">
        <f t="shared" si="142"/>
        <v>134.16999999999999</v>
      </c>
      <c r="G191" s="14">
        <f t="shared" si="140"/>
        <v>188.55</v>
      </c>
      <c r="H191" s="14">
        <f t="shared" si="141"/>
        <v>1109.26</v>
      </c>
      <c r="I191" s="287">
        <f t="shared" si="153"/>
        <v>71632.739999999962</v>
      </c>
      <c r="J191" s="287">
        <f t="shared" si="154"/>
        <v>68051.240000000005</v>
      </c>
      <c r="K191" s="287">
        <f t="shared" si="155"/>
        <v>115391.65999999993</v>
      </c>
      <c r="L191" s="428">
        <f t="shared" si="139"/>
        <v>11</v>
      </c>
      <c r="M191" s="428">
        <f t="shared" si="126"/>
        <v>132</v>
      </c>
      <c r="N191" s="287">
        <f t="shared" si="127"/>
        <v>193468.16</v>
      </c>
      <c r="O191" s="287">
        <f t="shared" si="156"/>
        <v>1536.52</v>
      </c>
      <c r="P191" s="287">
        <f t="shared" si="134"/>
        <v>407.96000000000004</v>
      </c>
      <c r="Q191" s="287">
        <f t="shared" si="157"/>
        <v>1128.56</v>
      </c>
      <c r="R191" s="287">
        <f t="shared" si="144"/>
        <v>134.16999999999999</v>
      </c>
      <c r="S191" s="287">
        <f t="shared" si="145"/>
        <v>188.55</v>
      </c>
      <c r="T191" s="287">
        <f t="shared" si="143"/>
        <v>1859.24</v>
      </c>
      <c r="U191" s="287">
        <f t="shared" si="135"/>
        <v>37889.80000000001</v>
      </c>
      <c r="V191" s="287">
        <f t="shared" si="136"/>
        <v>166467.35999999999</v>
      </c>
      <c r="W191" s="287">
        <f t="shared" si="158"/>
        <v>193060.2</v>
      </c>
      <c r="X191" s="519">
        <f t="shared" si="128"/>
        <v>49689</v>
      </c>
      <c r="Y191" s="287">
        <f t="shared" si="159"/>
        <v>219562.36999999991</v>
      </c>
      <c r="Z191" s="511">
        <f t="shared" si="121"/>
        <v>7.0000000000000007E-2</v>
      </c>
      <c r="AA191" s="287">
        <f t="shared" si="122"/>
        <v>1746.44</v>
      </c>
      <c r="AB191" s="287">
        <f t="shared" si="160"/>
        <v>465.66000000000008</v>
      </c>
      <c r="AC191" s="287">
        <f t="shared" si="123"/>
        <v>1280.78</v>
      </c>
      <c r="AD191" s="287">
        <f t="shared" si="146"/>
        <v>134.16999999999999</v>
      </c>
      <c r="AE191" s="287">
        <f t="shared" si="147"/>
        <v>188.55</v>
      </c>
      <c r="AF191" s="287">
        <f t="shared" si="161"/>
        <v>2069.1600000000003</v>
      </c>
      <c r="AG191" s="287">
        <f t="shared" si="162"/>
        <v>56852.090000000004</v>
      </c>
      <c r="AH191" s="287">
        <f t="shared" si="163"/>
        <v>143606.43000000002</v>
      </c>
      <c r="AI191" s="530">
        <f t="shared" si="148"/>
        <v>3898.6400000000067</v>
      </c>
      <c r="AJ191" s="530">
        <f t="shared" si="137"/>
        <v>-26036.509999999893</v>
      </c>
      <c r="AK191" s="530">
        <f t="shared" si="149"/>
        <v>-22137.869999999886</v>
      </c>
      <c r="AL191" s="287">
        <f t="shared" si="164"/>
        <v>219096.7099999999</v>
      </c>
      <c r="AM191" s="428">
        <f t="shared" si="129"/>
        <v>11</v>
      </c>
      <c r="AN191" s="14">
        <f t="shared" si="150"/>
        <v>749.98</v>
      </c>
      <c r="AO191" s="14">
        <f t="shared" si="138"/>
        <v>123133.73999999993</v>
      </c>
      <c r="AP191" s="14">
        <f t="shared" si="151"/>
        <v>959.90000000000009</v>
      </c>
      <c r="AS191" s="14">
        <f t="shared" si="124"/>
        <v>749.98</v>
      </c>
      <c r="AT191" s="14">
        <f t="shared" si="130"/>
        <v>99266.779999999941</v>
      </c>
      <c r="AU191" s="287">
        <f t="shared" si="131"/>
        <v>1382.7991557535977</v>
      </c>
      <c r="AV191" s="287">
        <f t="shared" si="132"/>
        <v>185272.54588183283</v>
      </c>
    </row>
    <row r="192" spans="1:48" x14ac:dyDescent="0.25">
      <c r="A192" s="519">
        <f t="shared" si="152"/>
        <v>49719</v>
      </c>
      <c r="B192" s="287">
        <f t="shared" si="125"/>
        <v>115391.65999999993</v>
      </c>
      <c r="C192" s="14">
        <f t="shared" si="119"/>
        <v>786.54</v>
      </c>
      <c r="D192" s="14">
        <f t="shared" si="133"/>
        <v>498.05999999999995</v>
      </c>
      <c r="E192" s="14">
        <f t="shared" si="120"/>
        <v>288.48</v>
      </c>
      <c r="F192" s="14">
        <f t="shared" si="142"/>
        <v>134.16999999999999</v>
      </c>
      <c r="G192" s="14">
        <f t="shared" si="140"/>
        <v>188.55</v>
      </c>
      <c r="H192" s="14">
        <f t="shared" si="141"/>
        <v>1109.26</v>
      </c>
      <c r="I192" s="287">
        <f t="shared" si="153"/>
        <v>72130.799999999959</v>
      </c>
      <c r="J192" s="287">
        <f t="shared" si="154"/>
        <v>68339.72</v>
      </c>
      <c r="K192" s="287">
        <f t="shared" si="155"/>
        <v>114893.59999999993</v>
      </c>
      <c r="L192" s="428">
        <f t="shared" si="139"/>
        <v>11</v>
      </c>
      <c r="M192" s="428">
        <f t="shared" si="126"/>
        <v>133</v>
      </c>
      <c r="N192" s="287">
        <f t="shared" si="127"/>
        <v>193060.2</v>
      </c>
      <c r="O192" s="287">
        <f t="shared" si="156"/>
        <v>1536.52</v>
      </c>
      <c r="P192" s="287">
        <f t="shared" si="134"/>
        <v>410.33999999999992</v>
      </c>
      <c r="Q192" s="287">
        <f t="shared" si="157"/>
        <v>1126.18</v>
      </c>
      <c r="R192" s="287">
        <f t="shared" si="144"/>
        <v>134.16999999999999</v>
      </c>
      <c r="S192" s="287">
        <f t="shared" si="145"/>
        <v>188.55</v>
      </c>
      <c r="T192" s="287">
        <f t="shared" si="143"/>
        <v>1859.24</v>
      </c>
      <c r="U192" s="287">
        <f t="shared" si="135"/>
        <v>38300.140000000007</v>
      </c>
      <c r="V192" s="287">
        <f t="shared" si="136"/>
        <v>167593.53999999998</v>
      </c>
      <c r="W192" s="287">
        <f t="shared" si="158"/>
        <v>192649.86000000002</v>
      </c>
      <c r="X192" s="519">
        <f t="shared" si="128"/>
        <v>49719</v>
      </c>
      <c r="Y192" s="287">
        <f t="shared" si="159"/>
        <v>219096.7099999999</v>
      </c>
      <c r="Z192" s="511">
        <f t="shared" si="121"/>
        <v>7.0000000000000007E-2</v>
      </c>
      <c r="AA192" s="287">
        <f t="shared" si="122"/>
        <v>1746.44</v>
      </c>
      <c r="AB192" s="287">
        <f t="shared" si="160"/>
        <v>468.38000000000011</v>
      </c>
      <c r="AC192" s="287">
        <f t="shared" si="123"/>
        <v>1278.06</v>
      </c>
      <c r="AD192" s="287">
        <f t="shared" si="146"/>
        <v>134.16999999999999</v>
      </c>
      <c r="AE192" s="287">
        <f t="shared" si="147"/>
        <v>188.55</v>
      </c>
      <c r="AF192" s="287">
        <f t="shared" si="161"/>
        <v>2069.1600000000003</v>
      </c>
      <c r="AG192" s="287">
        <f t="shared" si="162"/>
        <v>57320.47</v>
      </c>
      <c r="AH192" s="287">
        <f t="shared" si="163"/>
        <v>144884.49000000002</v>
      </c>
      <c r="AI192" s="530">
        <f t="shared" si="148"/>
        <v>3688.7200000000066</v>
      </c>
      <c r="AJ192" s="530">
        <f t="shared" si="137"/>
        <v>-25978.469999999885</v>
      </c>
      <c r="AK192" s="530">
        <f t="shared" si="149"/>
        <v>-22289.749999999876</v>
      </c>
      <c r="AL192" s="287">
        <f t="shared" si="164"/>
        <v>218628.3299999999</v>
      </c>
      <c r="AM192" s="428">
        <f t="shared" si="129"/>
        <v>11</v>
      </c>
      <c r="AN192" s="14">
        <f t="shared" si="150"/>
        <v>749.98</v>
      </c>
      <c r="AO192" s="14">
        <f t="shared" si="138"/>
        <v>123221.45999999993</v>
      </c>
      <c r="AP192" s="14">
        <f t="shared" si="151"/>
        <v>959.90000000000009</v>
      </c>
      <c r="AS192" s="14">
        <f t="shared" si="124"/>
        <v>749.98</v>
      </c>
      <c r="AT192" s="14">
        <f t="shared" si="130"/>
        <v>100016.75999999994</v>
      </c>
      <c r="AU192" s="287">
        <f t="shared" si="131"/>
        <v>1387.4084862727761</v>
      </c>
      <c r="AV192" s="287">
        <f t="shared" si="132"/>
        <v>186659.95436810562</v>
      </c>
    </row>
    <row r="193" spans="1:48" x14ac:dyDescent="0.25">
      <c r="A193" s="519">
        <f t="shared" si="152"/>
        <v>49749</v>
      </c>
      <c r="B193" s="287">
        <f t="shared" si="125"/>
        <v>114893.59999999993</v>
      </c>
      <c r="C193" s="14">
        <f t="shared" si="119"/>
        <v>786.54</v>
      </c>
      <c r="D193" s="14">
        <f t="shared" si="133"/>
        <v>499.30999999999995</v>
      </c>
      <c r="E193" s="14">
        <f t="shared" si="120"/>
        <v>287.23</v>
      </c>
      <c r="F193" s="14">
        <f t="shared" si="142"/>
        <v>134.16999999999999</v>
      </c>
      <c r="G193" s="14">
        <f t="shared" si="140"/>
        <v>188.55</v>
      </c>
      <c r="H193" s="14">
        <f t="shared" si="141"/>
        <v>1109.26</v>
      </c>
      <c r="I193" s="287">
        <f t="shared" si="153"/>
        <v>72630.109999999957</v>
      </c>
      <c r="J193" s="287">
        <f t="shared" si="154"/>
        <v>68626.95</v>
      </c>
      <c r="K193" s="287">
        <f t="shared" si="155"/>
        <v>114394.28999999994</v>
      </c>
      <c r="L193" s="428">
        <f t="shared" si="139"/>
        <v>11</v>
      </c>
      <c r="M193" s="428">
        <f t="shared" si="126"/>
        <v>134</v>
      </c>
      <c r="N193" s="287">
        <f t="shared" si="127"/>
        <v>192649.86000000002</v>
      </c>
      <c r="O193" s="287">
        <f t="shared" si="156"/>
        <v>1536.52</v>
      </c>
      <c r="P193" s="287">
        <f t="shared" si="134"/>
        <v>412.73</v>
      </c>
      <c r="Q193" s="287">
        <f t="shared" si="157"/>
        <v>1123.79</v>
      </c>
      <c r="R193" s="287">
        <f t="shared" si="144"/>
        <v>134.16999999999999</v>
      </c>
      <c r="S193" s="287">
        <f t="shared" si="145"/>
        <v>188.55</v>
      </c>
      <c r="T193" s="287">
        <f t="shared" si="143"/>
        <v>1859.24</v>
      </c>
      <c r="U193" s="287">
        <f t="shared" si="135"/>
        <v>38712.87000000001</v>
      </c>
      <c r="V193" s="287">
        <f t="shared" si="136"/>
        <v>168717.33</v>
      </c>
      <c r="W193" s="287">
        <f t="shared" si="158"/>
        <v>192237.13</v>
      </c>
      <c r="X193" s="519">
        <f t="shared" si="128"/>
        <v>49749</v>
      </c>
      <c r="Y193" s="287">
        <f t="shared" si="159"/>
        <v>218628.3299999999</v>
      </c>
      <c r="Z193" s="511">
        <f t="shared" si="121"/>
        <v>7.0000000000000007E-2</v>
      </c>
      <c r="AA193" s="287">
        <f t="shared" si="122"/>
        <v>1746.44</v>
      </c>
      <c r="AB193" s="287">
        <f t="shared" si="160"/>
        <v>471.11000000000013</v>
      </c>
      <c r="AC193" s="287">
        <f t="shared" si="123"/>
        <v>1275.33</v>
      </c>
      <c r="AD193" s="287">
        <f t="shared" si="146"/>
        <v>134.16999999999999</v>
      </c>
      <c r="AE193" s="287">
        <f t="shared" si="147"/>
        <v>188.55</v>
      </c>
      <c r="AF193" s="287">
        <f t="shared" si="161"/>
        <v>2069.1600000000003</v>
      </c>
      <c r="AG193" s="287">
        <f t="shared" si="162"/>
        <v>57791.58</v>
      </c>
      <c r="AH193" s="287">
        <f t="shared" si="163"/>
        <v>146159.82</v>
      </c>
      <c r="AI193" s="530">
        <f t="shared" si="148"/>
        <v>3478.8000000000065</v>
      </c>
      <c r="AJ193" s="530">
        <f t="shared" si="137"/>
        <v>-25920.089999999909</v>
      </c>
      <c r="AK193" s="530">
        <f t="shared" si="149"/>
        <v>-22441.289999999903</v>
      </c>
      <c r="AL193" s="287">
        <f t="shared" si="164"/>
        <v>218157.21999999991</v>
      </c>
      <c r="AM193" s="428">
        <f t="shared" si="129"/>
        <v>11</v>
      </c>
      <c r="AN193" s="14">
        <f t="shared" si="150"/>
        <v>749.98</v>
      </c>
      <c r="AO193" s="14">
        <f t="shared" si="138"/>
        <v>123308.03999999994</v>
      </c>
      <c r="AP193" s="14">
        <f t="shared" si="151"/>
        <v>959.90000000000009</v>
      </c>
      <c r="AS193" s="14">
        <f t="shared" si="124"/>
        <v>749.98</v>
      </c>
      <c r="AT193" s="14">
        <f t="shared" si="130"/>
        <v>100766.73999999993</v>
      </c>
      <c r="AU193" s="287">
        <f t="shared" si="131"/>
        <v>1392.0331812270188</v>
      </c>
      <c r="AV193" s="287">
        <f t="shared" si="132"/>
        <v>188051.98754933264</v>
      </c>
    </row>
    <row r="194" spans="1:48" ht="15.75" thickBot="1" x14ac:dyDescent="0.3">
      <c r="A194" s="522">
        <f t="shared" si="152"/>
        <v>49779</v>
      </c>
      <c r="B194" s="348">
        <f t="shared" si="125"/>
        <v>114394.28999999994</v>
      </c>
      <c r="C194" s="21">
        <f t="shared" si="119"/>
        <v>786.54</v>
      </c>
      <c r="D194" s="21">
        <f t="shared" si="133"/>
        <v>500.54999999999995</v>
      </c>
      <c r="E194" s="21">
        <f t="shared" si="120"/>
        <v>285.99</v>
      </c>
      <c r="F194" s="21">
        <f t="shared" si="142"/>
        <v>134.16999999999999</v>
      </c>
      <c r="G194" s="21">
        <f t="shared" si="140"/>
        <v>188.55</v>
      </c>
      <c r="H194" s="21">
        <f t="shared" si="141"/>
        <v>1109.26</v>
      </c>
      <c r="I194" s="348">
        <f t="shared" si="153"/>
        <v>73130.65999999996</v>
      </c>
      <c r="J194" s="348">
        <f t="shared" si="154"/>
        <v>68912.94</v>
      </c>
      <c r="K194" s="348">
        <f t="shared" si="155"/>
        <v>113893.73999999993</v>
      </c>
      <c r="L194" s="429">
        <f t="shared" si="139"/>
        <v>11</v>
      </c>
      <c r="M194" s="429">
        <f t="shared" si="126"/>
        <v>135</v>
      </c>
      <c r="N194" s="348">
        <f t="shared" si="127"/>
        <v>192237.13</v>
      </c>
      <c r="O194" s="348">
        <f t="shared" si="156"/>
        <v>1536.52</v>
      </c>
      <c r="P194" s="348">
        <f t="shared" si="134"/>
        <v>415.13999999999987</v>
      </c>
      <c r="Q194" s="348">
        <f t="shared" si="157"/>
        <v>1121.3800000000001</v>
      </c>
      <c r="R194" s="348">
        <f t="shared" si="144"/>
        <v>134.16999999999999</v>
      </c>
      <c r="S194" s="348">
        <f t="shared" si="145"/>
        <v>188.55</v>
      </c>
      <c r="T194" s="348">
        <f t="shared" si="143"/>
        <v>1859.24</v>
      </c>
      <c r="U194" s="348">
        <f t="shared" si="135"/>
        <v>39128.010000000009</v>
      </c>
      <c r="V194" s="348">
        <f t="shared" si="136"/>
        <v>169838.71</v>
      </c>
      <c r="W194" s="348">
        <f t="shared" si="158"/>
        <v>191821.99</v>
      </c>
      <c r="X194" s="522">
        <f t="shared" si="128"/>
        <v>49779</v>
      </c>
      <c r="Y194" s="348">
        <f t="shared" si="159"/>
        <v>218157.21999999991</v>
      </c>
      <c r="Z194" s="512">
        <f t="shared" si="121"/>
        <v>7.0000000000000007E-2</v>
      </c>
      <c r="AA194" s="348">
        <f t="shared" si="122"/>
        <v>1746.44</v>
      </c>
      <c r="AB194" s="348">
        <f t="shared" si="160"/>
        <v>473.86000000000013</v>
      </c>
      <c r="AC194" s="348">
        <f t="shared" si="123"/>
        <v>1272.58</v>
      </c>
      <c r="AD194" s="348">
        <f t="shared" si="146"/>
        <v>134.16999999999999</v>
      </c>
      <c r="AE194" s="348">
        <f t="shared" si="147"/>
        <v>188.55</v>
      </c>
      <c r="AF194" s="348">
        <f t="shared" si="161"/>
        <v>2069.1600000000003</v>
      </c>
      <c r="AG194" s="348">
        <f t="shared" si="162"/>
        <v>58265.440000000002</v>
      </c>
      <c r="AH194" s="348">
        <f t="shared" si="163"/>
        <v>147432.4</v>
      </c>
      <c r="AI194" s="531">
        <f t="shared" si="148"/>
        <v>3268.8800000000065</v>
      </c>
      <c r="AJ194" s="531">
        <f t="shared" si="137"/>
        <v>-25861.369999999937</v>
      </c>
      <c r="AK194" s="530">
        <f t="shared" si="149"/>
        <v>-22592.489999999932</v>
      </c>
      <c r="AL194" s="348">
        <f t="shared" si="164"/>
        <v>217683.35999999993</v>
      </c>
      <c r="AM194" s="429">
        <f t="shared" si="129"/>
        <v>11</v>
      </c>
      <c r="AN194" s="21">
        <f t="shared" si="150"/>
        <v>749.98</v>
      </c>
      <c r="AO194" s="21">
        <f t="shared" si="138"/>
        <v>123393.44999999995</v>
      </c>
      <c r="AP194" s="21">
        <f t="shared" si="151"/>
        <v>959.90000000000009</v>
      </c>
      <c r="AQ194" s="21"/>
      <c r="AR194" s="23"/>
      <c r="AS194" s="21">
        <f t="shared" si="124"/>
        <v>749.98</v>
      </c>
      <c r="AT194" s="21">
        <f t="shared" si="130"/>
        <v>101516.71999999993</v>
      </c>
      <c r="AU194" s="348">
        <f t="shared" si="131"/>
        <v>1396.6732918311091</v>
      </c>
      <c r="AV194" s="348">
        <f t="shared" si="132"/>
        <v>189448.66084116374</v>
      </c>
    </row>
    <row r="195" spans="1:48" x14ac:dyDescent="0.25">
      <c r="A195" s="519">
        <f t="shared" si="152"/>
        <v>49809</v>
      </c>
      <c r="B195" s="287">
        <f t="shared" si="125"/>
        <v>113893.73999999993</v>
      </c>
      <c r="C195" s="14">
        <f t="shared" si="119"/>
        <v>786.54</v>
      </c>
      <c r="D195" s="14">
        <f t="shared" si="133"/>
        <v>501.80999999999995</v>
      </c>
      <c r="E195" s="14">
        <f t="shared" si="120"/>
        <v>284.73</v>
      </c>
      <c r="F195" s="14">
        <f t="shared" si="142"/>
        <v>134.16999999999999</v>
      </c>
      <c r="G195" s="14">
        <f t="shared" si="140"/>
        <v>188.55</v>
      </c>
      <c r="H195" s="14">
        <f t="shared" si="141"/>
        <v>1109.26</v>
      </c>
      <c r="I195" s="287">
        <f t="shared" si="153"/>
        <v>73632.469999999958</v>
      </c>
      <c r="J195" s="287">
        <f t="shared" si="154"/>
        <v>69197.67</v>
      </c>
      <c r="K195" s="287">
        <f t="shared" si="155"/>
        <v>113391.92999999993</v>
      </c>
      <c r="L195" s="428">
        <f t="shared" si="139"/>
        <v>11</v>
      </c>
      <c r="M195" s="428">
        <f t="shared" si="126"/>
        <v>136</v>
      </c>
      <c r="N195" s="287">
        <f t="shared" si="127"/>
        <v>191821.99</v>
      </c>
      <c r="O195" s="287">
        <f t="shared" si="156"/>
        <v>1536.52</v>
      </c>
      <c r="P195" s="287">
        <f t="shared" si="134"/>
        <v>417.55999999999995</v>
      </c>
      <c r="Q195" s="287">
        <f t="shared" si="157"/>
        <v>1118.96</v>
      </c>
      <c r="R195" s="287">
        <f t="shared" si="144"/>
        <v>134.16999999999999</v>
      </c>
      <c r="S195" s="287">
        <f t="shared" si="145"/>
        <v>188.55</v>
      </c>
      <c r="T195" s="287">
        <f t="shared" si="143"/>
        <v>1859.24</v>
      </c>
      <c r="U195" s="287">
        <f t="shared" si="135"/>
        <v>39545.570000000007</v>
      </c>
      <c r="V195" s="287">
        <f t="shared" si="136"/>
        <v>170957.66999999998</v>
      </c>
      <c r="W195" s="287">
        <f t="shared" si="158"/>
        <v>191404.43</v>
      </c>
      <c r="X195" s="519">
        <f t="shared" si="128"/>
        <v>49809</v>
      </c>
      <c r="Y195" s="287">
        <f t="shared" si="159"/>
        <v>217683.35999999993</v>
      </c>
      <c r="Z195" s="511">
        <f t="shared" si="121"/>
        <v>7.0000000000000007E-2</v>
      </c>
      <c r="AA195" s="287">
        <f t="shared" si="122"/>
        <v>1746.44</v>
      </c>
      <c r="AB195" s="287">
        <f t="shared" si="160"/>
        <v>476.62000000000012</v>
      </c>
      <c r="AC195" s="287">
        <f t="shared" si="123"/>
        <v>1269.82</v>
      </c>
      <c r="AD195" s="287">
        <f t="shared" si="146"/>
        <v>134.16999999999999</v>
      </c>
      <c r="AE195" s="287">
        <f t="shared" si="147"/>
        <v>188.55</v>
      </c>
      <c r="AF195" s="287">
        <f t="shared" si="161"/>
        <v>2069.1600000000003</v>
      </c>
      <c r="AG195" s="287">
        <f t="shared" si="162"/>
        <v>58742.060000000005</v>
      </c>
      <c r="AH195" s="287">
        <f t="shared" si="163"/>
        <v>148702.22</v>
      </c>
      <c r="AI195" s="530">
        <f t="shared" si="148"/>
        <v>3058.9600000000064</v>
      </c>
      <c r="AJ195" s="530">
        <f t="shared" si="137"/>
        <v>-25802.309999999939</v>
      </c>
      <c r="AK195" s="530">
        <f t="shared" si="149"/>
        <v>-22743.349999999933</v>
      </c>
      <c r="AL195" s="287">
        <f t="shared" si="164"/>
        <v>217206.73999999993</v>
      </c>
      <c r="AM195" s="428">
        <f t="shared" si="129"/>
        <v>11</v>
      </c>
      <c r="AN195" s="14">
        <f t="shared" si="150"/>
        <v>749.98</v>
      </c>
      <c r="AO195" s="14">
        <f t="shared" si="138"/>
        <v>123477.69999999995</v>
      </c>
      <c r="AP195" s="14">
        <f t="shared" si="151"/>
        <v>959.90000000000009</v>
      </c>
      <c r="AS195" s="14">
        <f t="shared" si="124"/>
        <v>749.98</v>
      </c>
      <c r="AT195" s="14">
        <f t="shared" si="130"/>
        <v>102266.69999999992</v>
      </c>
      <c r="AU195" s="287">
        <f t="shared" si="131"/>
        <v>1401.3288694705459</v>
      </c>
      <c r="AV195" s="287">
        <f t="shared" si="132"/>
        <v>190849.98971063428</v>
      </c>
    </row>
    <row r="196" spans="1:48" x14ac:dyDescent="0.25">
      <c r="A196" s="519">
        <f t="shared" si="152"/>
        <v>49839</v>
      </c>
      <c r="B196" s="287">
        <f t="shared" si="125"/>
        <v>113391.92999999993</v>
      </c>
      <c r="C196" s="14">
        <f t="shared" si="119"/>
        <v>786.54</v>
      </c>
      <c r="D196" s="14">
        <f t="shared" si="133"/>
        <v>503.05999999999995</v>
      </c>
      <c r="E196" s="14">
        <f t="shared" si="120"/>
        <v>283.48</v>
      </c>
      <c r="F196" s="14">
        <f t="shared" si="142"/>
        <v>134.16999999999999</v>
      </c>
      <c r="G196" s="14">
        <f t="shared" si="140"/>
        <v>188.55</v>
      </c>
      <c r="H196" s="14">
        <f t="shared" si="141"/>
        <v>1109.26</v>
      </c>
      <c r="I196" s="287">
        <f t="shared" si="153"/>
        <v>74135.529999999955</v>
      </c>
      <c r="J196" s="287">
        <f t="shared" si="154"/>
        <v>69481.149999999994</v>
      </c>
      <c r="K196" s="287">
        <f t="shared" si="155"/>
        <v>112888.86999999994</v>
      </c>
      <c r="L196" s="428">
        <f t="shared" si="139"/>
        <v>11</v>
      </c>
      <c r="M196" s="428">
        <f t="shared" si="126"/>
        <v>137</v>
      </c>
      <c r="N196" s="287">
        <f t="shared" si="127"/>
        <v>191404.43</v>
      </c>
      <c r="O196" s="287">
        <f t="shared" si="156"/>
        <v>1536.52</v>
      </c>
      <c r="P196" s="287">
        <f t="shared" si="134"/>
        <v>419.99</v>
      </c>
      <c r="Q196" s="287">
        <f t="shared" si="157"/>
        <v>1116.53</v>
      </c>
      <c r="R196" s="287">
        <f t="shared" si="144"/>
        <v>134.16999999999999</v>
      </c>
      <c r="S196" s="287">
        <f t="shared" si="145"/>
        <v>188.55</v>
      </c>
      <c r="T196" s="287">
        <f t="shared" si="143"/>
        <v>1859.24</v>
      </c>
      <c r="U196" s="287">
        <f t="shared" si="135"/>
        <v>39965.560000000005</v>
      </c>
      <c r="V196" s="287">
        <f t="shared" si="136"/>
        <v>172074.19999999998</v>
      </c>
      <c r="W196" s="287">
        <f t="shared" si="158"/>
        <v>190984.44</v>
      </c>
      <c r="X196" s="519">
        <f t="shared" si="128"/>
        <v>49839</v>
      </c>
      <c r="Y196" s="287">
        <f t="shared" si="159"/>
        <v>217206.73999999993</v>
      </c>
      <c r="Z196" s="511">
        <f t="shared" si="121"/>
        <v>7.0000000000000007E-2</v>
      </c>
      <c r="AA196" s="287">
        <f t="shared" si="122"/>
        <v>1746.44</v>
      </c>
      <c r="AB196" s="287">
        <f t="shared" si="160"/>
        <v>479.40000000000009</v>
      </c>
      <c r="AC196" s="287">
        <f t="shared" si="123"/>
        <v>1267.04</v>
      </c>
      <c r="AD196" s="287">
        <f t="shared" si="146"/>
        <v>134.16999999999999</v>
      </c>
      <c r="AE196" s="287">
        <f t="shared" si="147"/>
        <v>188.55</v>
      </c>
      <c r="AF196" s="287">
        <f t="shared" si="161"/>
        <v>2069.1600000000003</v>
      </c>
      <c r="AG196" s="287">
        <f t="shared" si="162"/>
        <v>59221.460000000006</v>
      </c>
      <c r="AH196" s="287">
        <f t="shared" si="163"/>
        <v>149969.26</v>
      </c>
      <c r="AI196" s="530">
        <f t="shared" si="148"/>
        <v>2849.0400000000063</v>
      </c>
      <c r="AJ196" s="530">
        <f t="shared" si="137"/>
        <v>-25742.899999999936</v>
      </c>
      <c r="AK196" s="530">
        <f t="shared" si="149"/>
        <v>-22893.859999999928</v>
      </c>
      <c r="AL196" s="287">
        <f t="shared" si="164"/>
        <v>216727.33999999994</v>
      </c>
      <c r="AM196" s="428">
        <f t="shared" si="129"/>
        <v>11</v>
      </c>
      <c r="AN196" s="14">
        <f t="shared" si="150"/>
        <v>749.98</v>
      </c>
      <c r="AO196" s="14">
        <f t="shared" si="138"/>
        <v>123560.76999999996</v>
      </c>
      <c r="AP196" s="14">
        <f t="shared" si="151"/>
        <v>959.90000000000009</v>
      </c>
      <c r="AS196" s="14">
        <f t="shared" si="124"/>
        <v>749.98</v>
      </c>
      <c r="AT196" s="14">
        <f t="shared" si="130"/>
        <v>103016.67999999992</v>
      </c>
      <c r="AU196" s="287">
        <f t="shared" si="131"/>
        <v>1405.9999657021144</v>
      </c>
      <c r="AV196" s="287">
        <f t="shared" si="132"/>
        <v>192255.98967633641</v>
      </c>
    </row>
    <row r="197" spans="1:48" x14ac:dyDescent="0.25">
      <c r="A197" s="519">
        <f t="shared" si="152"/>
        <v>49869</v>
      </c>
      <c r="B197" s="287">
        <f t="shared" si="125"/>
        <v>112888.86999999994</v>
      </c>
      <c r="C197" s="14">
        <f t="shared" si="119"/>
        <v>786.54</v>
      </c>
      <c r="D197" s="14">
        <f t="shared" si="133"/>
        <v>504.31999999999994</v>
      </c>
      <c r="E197" s="14">
        <f t="shared" si="120"/>
        <v>282.22000000000003</v>
      </c>
      <c r="F197" s="14">
        <f t="shared" si="142"/>
        <v>134.16999999999999</v>
      </c>
      <c r="G197" s="14">
        <f t="shared" si="140"/>
        <v>188.55</v>
      </c>
      <c r="H197" s="14">
        <f t="shared" si="141"/>
        <v>1109.26</v>
      </c>
      <c r="I197" s="287">
        <f t="shared" si="153"/>
        <v>74639.849999999962</v>
      </c>
      <c r="J197" s="287">
        <f t="shared" si="154"/>
        <v>69763.37</v>
      </c>
      <c r="K197" s="287">
        <f t="shared" si="155"/>
        <v>112384.54999999993</v>
      </c>
      <c r="L197" s="428">
        <f t="shared" si="139"/>
        <v>11</v>
      </c>
      <c r="M197" s="428">
        <f t="shared" si="126"/>
        <v>138</v>
      </c>
      <c r="N197" s="287">
        <f t="shared" si="127"/>
        <v>190984.44</v>
      </c>
      <c r="O197" s="287">
        <f t="shared" si="156"/>
        <v>1536.52</v>
      </c>
      <c r="P197" s="287">
        <f t="shared" si="134"/>
        <v>422.44000000000005</v>
      </c>
      <c r="Q197" s="287">
        <f t="shared" si="157"/>
        <v>1114.08</v>
      </c>
      <c r="R197" s="287">
        <f t="shared" si="144"/>
        <v>134.16999999999999</v>
      </c>
      <c r="S197" s="287">
        <f t="shared" si="145"/>
        <v>188.55</v>
      </c>
      <c r="T197" s="287">
        <f t="shared" si="143"/>
        <v>1859.24</v>
      </c>
      <c r="U197" s="287">
        <f t="shared" si="135"/>
        <v>40388.000000000007</v>
      </c>
      <c r="V197" s="287">
        <f t="shared" si="136"/>
        <v>173188.27999999997</v>
      </c>
      <c r="W197" s="287">
        <f t="shared" si="158"/>
        <v>190562</v>
      </c>
      <c r="X197" s="519">
        <f t="shared" si="128"/>
        <v>49869</v>
      </c>
      <c r="Y197" s="287">
        <f t="shared" si="159"/>
        <v>216727.33999999994</v>
      </c>
      <c r="Z197" s="511">
        <f t="shared" si="121"/>
        <v>7.0000000000000007E-2</v>
      </c>
      <c r="AA197" s="287">
        <f t="shared" si="122"/>
        <v>1746.44</v>
      </c>
      <c r="AB197" s="287">
        <f t="shared" si="160"/>
        <v>482.20000000000005</v>
      </c>
      <c r="AC197" s="287">
        <f t="shared" si="123"/>
        <v>1264.24</v>
      </c>
      <c r="AD197" s="287">
        <f t="shared" si="146"/>
        <v>134.16999999999999</v>
      </c>
      <c r="AE197" s="287">
        <f t="shared" si="147"/>
        <v>188.55</v>
      </c>
      <c r="AF197" s="287">
        <f t="shared" si="161"/>
        <v>2069.1600000000003</v>
      </c>
      <c r="AG197" s="287">
        <f t="shared" si="162"/>
        <v>59703.66</v>
      </c>
      <c r="AH197" s="287">
        <f t="shared" si="163"/>
        <v>151233.5</v>
      </c>
      <c r="AI197" s="530">
        <f t="shared" si="148"/>
        <v>2639.1200000000063</v>
      </c>
      <c r="AJ197" s="530">
        <f t="shared" si="137"/>
        <v>-25683.139999999927</v>
      </c>
      <c r="AK197" s="530">
        <f t="shared" si="149"/>
        <v>-23044.01999999992</v>
      </c>
      <c r="AL197" s="287">
        <f t="shared" si="164"/>
        <v>216245.13999999993</v>
      </c>
      <c r="AM197" s="428">
        <f t="shared" si="129"/>
        <v>11</v>
      </c>
      <c r="AN197" s="14">
        <f t="shared" si="150"/>
        <v>749.98</v>
      </c>
      <c r="AO197" s="14">
        <f t="shared" si="138"/>
        <v>123642.64999999997</v>
      </c>
      <c r="AP197" s="14">
        <f t="shared" si="151"/>
        <v>959.90000000000009</v>
      </c>
      <c r="AS197" s="14">
        <f t="shared" si="124"/>
        <v>749.98</v>
      </c>
      <c r="AT197" s="14">
        <f t="shared" si="130"/>
        <v>103766.65999999992</v>
      </c>
      <c r="AU197" s="287">
        <f t="shared" si="131"/>
        <v>1410.6866322544547</v>
      </c>
      <c r="AV197" s="287">
        <f t="shared" si="132"/>
        <v>193666.67630859086</v>
      </c>
    </row>
    <row r="198" spans="1:48" x14ac:dyDescent="0.25">
      <c r="A198" s="519">
        <f t="shared" si="152"/>
        <v>49899</v>
      </c>
      <c r="B198" s="287">
        <f t="shared" si="125"/>
        <v>112384.54999999993</v>
      </c>
      <c r="C198" s="14">
        <f t="shared" si="119"/>
        <v>786.54</v>
      </c>
      <c r="D198" s="14">
        <f t="shared" si="133"/>
        <v>505.58</v>
      </c>
      <c r="E198" s="14">
        <f t="shared" si="120"/>
        <v>280.95999999999998</v>
      </c>
      <c r="F198" s="14">
        <f t="shared" si="142"/>
        <v>134.16999999999999</v>
      </c>
      <c r="G198" s="14">
        <f t="shared" si="140"/>
        <v>188.55</v>
      </c>
      <c r="H198" s="14">
        <f t="shared" si="141"/>
        <v>1109.26</v>
      </c>
      <c r="I198" s="287">
        <f t="shared" si="153"/>
        <v>75145.429999999964</v>
      </c>
      <c r="J198" s="287">
        <f t="shared" si="154"/>
        <v>70044.33</v>
      </c>
      <c r="K198" s="287">
        <f t="shared" si="155"/>
        <v>111878.96999999993</v>
      </c>
      <c r="L198" s="428">
        <f t="shared" si="139"/>
        <v>11</v>
      </c>
      <c r="M198" s="428">
        <f t="shared" si="126"/>
        <v>139</v>
      </c>
      <c r="N198" s="287">
        <f t="shared" si="127"/>
        <v>190562</v>
      </c>
      <c r="O198" s="287">
        <f t="shared" si="156"/>
        <v>1536.52</v>
      </c>
      <c r="P198" s="287">
        <f t="shared" si="134"/>
        <v>424.91000000000008</v>
      </c>
      <c r="Q198" s="287">
        <f t="shared" si="157"/>
        <v>1111.6099999999999</v>
      </c>
      <c r="R198" s="287">
        <f t="shared" si="144"/>
        <v>134.16999999999999</v>
      </c>
      <c r="S198" s="287">
        <f t="shared" si="145"/>
        <v>188.55</v>
      </c>
      <c r="T198" s="287">
        <f t="shared" si="143"/>
        <v>1859.24</v>
      </c>
      <c r="U198" s="287">
        <f t="shared" si="135"/>
        <v>40812.910000000011</v>
      </c>
      <c r="V198" s="287">
        <f t="shared" si="136"/>
        <v>174299.88999999996</v>
      </c>
      <c r="W198" s="287">
        <f t="shared" si="158"/>
        <v>190137.09</v>
      </c>
      <c r="X198" s="519">
        <f t="shared" si="128"/>
        <v>49899</v>
      </c>
      <c r="Y198" s="287">
        <f t="shared" si="159"/>
        <v>216245.13999999993</v>
      </c>
      <c r="Z198" s="511">
        <f t="shared" si="121"/>
        <v>7.0000000000000007E-2</v>
      </c>
      <c r="AA198" s="287">
        <f t="shared" si="122"/>
        <v>1746.44</v>
      </c>
      <c r="AB198" s="287">
        <f t="shared" si="160"/>
        <v>485.01</v>
      </c>
      <c r="AC198" s="287">
        <f t="shared" si="123"/>
        <v>1261.43</v>
      </c>
      <c r="AD198" s="287">
        <f t="shared" si="146"/>
        <v>134.16999999999999</v>
      </c>
      <c r="AE198" s="287">
        <f t="shared" si="147"/>
        <v>188.55</v>
      </c>
      <c r="AF198" s="287">
        <f t="shared" si="161"/>
        <v>2069.1600000000003</v>
      </c>
      <c r="AG198" s="287">
        <f t="shared" si="162"/>
        <v>60188.670000000006</v>
      </c>
      <c r="AH198" s="287">
        <f t="shared" si="163"/>
        <v>152494.93</v>
      </c>
      <c r="AI198" s="530">
        <f t="shared" si="148"/>
        <v>2429.2000000000062</v>
      </c>
      <c r="AJ198" s="530">
        <f t="shared" si="137"/>
        <v>-25623.039999999921</v>
      </c>
      <c r="AK198" s="530">
        <f t="shared" si="149"/>
        <v>-23193.839999999916</v>
      </c>
      <c r="AL198" s="287">
        <f t="shared" si="164"/>
        <v>215760.12999999992</v>
      </c>
      <c r="AM198" s="428">
        <f t="shared" si="129"/>
        <v>11</v>
      </c>
      <c r="AN198" s="14">
        <f t="shared" si="150"/>
        <v>749.98</v>
      </c>
      <c r="AO198" s="14">
        <f t="shared" si="138"/>
        <v>123723.31999999995</v>
      </c>
      <c r="AP198" s="14">
        <f t="shared" si="151"/>
        <v>959.90000000000009</v>
      </c>
      <c r="AS198" s="14">
        <f t="shared" si="124"/>
        <v>749.98</v>
      </c>
      <c r="AT198" s="14">
        <f t="shared" si="130"/>
        <v>104516.63999999991</v>
      </c>
      <c r="AU198" s="287">
        <f t="shared" si="131"/>
        <v>1415.3889210286361</v>
      </c>
      <c r="AV198" s="287">
        <f t="shared" si="132"/>
        <v>195082.0652296195</v>
      </c>
    </row>
    <row r="199" spans="1:48" x14ac:dyDescent="0.25">
      <c r="A199" s="519">
        <f t="shared" si="152"/>
        <v>49929</v>
      </c>
      <c r="B199" s="287">
        <f t="shared" si="125"/>
        <v>111878.96999999993</v>
      </c>
      <c r="C199" s="14">
        <f t="shared" si="119"/>
        <v>786.54</v>
      </c>
      <c r="D199" s="14">
        <f t="shared" si="133"/>
        <v>506.84</v>
      </c>
      <c r="E199" s="14">
        <f t="shared" si="120"/>
        <v>279.7</v>
      </c>
      <c r="F199" s="14">
        <f t="shared" si="142"/>
        <v>134.16999999999999</v>
      </c>
      <c r="G199" s="14">
        <f t="shared" si="140"/>
        <v>188.55</v>
      </c>
      <c r="H199" s="14">
        <f t="shared" si="141"/>
        <v>1109.26</v>
      </c>
      <c r="I199" s="287">
        <f t="shared" si="153"/>
        <v>75652.26999999996</v>
      </c>
      <c r="J199" s="287">
        <f t="shared" si="154"/>
        <v>70324.03</v>
      </c>
      <c r="K199" s="287">
        <f t="shared" si="155"/>
        <v>111372.12999999993</v>
      </c>
      <c r="L199" s="428">
        <f t="shared" si="139"/>
        <v>11</v>
      </c>
      <c r="M199" s="428">
        <f t="shared" si="126"/>
        <v>140</v>
      </c>
      <c r="N199" s="287">
        <f t="shared" si="127"/>
        <v>190137.09</v>
      </c>
      <c r="O199" s="287">
        <f t="shared" si="156"/>
        <v>1536.52</v>
      </c>
      <c r="P199" s="287">
        <f t="shared" si="134"/>
        <v>427.38999999999987</v>
      </c>
      <c r="Q199" s="287">
        <f t="shared" si="157"/>
        <v>1109.1300000000001</v>
      </c>
      <c r="R199" s="287">
        <f t="shared" si="144"/>
        <v>134.16999999999999</v>
      </c>
      <c r="S199" s="287">
        <f t="shared" si="145"/>
        <v>188.55</v>
      </c>
      <c r="T199" s="287">
        <f t="shared" si="143"/>
        <v>1859.24</v>
      </c>
      <c r="U199" s="287">
        <f t="shared" si="135"/>
        <v>41240.30000000001</v>
      </c>
      <c r="V199" s="287">
        <f t="shared" si="136"/>
        <v>175409.01999999996</v>
      </c>
      <c r="W199" s="287">
        <f t="shared" si="158"/>
        <v>189709.69999999998</v>
      </c>
      <c r="X199" s="519">
        <f t="shared" si="128"/>
        <v>49929</v>
      </c>
      <c r="Y199" s="287">
        <f t="shared" si="159"/>
        <v>215760.12999999992</v>
      </c>
      <c r="Z199" s="511">
        <f t="shared" si="121"/>
        <v>7.0000000000000007E-2</v>
      </c>
      <c r="AA199" s="287">
        <f t="shared" si="122"/>
        <v>1746.44</v>
      </c>
      <c r="AB199" s="287">
        <f t="shared" si="160"/>
        <v>487.84000000000015</v>
      </c>
      <c r="AC199" s="287">
        <f t="shared" si="123"/>
        <v>1258.5999999999999</v>
      </c>
      <c r="AD199" s="287">
        <f t="shared" si="146"/>
        <v>134.16999999999999</v>
      </c>
      <c r="AE199" s="287">
        <f t="shared" si="147"/>
        <v>188.55</v>
      </c>
      <c r="AF199" s="287">
        <f t="shared" si="161"/>
        <v>2069.1600000000003</v>
      </c>
      <c r="AG199" s="287">
        <f t="shared" si="162"/>
        <v>60676.510000000009</v>
      </c>
      <c r="AH199" s="287">
        <f t="shared" si="163"/>
        <v>153753.53</v>
      </c>
      <c r="AI199" s="530">
        <f t="shared" si="148"/>
        <v>2219.2800000000061</v>
      </c>
      <c r="AJ199" s="530">
        <f t="shared" si="137"/>
        <v>-25562.589999999938</v>
      </c>
      <c r="AK199" s="530">
        <f t="shared" si="149"/>
        <v>-23343.309999999932</v>
      </c>
      <c r="AL199" s="287">
        <f t="shared" si="164"/>
        <v>215272.28999999992</v>
      </c>
      <c r="AM199" s="428">
        <f t="shared" si="129"/>
        <v>11</v>
      </c>
      <c r="AN199" s="14">
        <f t="shared" si="150"/>
        <v>749.98</v>
      </c>
      <c r="AO199" s="14">
        <f t="shared" si="138"/>
        <v>123802.76999999993</v>
      </c>
      <c r="AP199" s="14">
        <f t="shared" si="151"/>
        <v>959.90000000000009</v>
      </c>
      <c r="AS199" s="14">
        <f t="shared" si="124"/>
        <v>749.98</v>
      </c>
      <c r="AT199" s="14">
        <f t="shared" si="130"/>
        <v>105266.61999999991</v>
      </c>
      <c r="AU199" s="287">
        <f t="shared" si="131"/>
        <v>1420.1068840987318</v>
      </c>
      <c r="AV199" s="287">
        <f t="shared" si="132"/>
        <v>196502.17211371823</v>
      </c>
    </row>
    <row r="200" spans="1:48" x14ac:dyDescent="0.25">
      <c r="A200" s="519">
        <f t="shared" si="152"/>
        <v>49959</v>
      </c>
      <c r="B200" s="287">
        <f t="shared" si="125"/>
        <v>111372.12999999993</v>
      </c>
      <c r="C200" s="14">
        <f t="shared" si="119"/>
        <v>786.54</v>
      </c>
      <c r="D200" s="14">
        <f t="shared" si="133"/>
        <v>508.10999999999996</v>
      </c>
      <c r="E200" s="14">
        <f t="shared" si="120"/>
        <v>278.43</v>
      </c>
      <c r="F200" s="14">
        <f t="shared" si="142"/>
        <v>134.16999999999999</v>
      </c>
      <c r="G200" s="14">
        <f t="shared" si="140"/>
        <v>188.55</v>
      </c>
      <c r="H200" s="14">
        <f t="shared" si="141"/>
        <v>1109.26</v>
      </c>
      <c r="I200" s="287">
        <f t="shared" si="153"/>
        <v>76160.379999999961</v>
      </c>
      <c r="J200" s="287">
        <f t="shared" si="154"/>
        <v>70602.459999999992</v>
      </c>
      <c r="K200" s="287">
        <f t="shared" si="155"/>
        <v>110864.01999999993</v>
      </c>
      <c r="L200" s="428">
        <f t="shared" si="139"/>
        <v>11</v>
      </c>
      <c r="M200" s="428">
        <f t="shared" si="126"/>
        <v>141</v>
      </c>
      <c r="N200" s="287">
        <f t="shared" si="127"/>
        <v>189709.69999999998</v>
      </c>
      <c r="O200" s="287">
        <f t="shared" si="156"/>
        <v>1536.52</v>
      </c>
      <c r="P200" s="287">
        <f t="shared" si="134"/>
        <v>429.87999999999988</v>
      </c>
      <c r="Q200" s="287">
        <f t="shared" si="157"/>
        <v>1106.6400000000001</v>
      </c>
      <c r="R200" s="287">
        <f t="shared" si="144"/>
        <v>134.16999999999999</v>
      </c>
      <c r="S200" s="287">
        <f t="shared" si="145"/>
        <v>188.55</v>
      </c>
      <c r="T200" s="287">
        <f t="shared" si="143"/>
        <v>1859.24</v>
      </c>
      <c r="U200" s="287">
        <f t="shared" si="135"/>
        <v>41670.180000000008</v>
      </c>
      <c r="V200" s="287">
        <f t="shared" si="136"/>
        <v>176515.65999999997</v>
      </c>
      <c r="W200" s="287">
        <f t="shared" si="158"/>
        <v>189279.81999999998</v>
      </c>
      <c r="X200" s="519">
        <f t="shared" si="128"/>
        <v>49959</v>
      </c>
      <c r="Y200" s="287">
        <f t="shared" si="159"/>
        <v>215272.28999999992</v>
      </c>
      <c r="Z200" s="511">
        <f t="shared" si="121"/>
        <v>7.0000000000000007E-2</v>
      </c>
      <c r="AA200" s="287">
        <f t="shared" si="122"/>
        <v>1746.44</v>
      </c>
      <c r="AB200" s="287">
        <f t="shared" si="160"/>
        <v>490.68000000000006</v>
      </c>
      <c r="AC200" s="287">
        <f t="shared" si="123"/>
        <v>1255.76</v>
      </c>
      <c r="AD200" s="287">
        <f t="shared" si="146"/>
        <v>134.16999999999999</v>
      </c>
      <c r="AE200" s="287">
        <f t="shared" si="147"/>
        <v>188.55</v>
      </c>
      <c r="AF200" s="287">
        <f t="shared" si="161"/>
        <v>2069.1600000000003</v>
      </c>
      <c r="AG200" s="287">
        <f t="shared" si="162"/>
        <v>61167.19000000001</v>
      </c>
      <c r="AH200" s="287">
        <f t="shared" si="163"/>
        <v>155009.29</v>
      </c>
      <c r="AI200" s="530">
        <f t="shared" si="148"/>
        <v>2009.360000000006</v>
      </c>
      <c r="AJ200" s="530">
        <f t="shared" si="137"/>
        <v>-25501.78999999995</v>
      </c>
      <c r="AK200" s="530">
        <f t="shared" si="149"/>
        <v>-23492.429999999942</v>
      </c>
      <c r="AL200" s="287">
        <f t="shared" si="164"/>
        <v>214781.60999999993</v>
      </c>
      <c r="AM200" s="428">
        <f t="shared" si="129"/>
        <v>11</v>
      </c>
      <c r="AN200" s="14">
        <f t="shared" si="150"/>
        <v>749.98</v>
      </c>
      <c r="AO200" s="14">
        <f t="shared" si="138"/>
        <v>123880.99999999993</v>
      </c>
      <c r="AP200" s="14">
        <f t="shared" si="151"/>
        <v>959.90000000000009</v>
      </c>
      <c r="AS200" s="14">
        <f t="shared" si="124"/>
        <v>749.98</v>
      </c>
      <c r="AT200" s="14">
        <f t="shared" si="130"/>
        <v>106016.5999999999</v>
      </c>
      <c r="AU200" s="287">
        <f t="shared" si="131"/>
        <v>1424.8405737123942</v>
      </c>
      <c r="AV200" s="287">
        <f t="shared" si="132"/>
        <v>197927.01268743063</v>
      </c>
    </row>
    <row r="201" spans="1:48" x14ac:dyDescent="0.25">
      <c r="A201" s="519">
        <f t="shared" si="152"/>
        <v>49989</v>
      </c>
      <c r="B201" s="287">
        <f t="shared" si="125"/>
        <v>110864.01999999993</v>
      </c>
      <c r="C201" s="14">
        <f t="shared" si="119"/>
        <v>786.54</v>
      </c>
      <c r="D201" s="14">
        <f t="shared" si="133"/>
        <v>509.37999999999994</v>
      </c>
      <c r="E201" s="14">
        <f t="shared" si="120"/>
        <v>277.16000000000003</v>
      </c>
      <c r="F201" s="14">
        <f t="shared" si="142"/>
        <v>134.16999999999999</v>
      </c>
      <c r="G201" s="14">
        <f t="shared" si="140"/>
        <v>188.55</v>
      </c>
      <c r="H201" s="14">
        <f t="shared" si="141"/>
        <v>1109.26</v>
      </c>
      <c r="I201" s="287">
        <f t="shared" si="153"/>
        <v>76669.759999999966</v>
      </c>
      <c r="J201" s="287">
        <f t="shared" si="154"/>
        <v>70879.62</v>
      </c>
      <c r="K201" s="287">
        <f t="shared" si="155"/>
        <v>110354.63999999993</v>
      </c>
      <c r="L201" s="428">
        <f t="shared" si="139"/>
        <v>11</v>
      </c>
      <c r="M201" s="428">
        <f t="shared" si="126"/>
        <v>142</v>
      </c>
      <c r="N201" s="287">
        <f t="shared" si="127"/>
        <v>189279.81999999998</v>
      </c>
      <c r="O201" s="287">
        <f t="shared" si="156"/>
        <v>1536.52</v>
      </c>
      <c r="P201" s="287">
        <f t="shared" si="134"/>
        <v>432.38999999999987</v>
      </c>
      <c r="Q201" s="287">
        <f t="shared" si="157"/>
        <v>1104.1300000000001</v>
      </c>
      <c r="R201" s="287">
        <f t="shared" si="144"/>
        <v>134.16999999999999</v>
      </c>
      <c r="S201" s="287">
        <f t="shared" si="145"/>
        <v>188.55</v>
      </c>
      <c r="T201" s="287">
        <f t="shared" si="143"/>
        <v>1859.24</v>
      </c>
      <c r="U201" s="287">
        <f t="shared" si="135"/>
        <v>42102.570000000007</v>
      </c>
      <c r="V201" s="287">
        <f t="shared" si="136"/>
        <v>177619.78999999998</v>
      </c>
      <c r="W201" s="287">
        <f t="shared" si="158"/>
        <v>188847.42999999996</v>
      </c>
      <c r="X201" s="519">
        <f t="shared" si="128"/>
        <v>49989</v>
      </c>
      <c r="Y201" s="287">
        <f t="shared" si="159"/>
        <v>214781.60999999993</v>
      </c>
      <c r="Z201" s="511">
        <f t="shared" si="121"/>
        <v>7.0000000000000007E-2</v>
      </c>
      <c r="AA201" s="287">
        <f t="shared" si="122"/>
        <v>1746.44</v>
      </c>
      <c r="AB201" s="287">
        <f t="shared" si="160"/>
        <v>493.54999999999995</v>
      </c>
      <c r="AC201" s="287">
        <f t="shared" si="123"/>
        <v>1252.8900000000001</v>
      </c>
      <c r="AD201" s="287">
        <f t="shared" si="146"/>
        <v>134.16999999999999</v>
      </c>
      <c r="AE201" s="287">
        <f t="shared" si="147"/>
        <v>188.55</v>
      </c>
      <c r="AF201" s="287">
        <f t="shared" si="161"/>
        <v>2069.1600000000003</v>
      </c>
      <c r="AG201" s="287">
        <f t="shared" si="162"/>
        <v>61660.740000000013</v>
      </c>
      <c r="AH201" s="287">
        <f t="shared" si="163"/>
        <v>156262.18000000002</v>
      </c>
      <c r="AI201" s="530">
        <f t="shared" si="148"/>
        <v>1799.440000000006</v>
      </c>
      <c r="AJ201" s="530">
        <f t="shared" si="137"/>
        <v>-25440.629999999976</v>
      </c>
      <c r="AK201" s="530">
        <f t="shared" si="149"/>
        <v>-23641.18999999997</v>
      </c>
      <c r="AL201" s="287">
        <f t="shared" si="164"/>
        <v>214288.05999999994</v>
      </c>
      <c r="AM201" s="428">
        <f t="shared" si="129"/>
        <v>11</v>
      </c>
      <c r="AN201" s="14">
        <f t="shared" si="150"/>
        <v>749.98</v>
      </c>
      <c r="AO201" s="14">
        <f t="shared" si="138"/>
        <v>123957.98999999993</v>
      </c>
      <c r="AP201" s="14">
        <f t="shared" si="151"/>
        <v>959.90000000000009</v>
      </c>
      <c r="AS201" s="14">
        <f t="shared" si="124"/>
        <v>749.98</v>
      </c>
      <c r="AT201" s="14">
        <f t="shared" si="130"/>
        <v>106766.5799999999</v>
      </c>
      <c r="AU201" s="287">
        <f t="shared" si="131"/>
        <v>1429.5900422914353</v>
      </c>
      <c r="AV201" s="287">
        <f t="shared" si="132"/>
        <v>199356.60272972207</v>
      </c>
    </row>
    <row r="202" spans="1:48" x14ac:dyDescent="0.25">
      <c r="A202" s="519">
        <f t="shared" si="152"/>
        <v>50019</v>
      </c>
      <c r="B202" s="287">
        <f t="shared" si="125"/>
        <v>110354.63999999993</v>
      </c>
      <c r="C202" s="14">
        <f t="shared" si="119"/>
        <v>786.54</v>
      </c>
      <c r="D202" s="14">
        <f t="shared" si="133"/>
        <v>510.65</v>
      </c>
      <c r="E202" s="14">
        <f t="shared" si="120"/>
        <v>275.89</v>
      </c>
      <c r="F202" s="14">
        <f t="shared" si="142"/>
        <v>134.16999999999999</v>
      </c>
      <c r="G202" s="14">
        <f t="shared" si="140"/>
        <v>188.55</v>
      </c>
      <c r="H202" s="14">
        <f t="shared" si="141"/>
        <v>1109.26</v>
      </c>
      <c r="I202" s="287">
        <f t="shared" si="153"/>
        <v>77180.40999999996</v>
      </c>
      <c r="J202" s="287">
        <f t="shared" si="154"/>
        <v>71155.509999999995</v>
      </c>
      <c r="K202" s="287">
        <f t="shared" si="155"/>
        <v>109843.98999999993</v>
      </c>
      <c r="L202" s="428">
        <f t="shared" si="139"/>
        <v>11</v>
      </c>
      <c r="M202" s="428">
        <f t="shared" si="126"/>
        <v>143</v>
      </c>
      <c r="N202" s="287">
        <f t="shared" si="127"/>
        <v>188847.42999999996</v>
      </c>
      <c r="O202" s="287">
        <f t="shared" si="156"/>
        <v>1536.52</v>
      </c>
      <c r="P202" s="287">
        <f t="shared" si="134"/>
        <v>434.91000000000008</v>
      </c>
      <c r="Q202" s="287">
        <f t="shared" si="157"/>
        <v>1101.6099999999999</v>
      </c>
      <c r="R202" s="287">
        <f t="shared" si="144"/>
        <v>134.16999999999999</v>
      </c>
      <c r="S202" s="287">
        <f t="shared" si="145"/>
        <v>188.55</v>
      </c>
      <c r="T202" s="287">
        <f t="shared" si="143"/>
        <v>1859.24</v>
      </c>
      <c r="U202" s="287">
        <f t="shared" si="135"/>
        <v>42537.48000000001</v>
      </c>
      <c r="V202" s="287">
        <f t="shared" si="136"/>
        <v>178721.39999999997</v>
      </c>
      <c r="W202" s="287">
        <f t="shared" si="158"/>
        <v>188412.51999999996</v>
      </c>
      <c r="X202" s="519">
        <f t="shared" si="128"/>
        <v>50019</v>
      </c>
      <c r="Y202" s="287">
        <f t="shared" si="159"/>
        <v>214288.05999999994</v>
      </c>
      <c r="Z202" s="511">
        <f t="shared" si="121"/>
        <v>7.0000000000000007E-2</v>
      </c>
      <c r="AA202" s="287">
        <f t="shared" si="122"/>
        <v>1746.44</v>
      </c>
      <c r="AB202" s="287">
        <f t="shared" si="160"/>
        <v>496.43000000000006</v>
      </c>
      <c r="AC202" s="287">
        <f t="shared" si="123"/>
        <v>1250.01</v>
      </c>
      <c r="AD202" s="287">
        <f t="shared" si="146"/>
        <v>134.16999999999999</v>
      </c>
      <c r="AE202" s="287">
        <f t="shared" si="147"/>
        <v>188.55</v>
      </c>
      <c r="AF202" s="287">
        <f t="shared" si="161"/>
        <v>2069.1600000000003</v>
      </c>
      <c r="AG202" s="287">
        <f t="shared" si="162"/>
        <v>62157.170000000013</v>
      </c>
      <c r="AH202" s="287">
        <f t="shared" si="163"/>
        <v>157512.19000000003</v>
      </c>
      <c r="AI202" s="530">
        <f t="shared" si="148"/>
        <v>1589.5200000000059</v>
      </c>
      <c r="AJ202" s="530">
        <f t="shared" si="137"/>
        <v>-25379.109999999986</v>
      </c>
      <c r="AK202" s="530">
        <f t="shared" si="149"/>
        <v>-23789.589999999982</v>
      </c>
      <c r="AL202" s="287">
        <f t="shared" si="164"/>
        <v>213791.62999999995</v>
      </c>
      <c r="AM202" s="428">
        <f t="shared" si="129"/>
        <v>11</v>
      </c>
      <c r="AN202" s="14">
        <f t="shared" si="150"/>
        <v>749.98</v>
      </c>
      <c r="AO202" s="14">
        <f t="shared" si="138"/>
        <v>124033.72999999995</v>
      </c>
      <c r="AP202" s="14">
        <f t="shared" si="151"/>
        <v>959.90000000000009</v>
      </c>
      <c r="AS202" s="14">
        <f t="shared" si="124"/>
        <v>749.98</v>
      </c>
      <c r="AT202" s="14">
        <f t="shared" si="130"/>
        <v>107516.5599999999</v>
      </c>
      <c r="AU202" s="287">
        <f t="shared" si="131"/>
        <v>1434.355342432407</v>
      </c>
      <c r="AV202" s="287">
        <f t="shared" si="132"/>
        <v>200790.95807215449</v>
      </c>
    </row>
    <row r="203" spans="1:48" x14ac:dyDescent="0.25">
      <c r="A203" s="519">
        <f t="shared" si="152"/>
        <v>50049</v>
      </c>
      <c r="B203" s="287">
        <f t="shared" si="125"/>
        <v>109843.98999999993</v>
      </c>
      <c r="C203" s="14">
        <f t="shared" si="119"/>
        <v>786.54</v>
      </c>
      <c r="D203" s="14">
        <f t="shared" si="133"/>
        <v>511.92999999999995</v>
      </c>
      <c r="E203" s="14">
        <f t="shared" si="120"/>
        <v>274.61</v>
      </c>
      <c r="F203" s="14">
        <f t="shared" si="142"/>
        <v>134.16999999999999</v>
      </c>
      <c r="G203" s="14">
        <f t="shared" si="140"/>
        <v>188.55</v>
      </c>
      <c r="H203" s="14">
        <f t="shared" si="141"/>
        <v>1109.26</v>
      </c>
      <c r="I203" s="287">
        <f t="shared" si="153"/>
        <v>77692.339999999953</v>
      </c>
      <c r="J203" s="287">
        <f t="shared" si="154"/>
        <v>71430.12</v>
      </c>
      <c r="K203" s="287">
        <f t="shared" si="155"/>
        <v>109332.05999999994</v>
      </c>
      <c r="L203" s="428">
        <f t="shared" si="139"/>
        <v>12</v>
      </c>
      <c r="M203" s="428">
        <f t="shared" si="126"/>
        <v>144</v>
      </c>
      <c r="N203" s="287">
        <f t="shared" si="127"/>
        <v>188412.51999999996</v>
      </c>
      <c r="O203" s="287">
        <f t="shared" si="156"/>
        <v>1536.52</v>
      </c>
      <c r="P203" s="287">
        <f t="shared" si="134"/>
        <v>437.45000000000005</v>
      </c>
      <c r="Q203" s="287">
        <f t="shared" si="157"/>
        <v>1099.07</v>
      </c>
      <c r="R203" s="287">
        <f t="shared" si="144"/>
        <v>134.16999999999999</v>
      </c>
      <c r="S203" s="287">
        <f t="shared" si="145"/>
        <v>188.55</v>
      </c>
      <c r="T203" s="287">
        <f t="shared" si="143"/>
        <v>1859.24</v>
      </c>
      <c r="U203" s="287">
        <f t="shared" si="135"/>
        <v>42974.930000000008</v>
      </c>
      <c r="V203" s="287">
        <f t="shared" si="136"/>
        <v>179820.46999999997</v>
      </c>
      <c r="W203" s="287">
        <f t="shared" si="158"/>
        <v>187975.06999999995</v>
      </c>
      <c r="X203" s="519">
        <f t="shared" si="128"/>
        <v>50049</v>
      </c>
      <c r="Y203" s="287">
        <f t="shared" si="159"/>
        <v>213791.62999999995</v>
      </c>
      <c r="Z203" s="511">
        <f t="shared" si="121"/>
        <v>7.0000000000000007E-2</v>
      </c>
      <c r="AA203" s="287">
        <f t="shared" si="122"/>
        <v>1746.44</v>
      </c>
      <c r="AB203" s="287">
        <f t="shared" si="160"/>
        <v>499.32000000000016</v>
      </c>
      <c r="AC203" s="287">
        <f t="shared" si="123"/>
        <v>1247.1199999999999</v>
      </c>
      <c r="AD203" s="287">
        <f t="shared" si="146"/>
        <v>134.16999999999999</v>
      </c>
      <c r="AE203" s="287">
        <f t="shared" si="147"/>
        <v>188.55</v>
      </c>
      <c r="AF203" s="287">
        <f t="shared" si="161"/>
        <v>2069.1600000000003</v>
      </c>
      <c r="AG203" s="287">
        <f t="shared" si="162"/>
        <v>62656.490000000013</v>
      </c>
      <c r="AH203" s="287">
        <f t="shared" si="163"/>
        <v>158759.31000000003</v>
      </c>
      <c r="AI203" s="530">
        <f t="shared" si="148"/>
        <v>1379.6000000000058</v>
      </c>
      <c r="AJ203" s="530">
        <f t="shared" si="137"/>
        <v>-25317.239999999991</v>
      </c>
      <c r="AK203" s="530">
        <f t="shared" si="149"/>
        <v>-23937.639999999985</v>
      </c>
      <c r="AL203" s="287">
        <f t="shared" si="164"/>
        <v>213292.30999999994</v>
      </c>
      <c r="AM203" s="428">
        <f t="shared" si="129"/>
        <v>12</v>
      </c>
      <c r="AN203" s="14">
        <f t="shared" si="150"/>
        <v>749.98</v>
      </c>
      <c r="AO203" s="14">
        <f t="shared" si="138"/>
        <v>124108.20999999995</v>
      </c>
      <c r="AP203" s="14">
        <f t="shared" si="151"/>
        <v>959.90000000000009</v>
      </c>
      <c r="AS203" s="14">
        <f t="shared" si="124"/>
        <v>749.98</v>
      </c>
      <c r="AT203" s="14">
        <f t="shared" si="130"/>
        <v>108266.53999999989</v>
      </c>
      <c r="AU203" s="287">
        <f t="shared" si="131"/>
        <v>1439.1365269071819</v>
      </c>
      <c r="AV203" s="287">
        <f t="shared" si="132"/>
        <v>202230.09459906167</v>
      </c>
    </row>
    <row r="204" spans="1:48" x14ac:dyDescent="0.25">
      <c r="A204" s="519">
        <f t="shared" si="152"/>
        <v>50079</v>
      </c>
      <c r="B204" s="287">
        <f t="shared" si="125"/>
        <v>109332.05999999994</v>
      </c>
      <c r="C204" s="14">
        <f t="shared" si="119"/>
        <v>786.54</v>
      </c>
      <c r="D204" s="14">
        <f t="shared" si="133"/>
        <v>513.21</v>
      </c>
      <c r="E204" s="14">
        <f t="shared" si="120"/>
        <v>273.33</v>
      </c>
      <c r="F204" s="14">
        <f t="shared" si="142"/>
        <v>134.16999999999999</v>
      </c>
      <c r="G204" s="14">
        <f t="shared" si="140"/>
        <v>188.55</v>
      </c>
      <c r="H204" s="14">
        <f t="shared" si="141"/>
        <v>1109.26</v>
      </c>
      <c r="I204" s="287">
        <f t="shared" si="153"/>
        <v>78205.549999999959</v>
      </c>
      <c r="J204" s="287">
        <f t="shared" si="154"/>
        <v>71703.45</v>
      </c>
      <c r="K204" s="287">
        <f t="shared" si="155"/>
        <v>108818.84999999993</v>
      </c>
      <c r="L204" s="428">
        <f t="shared" si="139"/>
        <v>12</v>
      </c>
      <c r="M204" s="428">
        <f t="shared" si="126"/>
        <v>145</v>
      </c>
      <c r="N204" s="287">
        <f t="shared" si="127"/>
        <v>187975.06999999995</v>
      </c>
      <c r="O204" s="287">
        <f t="shared" si="156"/>
        <v>1536.52</v>
      </c>
      <c r="P204" s="287">
        <f t="shared" si="134"/>
        <v>440</v>
      </c>
      <c r="Q204" s="287">
        <f t="shared" si="157"/>
        <v>1096.52</v>
      </c>
      <c r="R204" s="287">
        <f t="shared" si="144"/>
        <v>134.16999999999999</v>
      </c>
      <c r="S204" s="287">
        <f t="shared" si="145"/>
        <v>188.55</v>
      </c>
      <c r="T204" s="287">
        <f t="shared" si="143"/>
        <v>1859.24</v>
      </c>
      <c r="U204" s="287">
        <f t="shared" si="135"/>
        <v>43414.930000000008</v>
      </c>
      <c r="V204" s="287">
        <f t="shared" si="136"/>
        <v>180916.98999999996</v>
      </c>
      <c r="W204" s="287">
        <f t="shared" si="158"/>
        <v>187535.06999999995</v>
      </c>
      <c r="X204" s="519">
        <f t="shared" si="128"/>
        <v>50079</v>
      </c>
      <c r="Y204" s="287">
        <f t="shared" si="159"/>
        <v>213292.30999999994</v>
      </c>
      <c r="Z204" s="511">
        <f t="shared" si="121"/>
        <v>7.0000000000000007E-2</v>
      </c>
      <c r="AA204" s="287">
        <f t="shared" si="122"/>
        <v>1746.44</v>
      </c>
      <c r="AB204" s="287">
        <f t="shared" si="160"/>
        <v>502.23</v>
      </c>
      <c r="AC204" s="287">
        <f t="shared" si="123"/>
        <v>1244.21</v>
      </c>
      <c r="AD204" s="287">
        <f t="shared" si="146"/>
        <v>134.16999999999999</v>
      </c>
      <c r="AE204" s="287">
        <f t="shared" si="147"/>
        <v>188.55</v>
      </c>
      <c r="AF204" s="287">
        <f t="shared" si="161"/>
        <v>2069.1600000000003</v>
      </c>
      <c r="AG204" s="287">
        <f t="shared" si="162"/>
        <v>63158.720000000016</v>
      </c>
      <c r="AH204" s="287">
        <f t="shared" si="163"/>
        <v>160003.52000000002</v>
      </c>
      <c r="AI204" s="530">
        <f t="shared" si="148"/>
        <v>1169.6800000000057</v>
      </c>
      <c r="AJ204" s="530">
        <f t="shared" si="137"/>
        <v>-25255.00999999998</v>
      </c>
      <c r="AK204" s="530">
        <f t="shared" si="149"/>
        <v>-24085.329999999973</v>
      </c>
      <c r="AL204" s="287">
        <f t="shared" si="164"/>
        <v>212790.07999999993</v>
      </c>
      <c r="AM204" s="428">
        <f t="shared" si="129"/>
        <v>12</v>
      </c>
      <c r="AN204" s="14">
        <f t="shared" si="150"/>
        <v>749.98</v>
      </c>
      <c r="AO204" s="14">
        <f t="shared" si="138"/>
        <v>124181.41999999994</v>
      </c>
      <c r="AP204" s="14">
        <f t="shared" si="151"/>
        <v>959.90000000000009</v>
      </c>
      <c r="AS204" s="14">
        <f t="shared" si="124"/>
        <v>749.98</v>
      </c>
      <c r="AT204" s="14">
        <f t="shared" si="130"/>
        <v>109016.51999999989</v>
      </c>
      <c r="AU204" s="287">
        <f t="shared" si="131"/>
        <v>1443.9336486635386</v>
      </c>
      <c r="AV204" s="287">
        <f t="shared" si="132"/>
        <v>203674.02824772522</v>
      </c>
    </row>
    <row r="205" spans="1:48" x14ac:dyDescent="0.25">
      <c r="A205" s="519">
        <f t="shared" si="152"/>
        <v>50109</v>
      </c>
      <c r="B205" s="287">
        <f t="shared" si="125"/>
        <v>108818.84999999993</v>
      </c>
      <c r="C205" s="14">
        <f t="shared" si="119"/>
        <v>786.54</v>
      </c>
      <c r="D205" s="14">
        <f t="shared" si="133"/>
        <v>514.49</v>
      </c>
      <c r="E205" s="14">
        <f t="shared" si="120"/>
        <v>272.05</v>
      </c>
      <c r="F205" s="14">
        <f t="shared" si="142"/>
        <v>134.16999999999999</v>
      </c>
      <c r="G205" s="14">
        <f t="shared" si="140"/>
        <v>188.55</v>
      </c>
      <c r="H205" s="14">
        <f t="shared" si="141"/>
        <v>1109.26</v>
      </c>
      <c r="I205" s="287">
        <f t="shared" si="153"/>
        <v>78720.039999999964</v>
      </c>
      <c r="J205" s="287">
        <f t="shared" si="154"/>
        <v>71975.5</v>
      </c>
      <c r="K205" s="287">
        <f t="shared" si="155"/>
        <v>108304.35999999993</v>
      </c>
      <c r="L205" s="428">
        <f t="shared" si="139"/>
        <v>12</v>
      </c>
      <c r="M205" s="428">
        <f t="shared" si="126"/>
        <v>146</v>
      </c>
      <c r="N205" s="287">
        <f t="shared" si="127"/>
        <v>187535.06999999995</v>
      </c>
      <c r="O205" s="287">
        <f t="shared" si="156"/>
        <v>1536.52</v>
      </c>
      <c r="P205" s="287">
        <f t="shared" si="134"/>
        <v>442.56999999999994</v>
      </c>
      <c r="Q205" s="287">
        <f t="shared" si="157"/>
        <v>1093.95</v>
      </c>
      <c r="R205" s="287">
        <f t="shared" si="144"/>
        <v>134.16999999999999</v>
      </c>
      <c r="S205" s="287">
        <f t="shared" si="145"/>
        <v>188.55</v>
      </c>
      <c r="T205" s="287">
        <f t="shared" si="143"/>
        <v>1859.24</v>
      </c>
      <c r="U205" s="287">
        <f t="shared" si="135"/>
        <v>43857.500000000007</v>
      </c>
      <c r="V205" s="287">
        <f t="shared" si="136"/>
        <v>182010.93999999997</v>
      </c>
      <c r="W205" s="287">
        <f t="shared" si="158"/>
        <v>187092.49999999994</v>
      </c>
      <c r="X205" s="519">
        <f t="shared" si="128"/>
        <v>50109</v>
      </c>
      <c r="Y205" s="287">
        <f t="shared" si="159"/>
        <v>212790.07999999993</v>
      </c>
      <c r="Z205" s="511">
        <f t="shared" si="121"/>
        <v>7.0000000000000007E-2</v>
      </c>
      <c r="AA205" s="287">
        <f t="shared" si="122"/>
        <v>1746.44</v>
      </c>
      <c r="AB205" s="287">
        <f t="shared" si="160"/>
        <v>505.16000000000008</v>
      </c>
      <c r="AC205" s="287">
        <f t="shared" si="123"/>
        <v>1241.28</v>
      </c>
      <c r="AD205" s="287">
        <f t="shared" si="146"/>
        <v>134.16999999999999</v>
      </c>
      <c r="AE205" s="287">
        <f t="shared" si="147"/>
        <v>188.55</v>
      </c>
      <c r="AF205" s="287">
        <f t="shared" si="161"/>
        <v>2069.1600000000003</v>
      </c>
      <c r="AG205" s="287">
        <f t="shared" si="162"/>
        <v>63663.880000000019</v>
      </c>
      <c r="AH205" s="287">
        <f t="shared" si="163"/>
        <v>161244.80000000002</v>
      </c>
      <c r="AI205" s="530">
        <f t="shared" si="148"/>
        <v>959.76000000000568</v>
      </c>
      <c r="AJ205" s="530">
        <f t="shared" si="137"/>
        <v>-25192.419999999984</v>
      </c>
      <c r="AK205" s="530">
        <f t="shared" si="149"/>
        <v>-24232.659999999978</v>
      </c>
      <c r="AL205" s="287">
        <f t="shared" si="164"/>
        <v>212284.91999999993</v>
      </c>
      <c r="AM205" s="428">
        <f t="shared" si="129"/>
        <v>12</v>
      </c>
      <c r="AN205" s="14">
        <f t="shared" si="150"/>
        <v>749.98</v>
      </c>
      <c r="AO205" s="14">
        <f t="shared" si="138"/>
        <v>124253.33999999997</v>
      </c>
      <c r="AP205" s="14">
        <f t="shared" si="151"/>
        <v>959.90000000000009</v>
      </c>
      <c r="AS205" s="14">
        <f t="shared" si="124"/>
        <v>749.98</v>
      </c>
      <c r="AT205" s="14">
        <f t="shared" si="130"/>
        <v>109766.49999999988</v>
      </c>
      <c r="AU205" s="287">
        <f t="shared" si="131"/>
        <v>1448.7467608257509</v>
      </c>
      <c r="AV205" s="287">
        <f t="shared" si="132"/>
        <v>205122.77500855096</v>
      </c>
    </row>
    <row r="206" spans="1:48" ht="15.75" thickBot="1" x14ac:dyDescent="0.3">
      <c r="A206" s="522">
        <f t="shared" si="152"/>
        <v>50139</v>
      </c>
      <c r="B206" s="348">
        <f t="shared" si="125"/>
        <v>108304.35999999993</v>
      </c>
      <c r="C206" s="21">
        <f t="shared" si="119"/>
        <v>786.54</v>
      </c>
      <c r="D206" s="21">
        <f t="shared" si="133"/>
        <v>515.78</v>
      </c>
      <c r="E206" s="21">
        <f t="shared" si="120"/>
        <v>270.76</v>
      </c>
      <c r="F206" s="21">
        <f t="shared" si="142"/>
        <v>134.16999999999999</v>
      </c>
      <c r="G206" s="21">
        <f t="shared" si="140"/>
        <v>188.55</v>
      </c>
      <c r="H206" s="21">
        <f t="shared" si="141"/>
        <v>1109.26</v>
      </c>
      <c r="I206" s="348">
        <f t="shared" si="153"/>
        <v>79235.819999999963</v>
      </c>
      <c r="J206" s="348">
        <f t="shared" si="154"/>
        <v>72246.259999999995</v>
      </c>
      <c r="K206" s="348">
        <f t="shared" si="155"/>
        <v>107788.57999999993</v>
      </c>
      <c r="L206" s="429">
        <f t="shared" si="139"/>
        <v>12</v>
      </c>
      <c r="M206" s="429">
        <f t="shared" si="126"/>
        <v>147</v>
      </c>
      <c r="N206" s="348">
        <f t="shared" si="127"/>
        <v>187092.49999999994</v>
      </c>
      <c r="O206" s="348">
        <f t="shared" si="156"/>
        <v>1536.52</v>
      </c>
      <c r="P206" s="348">
        <f t="shared" si="134"/>
        <v>445.15000000000009</v>
      </c>
      <c r="Q206" s="348">
        <f t="shared" si="157"/>
        <v>1091.3699999999999</v>
      </c>
      <c r="R206" s="348">
        <f t="shared" si="144"/>
        <v>134.16999999999999</v>
      </c>
      <c r="S206" s="348">
        <f t="shared" si="145"/>
        <v>188.55</v>
      </c>
      <c r="T206" s="348">
        <f t="shared" si="143"/>
        <v>1859.24</v>
      </c>
      <c r="U206" s="348">
        <f t="shared" si="135"/>
        <v>44302.650000000009</v>
      </c>
      <c r="V206" s="348">
        <f t="shared" si="136"/>
        <v>183102.30999999997</v>
      </c>
      <c r="W206" s="348">
        <f t="shared" si="158"/>
        <v>186647.34999999995</v>
      </c>
      <c r="X206" s="522">
        <f t="shared" si="128"/>
        <v>50139</v>
      </c>
      <c r="Y206" s="348">
        <f t="shared" si="159"/>
        <v>212284.91999999993</v>
      </c>
      <c r="Z206" s="512">
        <f t="shared" si="121"/>
        <v>7.0000000000000007E-2</v>
      </c>
      <c r="AA206" s="348">
        <f t="shared" si="122"/>
        <v>1746.44</v>
      </c>
      <c r="AB206" s="348">
        <f t="shared" si="160"/>
        <v>508.11000000000013</v>
      </c>
      <c r="AC206" s="348">
        <f t="shared" si="123"/>
        <v>1238.33</v>
      </c>
      <c r="AD206" s="348">
        <f t="shared" si="146"/>
        <v>134.16999999999999</v>
      </c>
      <c r="AE206" s="348">
        <f t="shared" si="147"/>
        <v>188.55</v>
      </c>
      <c r="AF206" s="348">
        <f t="shared" si="161"/>
        <v>2069.1600000000003</v>
      </c>
      <c r="AG206" s="348">
        <f t="shared" si="162"/>
        <v>64171.99000000002</v>
      </c>
      <c r="AH206" s="348">
        <f t="shared" si="163"/>
        <v>162483.13</v>
      </c>
      <c r="AI206" s="531">
        <f t="shared" si="148"/>
        <v>749.8400000000056</v>
      </c>
      <c r="AJ206" s="531">
        <f t="shared" si="137"/>
        <v>-25129.459999999992</v>
      </c>
      <c r="AK206" s="530">
        <f t="shared" si="149"/>
        <v>-24379.619999999988</v>
      </c>
      <c r="AL206" s="348">
        <f t="shared" si="164"/>
        <v>211776.80999999994</v>
      </c>
      <c r="AM206" s="429">
        <f t="shared" si="129"/>
        <v>12</v>
      </c>
      <c r="AN206" s="21">
        <f t="shared" si="150"/>
        <v>749.98</v>
      </c>
      <c r="AO206" s="21">
        <f t="shared" si="138"/>
        <v>124323.96999999993</v>
      </c>
      <c r="AP206" s="21">
        <f t="shared" si="151"/>
        <v>959.90000000000009</v>
      </c>
      <c r="AQ206" s="21"/>
      <c r="AR206" s="23"/>
      <c r="AS206" s="21">
        <f t="shared" si="124"/>
        <v>749.98</v>
      </c>
      <c r="AT206" s="21">
        <f t="shared" si="130"/>
        <v>110516.47999999988</v>
      </c>
      <c r="AU206" s="348">
        <f t="shared" si="131"/>
        <v>1453.57591669517</v>
      </c>
      <c r="AV206" s="348">
        <f t="shared" si="132"/>
        <v>206576.35092524614</v>
      </c>
    </row>
    <row r="207" spans="1:48" x14ac:dyDescent="0.25">
      <c r="A207" s="519">
        <f t="shared" si="152"/>
        <v>50169</v>
      </c>
      <c r="B207" s="287">
        <f t="shared" si="125"/>
        <v>107788.57999999993</v>
      </c>
      <c r="C207" s="14">
        <f t="shared" ref="C207:C270" si="165">IF(+$K206&lt;=0,0,$C$5)</f>
        <v>786.54</v>
      </c>
      <c r="D207" s="14">
        <f t="shared" si="133"/>
        <v>517.06999999999994</v>
      </c>
      <c r="E207" s="14">
        <f t="shared" ref="E207:E270" si="166">ROUND($B207*($C$3/12), 2)</f>
        <v>269.47000000000003</v>
      </c>
      <c r="F207" s="14">
        <f t="shared" si="142"/>
        <v>134.16999999999999</v>
      </c>
      <c r="G207" s="14">
        <f t="shared" si="140"/>
        <v>188.55</v>
      </c>
      <c r="H207" s="14">
        <f t="shared" si="141"/>
        <v>1109.26</v>
      </c>
      <c r="I207" s="287">
        <f t="shared" si="153"/>
        <v>79752.88999999997</v>
      </c>
      <c r="J207" s="287">
        <f t="shared" si="154"/>
        <v>72515.73</v>
      </c>
      <c r="K207" s="287">
        <f t="shared" si="155"/>
        <v>107271.50999999992</v>
      </c>
      <c r="L207" s="428">
        <f t="shared" si="139"/>
        <v>12</v>
      </c>
      <c r="M207" s="428">
        <f t="shared" si="126"/>
        <v>148</v>
      </c>
      <c r="N207" s="287">
        <f t="shared" si="127"/>
        <v>186647.34999999995</v>
      </c>
      <c r="O207" s="287">
        <f t="shared" si="156"/>
        <v>1536.52</v>
      </c>
      <c r="P207" s="287">
        <f t="shared" si="134"/>
        <v>447.74</v>
      </c>
      <c r="Q207" s="287">
        <f t="shared" si="157"/>
        <v>1088.78</v>
      </c>
      <c r="R207" s="287">
        <f t="shared" si="144"/>
        <v>134.16999999999999</v>
      </c>
      <c r="S207" s="287">
        <f t="shared" si="145"/>
        <v>188.55</v>
      </c>
      <c r="T207" s="287">
        <f t="shared" si="143"/>
        <v>1859.24</v>
      </c>
      <c r="U207" s="287">
        <f t="shared" si="135"/>
        <v>44750.390000000007</v>
      </c>
      <c r="V207" s="287">
        <f t="shared" si="136"/>
        <v>184191.08999999997</v>
      </c>
      <c r="W207" s="287">
        <f t="shared" si="158"/>
        <v>186199.60999999996</v>
      </c>
      <c r="X207" s="519">
        <f t="shared" si="128"/>
        <v>50169</v>
      </c>
      <c r="Y207" s="287">
        <f t="shared" si="159"/>
        <v>211776.80999999994</v>
      </c>
      <c r="Z207" s="511">
        <f t="shared" ref="Z207:Z270" si="167">IF(L207&gt;4,$AA$9,$AA$8)</f>
        <v>7.0000000000000007E-2</v>
      </c>
      <c r="AA207" s="287">
        <f t="shared" ref="AA207:AA270" si="168">IF($O$9&lt;=$A207,IF(+AL206&lt;=0,0,IF(Z207=$AA$8,$Z$8,$Z$9)),0)</f>
        <v>1746.44</v>
      </c>
      <c r="AB207" s="287">
        <f t="shared" si="160"/>
        <v>511.08000000000015</v>
      </c>
      <c r="AC207" s="287">
        <f t="shared" ref="AC207:AC270" si="169">IF($O$9&lt;=$A207,ROUND(Y207*(Z207/12),2),0)</f>
        <v>1235.3599999999999</v>
      </c>
      <c r="AD207" s="287">
        <f t="shared" si="146"/>
        <v>134.16999999999999</v>
      </c>
      <c r="AE207" s="287">
        <f t="shared" si="147"/>
        <v>188.55</v>
      </c>
      <c r="AF207" s="287">
        <f t="shared" si="161"/>
        <v>2069.1600000000003</v>
      </c>
      <c r="AG207" s="287">
        <f t="shared" si="162"/>
        <v>64683.070000000022</v>
      </c>
      <c r="AH207" s="287">
        <f t="shared" si="163"/>
        <v>163718.49</v>
      </c>
      <c r="AI207" s="530">
        <f t="shared" si="148"/>
        <v>539.92000000000553</v>
      </c>
      <c r="AJ207" s="530">
        <f t="shared" si="137"/>
        <v>-25066.119999999995</v>
      </c>
      <c r="AK207" s="530">
        <f t="shared" si="149"/>
        <v>-24526.19999999999</v>
      </c>
      <c r="AL207" s="287">
        <f t="shared" si="164"/>
        <v>211265.72999999995</v>
      </c>
      <c r="AM207" s="428">
        <f t="shared" si="129"/>
        <v>12</v>
      </c>
      <c r="AN207" s="14">
        <f t="shared" si="150"/>
        <v>749.98</v>
      </c>
      <c r="AO207" s="14">
        <f t="shared" si="138"/>
        <v>124393.29999999993</v>
      </c>
      <c r="AP207" s="14">
        <f t="shared" si="151"/>
        <v>959.90000000000009</v>
      </c>
      <c r="AS207" s="14">
        <f t="shared" ref="AS207:AS270" si="170">+AN207-AR207</f>
        <v>749.98</v>
      </c>
      <c r="AT207" s="14">
        <f t="shared" si="130"/>
        <v>111266.45999999988</v>
      </c>
      <c r="AU207" s="287">
        <f t="shared" si="131"/>
        <v>1458.4211697508206</v>
      </c>
      <c r="AV207" s="287">
        <f t="shared" si="132"/>
        <v>208034.77209499697</v>
      </c>
    </row>
    <row r="208" spans="1:48" x14ac:dyDescent="0.25">
      <c r="A208" s="519">
        <f t="shared" si="152"/>
        <v>50199</v>
      </c>
      <c r="B208" s="287">
        <f t="shared" ref="B208:B271" si="171">IF(+K207&lt;0,0,+K207)</f>
        <v>107271.50999999992</v>
      </c>
      <c r="C208" s="14">
        <f t="shared" si="165"/>
        <v>786.54</v>
      </c>
      <c r="D208" s="14">
        <f t="shared" si="133"/>
        <v>518.3599999999999</v>
      </c>
      <c r="E208" s="14">
        <f t="shared" si="166"/>
        <v>268.18</v>
      </c>
      <c r="F208" s="14">
        <f t="shared" si="142"/>
        <v>134.16999999999999</v>
      </c>
      <c r="G208" s="14">
        <f t="shared" si="140"/>
        <v>188.55</v>
      </c>
      <c r="H208" s="14">
        <f t="shared" si="141"/>
        <v>1109.26</v>
      </c>
      <c r="I208" s="287">
        <f t="shared" si="153"/>
        <v>80271.249999999971</v>
      </c>
      <c r="J208" s="287">
        <f t="shared" si="154"/>
        <v>72783.909999999989</v>
      </c>
      <c r="K208" s="287">
        <f t="shared" si="155"/>
        <v>106753.14999999992</v>
      </c>
      <c r="L208" s="428">
        <f t="shared" si="139"/>
        <v>12</v>
      </c>
      <c r="M208" s="428">
        <f t="shared" ref="M208:M271" si="172">IF(N208&lt;&gt;"",IF(N208=$O$5,0,+M207+1),0)</f>
        <v>149</v>
      </c>
      <c r="N208" s="287">
        <f t="shared" ref="N208:N271" si="173">IF(+W207&lt;0,0,+W207)</f>
        <v>186199.60999999996</v>
      </c>
      <c r="O208" s="287">
        <f t="shared" si="156"/>
        <v>1536.52</v>
      </c>
      <c r="P208" s="287">
        <f t="shared" si="134"/>
        <v>450.3599999999999</v>
      </c>
      <c r="Q208" s="287">
        <f t="shared" si="157"/>
        <v>1086.1600000000001</v>
      </c>
      <c r="R208" s="287">
        <f t="shared" si="144"/>
        <v>134.16999999999999</v>
      </c>
      <c r="S208" s="287">
        <f t="shared" si="145"/>
        <v>188.55</v>
      </c>
      <c r="T208" s="287">
        <f t="shared" si="143"/>
        <v>1859.24</v>
      </c>
      <c r="U208" s="287">
        <f t="shared" si="135"/>
        <v>45200.750000000007</v>
      </c>
      <c r="V208" s="287">
        <f t="shared" si="136"/>
        <v>185277.24999999997</v>
      </c>
      <c r="W208" s="287">
        <f t="shared" si="158"/>
        <v>185749.24999999997</v>
      </c>
      <c r="X208" s="519">
        <f t="shared" ref="X208:X271" si="174">+A208</f>
        <v>50199</v>
      </c>
      <c r="Y208" s="287">
        <f t="shared" si="159"/>
        <v>211265.72999999995</v>
      </c>
      <c r="Z208" s="511">
        <f t="shared" si="167"/>
        <v>7.0000000000000007E-2</v>
      </c>
      <c r="AA208" s="287">
        <f t="shared" si="168"/>
        <v>1746.44</v>
      </c>
      <c r="AB208" s="287">
        <f t="shared" si="160"/>
        <v>514.05999999999995</v>
      </c>
      <c r="AC208" s="287">
        <f t="shared" si="169"/>
        <v>1232.3800000000001</v>
      </c>
      <c r="AD208" s="287">
        <f t="shared" si="146"/>
        <v>134.16999999999999</v>
      </c>
      <c r="AE208" s="287">
        <f t="shared" si="147"/>
        <v>188.55</v>
      </c>
      <c r="AF208" s="287">
        <f t="shared" si="161"/>
        <v>2069.1600000000003</v>
      </c>
      <c r="AG208" s="287">
        <f t="shared" si="162"/>
        <v>65197.130000000019</v>
      </c>
      <c r="AH208" s="287">
        <f t="shared" si="163"/>
        <v>164950.87</v>
      </c>
      <c r="AI208" s="530">
        <f t="shared" si="148"/>
        <v>330.00000000000546</v>
      </c>
      <c r="AJ208" s="530">
        <f t="shared" si="137"/>
        <v>-25002.419999999984</v>
      </c>
      <c r="AK208" s="530">
        <f t="shared" si="149"/>
        <v>-24672.419999999976</v>
      </c>
      <c r="AL208" s="287">
        <f t="shared" si="164"/>
        <v>210751.66999999995</v>
      </c>
      <c r="AM208" s="428">
        <f t="shared" ref="AM208:AM271" si="175">+L208</f>
        <v>12</v>
      </c>
      <c r="AN208" s="14">
        <f t="shared" si="150"/>
        <v>749.98</v>
      </c>
      <c r="AO208" s="14">
        <f t="shared" si="138"/>
        <v>124461.29999999996</v>
      </c>
      <c r="AP208" s="14">
        <f t="shared" si="151"/>
        <v>959.90000000000009</v>
      </c>
      <c r="AS208" s="14">
        <f t="shared" si="170"/>
        <v>749.98</v>
      </c>
      <c r="AT208" s="14">
        <f t="shared" ref="AT208:AT271" si="176">IF(W208&lt;=0,0,+AS208+AT207)</f>
        <v>112016.43999999987</v>
      </c>
      <c r="AU208" s="287">
        <f t="shared" ref="AU208:AU271" si="177">IF(W208&lt;=0,0,+($O$5+AV207)*$AQ$2/12)</f>
        <v>1463.2825736499899</v>
      </c>
      <c r="AV208" s="287">
        <f t="shared" ref="AV208:AV271" si="178">IF(W208&lt;=0,0,+AV207+AU208)</f>
        <v>209498.05466864695</v>
      </c>
    </row>
    <row r="209" spans="1:48" x14ac:dyDescent="0.25">
      <c r="A209" s="519">
        <f t="shared" si="152"/>
        <v>50229</v>
      </c>
      <c r="B209" s="287">
        <f t="shared" si="171"/>
        <v>106753.14999999992</v>
      </c>
      <c r="C209" s="14">
        <f t="shared" si="165"/>
        <v>786.54</v>
      </c>
      <c r="D209" s="14">
        <f t="shared" ref="D209:D272" si="179">+C209-E209</f>
        <v>519.66</v>
      </c>
      <c r="E209" s="14">
        <f t="shared" si="166"/>
        <v>266.88</v>
      </c>
      <c r="F209" s="14">
        <f t="shared" si="142"/>
        <v>134.16999999999999</v>
      </c>
      <c r="G209" s="14">
        <f t="shared" si="140"/>
        <v>188.55</v>
      </c>
      <c r="H209" s="14">
        <f t="shared" si="141"/>
        <v>1109.26</v>
      </c>
      <c r="I209" s="287">
        <f t="shared" si="153"/>
        <v>80790.909999999974</v>
      </c>
      <c r="J209" s="287">
        <f t="shared" si="154"/>
        <v>73050.789999999994</v>
      </c>
      <c r="K209" s="287">
        <f t="shared" si="155"/>
        <v>106233.48999999992</v>
      </c>
      <c r="L209" s="428">
        <f t="shared" si="139"/>
        <v>12</v>
      </c>
      <c r="M209" s="428">
        <f t="shared" si="172"/>
        <v>150</v>
      </c>
      <c r="N209" s="287">
        <f t="shared" si="173"/>
        <v>185749.24999999997</v>
      </c>
      <c r="O209" s="287">
        <f t="shared" si="156"/>
        <v>1536.52</v>
      </c>
      <c r="P209" s="287">
        <f t="shared" ref="P209:P272" si="180">+O209-Q209</f>
        <v>452.98</v>
      </c>
      <c r="Q209" s="287">
        <f t="shared" si="157"/>
        <v>1083.54</v>
      </c>
      <c r="R209" s="287">
        <f t="shared" si="144"/>
        <v>134.16999999999999</v>
      </c>
      <c r="S209" s="287">
        <f t="shared" si="145"/>
        <v>188.55</v>
      </c>
      <c r="T209" s="287">
        <f t="shared" si="143"/>
        <v>1859.24</v>
      </c>
      <c r="U209" s="287">
        <f t="shared" ref="U209:U272" si="181">+P209+U208</f>
        <v>45653.73000000001</v>
      </c>
      <c r="V209" s="287">
        <f t="shared" ref="V209:V272" si="182">+V208+Q209</f>
        <v>186360.78999999998</v>
      </c>
      <c r="W209" s="287">
        <f t="shared" si="158"/>
        <v>185296.26999999996</v>
      </c>
      <c r="X209" s="519">
        <f t="shared" si="174"/>
        <v>50229</v>
      </c>
      <c r="Y209" s="287">
        <f t="shared" si="159"/>
        <v>210751.66999999995</v>
      </c>
      <c r="Z209" s="511">
        <f t="shared" si="167"/>
        <v>7.0000000000000007E-2</v>
      </c>
      <c r="AA209" s="287">
        <f t="shared" si="168"/>
        <v>1746.44</v>
      </c>
      <c r="AB209" s="287">
        <f t="shared" si="160"/>
        <v>517.05999999999995</v>
      </c>
      <c r="AC209" s="287">
        <f t="shared" si="169"/>
        <v>1229.3800000000001</v>
      </c>
      <c r="AD209" s="287">
        <f t="shared" si="146"/>
        <v>134.16999999999999</v>
      </c>
      <c r="AE209" s="287">
        <f t="shared" si="147"/>
        <v>188.55</v>
      </c>
      <c r="AF209" s="287">
        <f t="shared" si="161"/>
        <v>2069.1600000000003</v>
      </c>
      <c r="AG209" s="287">
        <f t="shared" si="162"/>
        <v>65714.190000000017</v>
      </c>
      <c r="AH209" s="287">
        <f t="shared" si="163"/>
        <v>166180.25</v>
      </c>
      <c r="AI209" s="530">
        <f t="shared" si="148"/>
        <v>120.08000000000538</v>
      </c>
      <c r="AJ209" s="530">
        <f t="shared" si="137"/>
        <v>-24938.339999999997</v>
      </c>
      <c r="AK209" s="530">
        <f t="shared" si="149"/>
        <v>-24818.259999999991</v>
      </c>
      <c r="AL209" s="287">
        <f t="shared" si="164"/>
        <v>210234.60999999996</v>
      </c>
      <c r="AM209" s="428">
        <f t="shared" si="175"/>
        <v>12</v>
      </c>
      <c r="AN209" s="14">
        <f t="shared" si="150"/>
        <v>749.98</v>
      </c>
      <c r="AO209" s="14">
        <f t="shared" si="138"/>
        <v>124527.97999999995</v>
      </c>
      <c r="AP209" s="14">
        <f t="shared" si="151"/>
        <v>959.90000000000009</v>
      </c>
      <c r="AS209" s="14">
        <f t="shared" si="170"/>
        <v>749.98</v>
      </c>
      <c r="AT209" s="14">
        <f t="shared" si="176"/>
        <v>112766.41999999987</v>
      </c>
      <c r="AU209" s="287">
        <f t="shared" si="177"/>
        <v>1468.1601822288233</v>
      </c>
      <c r="AV209" s="287">
        <f t="shared" si="178"/>
        <v>210966.21485087578</v>
      </c>
    </row>
    <row r="210" spans="1:48" x14ac:dyDescent="0.25">
      <c r="A210" s="519">
        <f t="shared" si="152"/>
        <v>50259</v>
      </c>
      <c r="B210" s="287">
        <f t="shared" si="171"/>
        <v>106233.48999999992</v>
      </c>
      <c r="C210" s="14">
        <f t="shared" si="165"/>
        <v>786.54</v>
      </c>
      <c r="D210" s="14">
        <f t="shared" si="179"/>
        <v>520.96</v>
      </c>
      <c r="E210" s="14">
        <f t="shared" si="166"/>
        <v>265.58</v>
      </c>
      <c r="F210" s="14">
        <f t="shared" si="142"/>
        <v>134.16999999999999</v>
      </c>
      <c r="G210" s="14">
        <f t="shared" si="140"/>
        <v>188.55</v>
      </c>
      <c r="H210" s="14">
        <f t="shared" si="141"/>
        <v>1109.26</v>
      </c>
      <c r="I210" s="287">
        <f t="shared" si="153"/>
        <v>81311.869999999981</v>
      </c>
      <c r="J210" s="287">
        <f t="shared" si="154"/>
        <v>73316.37</v>
      </c>
      <c r="K210" s="287">
        <f t="shared" si="155"/>
        <v>105712.52999999991</v>
      </c>
      <c r="L210" s="428">
        <f t="shared" si="139"/>
        <v>12</v>
      </c>
      <c r="M210" s="428">
        <f t="shared" si="172"/>
        <v>151</v>
      </c>
      <c r="N210" s="287">
        <f t="shared" si="173"/>
        <v>185296.26999999996</v>
      </c>
      <c r="O210" s="287">
        <f t="shared" si="156"/>
        <v>1536.52</v>
      </c>
      <c r="P210" s="287">
        <f t="shared" si="180"/>
        <v>455.62999999999988</v>
      </c>
      <c r="Q210" s="287">
        <f t="shared" si="157"/>
        <v>1080.8900000000001</v>
      </c>
      <c r="R210" s="287">
        <f t="shared" si="144"/>
        <v>134.16999999999999</v>
      </c>
      <c r="S210" s="287">
        <f t="shared" si="145"/>
        <v>188.55</v>
      </c>
      <c r="T210" s="287">
        <f t="shared" si="143"/>
        <v>1859.24</v>
      </c>
      <c r="U210" s="287">
        <f t="shared" si="181"/>
        <v>46109.360000000008</v>
      </c>
      <c r="V210" s="287">
        <f t="shared" si="182"/>
        <v>187441.68</v>
      </c>
      <c r="W210" s="287">
        <f t="shared" si="158"/>
        <v>184840.63999999996</v>
      </c>
      <c r="X210" s="519">
        <f t="shared" si="174"/>
        <v>50259</v>
      </c>
      <c r="Y210" s="287">
        <f t="shared" si="159"/>
        <v>210234.60999999996</v>
      </c>
      <c r="Z210" s="511">
        <f t="shared" si="167"/>
        <v>7.0000000000000007E-2</v>
      </c>
      <c r="AA210" s="287">
        <f t="shared" si="168"/>
        <v>1746.44</v>
      </c>
      <c r="AB210" s="287">
        <f t="shared" si="160"/>
        <v>520.07000000000016</v>
      </c>
      <c r="AC210" s="287">
        <f t="shared" si="169"/>
        <v>1226.3699999999999</v>
      </c>
      <c r="AD210" s="287">
        <f t="shared" si="146"/>
        <v>134.16999999999999</v>
      </c>
      <c r="AE210" s="287">
        <f t="shared" si="147"/>
        <v>188.55</v>
      </c>
      <c r="AF210" s="287">
        <f t="shared" si="161"/>
        <v>2069.1600000000003</v>
      </c>
      <c r="AG210" s="287">
        <f t="shared" si="162"/>
        <v>66234.260000000024</v>
      </c>
      <c r="AH210" s="287">
        <f t="shared" si="163"/>
        <v>167406.62</v>
      </c>
      <c r="AI210" s="530">
        <f t="shared" si="148"/>
        <v>-89.839999999994689</v>
      </c>
      <c r="AJ210" s="530">
        <f t="shared" si="137"/>
        <v>-24873.899999999994</v>
      </c>
      <c r="AK210" s="530">
        <f t="shared" si="149"/>
        <v>-24963.739999999991</v>
      </c>
      <c r="AL210" s="287">
        <f t="shared" si="164"/>
        <v>209714.53999999995</v>
      </c>
      <c r="AM210" s="428">
        <f t="shared" si="175"/>
        <v>12</v>
      </c>
      <c r="AN210" s="14">
        <f t="shared" si="150"/>
        <v>749.98</v>
      </c>
      <c r="AO210" s="14">
        <f t="shared" si="138"/>
        <v>124593.30999999997</v>
      </c>
      <c r="AP210" s="14">
        <f t="shared" si="151"/>
        <v>959.90000000000009</v>
      </c>
      <c r="AS210" s="14">
        <f t="shared" si="170"/>
        <v>749.98</v>
      </c>
      <c r="AT210" s="14">
        <f t="shared" si="176"/>
        <v>113516.39999999986</v>
      </c>
      <c r="AU210" s="287">
        <f t="shared" si="177"/>
        <v>1473.0540495029193</v>
      </c>
      <c r="AV210" s="287">
        <f t="shared" si="178"/>
        <v>212439.26890037869</v>
      </c>
    </row>
    <row r="211" spans="1:48" x14ac:dyDescent="0.25">
      <c r="A211" s="519">
        <f t="shared" si="152"/>
        <v>50289</v>
      </c>
      <c r="B211" s="287">
        <f t="shared" si="171"/>
        <v>105712.52999999991</v>
      </c>
      <c r="C211" s="14">
        <f t="shared" si="165"/>
        <v>786.54</v>
      </c>
      <c r="D211" s="14">
        <f t="shared" si="179"/>
        <v>522.26</v>
      </c>
      <c r="E211" s="14">
        <f t="shared" si="166"/>
        <v>264.27999999999997</v>
      </c>
      <c r="F211" s="14">
        <f t="shared" si="142"/>
        <v>134.16999999999999</v>
      </c>
      <c r="G211" s="14">
        <f t="shared" si="140"/>
        <v>188.55</v>
      </c>
      <c r="H211" s="14">
        <f t="shared" si="141"/>
        <v>1109.26</v>
      </c>
      <c r="I211" s="287">
        <f t="shared" si="153"/>
        <v>81834.129999999976</v>
      </c>
      <c r="J211" s="287">
        <f t="shared" si="154"/>
        <v>73580.649999999994</v>
      </c>
      <c r="K211" s="287">
        <f t="shared" si="155"/>
        <v>105190.26999999992</v>
      </c>
      <c r="L211" s="428">
        <f t="shared" si="139"/>
        <v>12</v>
      </c>
      <c r="M211" s="428">
        <f t="shared" si="172"/>
        <v>152</v>
      </c>
      <c r="N211" s="287">
        <f t="shared" si="173"/>
        <v>184840.63999999996</v>
      </c>
      <c r="O211" s="287">
        <f t="shared" si="156"/>
        <v>1536.52</v>
      </c>
      <c r="P211" s="287">
        <f t="shared" si="180"/>
        <v>458.28</v>
      </c>
      <c r="Q211" s="287">
        <f t="shared" si="157"/>
        <v>1078.24</v>
      </c>
      <c r="R211" s="287">
        <f t="shared" si="144"/>
        <v>134.16999999999999</v>
      </c>
      <c r="S211" s="287">
        <f t="shared" si="145"/>
        <v>188.55</v>
      </c>
      <c r="T211" s="287">
        <f t="shared" si="143"/>
        <v>1859.24</v>
      </c>
      <c r="U211" s="287">
        <f t="shared" si="181"/>
        <v>46567.640000000007</v>
      </c>
      <c r="V211" s="287">
        <f t="shared" si="182"/>
        <v>188519.91999999998</v>
      </c>
      <c r="W211" s="287">
        <f t="shared" si="158"/>
        <v>184382.35999999996</v>
      </c>
      <c r="X211" s="519">
        <f t="shared" si="174"/>
        <v>50289</v>
      </c>
      <c r="Y211" s="287">
        <f t="shared" si="159"/>
        <v>209714.53999999995</v>
      </c>
      <c r="Z211" s="511">
        <f t="shared" si="167"/>
        <v>7.0000000000000007E-2</v>
      </c>
      <c r="AA211" s="287">
        <f t="shared" si="168"/>
        <v>1746.44</v>
      </c>
      <c r="AB211" s="287">
        <f t="shared" si="160"/>
        <v>523.11000000000013</v>
      </c>
      <c r="AC211" s="287">
        <f t="shared" si="169"/>
        <v>1223.33</v>
      </c>
      <c r="AD211" s="287">
        <f t="shared" si="146"/>
        <v>134.16999999999999</v>
      </c>
      <c r="AE211" s="287">
        <f t="shared" si="147"/>
        <v>188.55</v>
      </c>
      <c r="AF211" s="287">
        <f t="shared" si="161"/>
        <v>2069.1600000000003</v>
      </c>
      <c r="AG211" s="287">
        <f t="shared" si="162"/>
        <v>66757.370000000024</v>
      </c>
      <c r="AH211" s="287">
        <f t="shared" si="163"/>
        <v>168629.94999999998</v>
      </c>
      <c r="AI211" s="530">
        <f t="shared" si="148"/>
        <v>-299.75999999999476</v>
      </c>
      <c r="AJ211" s="530">
        <f t="shared" si="137"/>
        <v>-24809.070000000007</v>
      </c>
      <c r="AK211" s="530">
        <f t="shared" si="149"/>
        <v>-25108.83</v>
      </c>
      <c r="AL211" s="287">
        <f t="shared" si="164"/>
        <v>209191.42999999996</v>
      </c>
      <c r="AM211" s="428">
        <f t="shared" si="175"/>
        <v>12</v>
      </c>
      <c r="AN211" s="14">
        <f t="shared" si="150"/>
        <v>749.98</v>
      </c>
      <c r="AO211" s="14">
        <f t="shared" si="138"/>
        <v>124657.28999999995</v>
      </c>
      <c r="AP211" s="14">
        <f t="shared" si="151"/>
        <v>959.90000000000009</v>
      </c>
      <c r="AS211" s="14">
        <f t="shared" si="170"/>
        <v>749.98</v>
      </c>
      <c r="AT211" s="14">
        <f t="shared" si="176"/>
        <v>114266.37999999986</v>
      </c>
      <c r="AU211" s="287">
        <f t="shared" si="177"/>
        <v>1477.9642296679292</v>
      </c>
      <c r="AV211" s="287">
        <f t="shared" si="178"/>
        <v>213917.23313004663</v>
      </c>
    </row>
    <row r="212" spans="1:48" x14ac:dyDescent="0.25">
      <c r="A212" s="519">
        <f t="shared" si="152"/>
        <v>50319</v>
      </c>
      <c r="B212" s="287">
        <f t="shared" si="171"/>
        <v>105190.26999999992</v>
      </c>
      <c r="C212" s="14">
        <f t="shared" si="165"/>
        <v>786.54</v>
      </c>
      <c r="D212" s="14">
        <f t="shared" si="179"/>
        <v>523.55999999999995</v>
      </c>
      <c r="E212" s="14">
        <f t="shared" si="166"/>
        <v>262.98</v>
      </c>
      <c r="F212" s="14">
        <f t="shared" si="142"/>
        <v>134.16999999999999</v>
      </c>
      <c r="G212" s="14">
        <f t="shared" si="140"/>
        <v>188.55</v>
      </c>
      <c r="H212" s="14">
        <f t="shared" si="141"/>
        <v>1109.26</v>
      </c>
      <c r="I212" s="287">
        <f t="shared" si="153"/>
        <v>82357.689999999973</v>
      </c>
      <c r="J212" s="287">
        <f t="shared" si="154"/>
        <v>73843.62999999999</v>
      </c>
      <c r="K212" s="287">
        <f t="shared" si="155"/>
        <v>104666.70999999992</v>
      </c>
      <c r="L212" s="428">
        <f t="shared" si="139"/>
        <v>12</v>
      </c>
      <c r="M212" s="428">
        <f t="shared" si="172"/>
        <v>153</v>
      </c>
      <c r="N212" s="287">
        <f t="shared" si="173"/>
        <v>184382.35999999996</v>
      </c>
      <c r="O212" s="287">
        <f t="shared" si="156"/>
        <v>1536.52</v>
      </c>
      <c r="P212" s="287">
        <f t="shared" si="180"/>
        <v>460.96000000000004</v>
      </c>
      <c r="Q212" s="287">
        <f t="shared" si="157"/>
        <v>1075.56</v>
      </c>
      <c r="R212" s="287">
        <f t="shared" si="144"/>
        <v>134.16999999999999</v>
      </c>
      <c r="S212" s="287">
        <f t="shared" si="145"/>
        <v>188.55</v>
      </c>
      <c r="T212" s="287">
        <f t="shared" si="143"/>
        <v>1859.24</v>
      </c>
      <c r="U212" s="287">
        <f t="shared" si="181"/>
        <v>47028.600000000006</v>
      </c>
      <c r="V212" s="287">
        <f t="shared" si="182"/>
        <v>189595.47999999998</v>
      </c>
      <c r="W212" s="287">
        <f t="shared" si="158"/>
        <v>183921.39999999997</v>
      </c>
      <c r="X212" s="519">
        <f t="shared" si="174"/>
        <v>50319</v>
      </c>
      <c r="Y212" s="287">
        <f t="shared" si="159"/>
        <v>209191.42999999996</v>
      </c>
      <c r="Z212" s="511">
        <f t="shared" si="167"/>
        <v>7.0000000000000007E-2</v>
      </c>
      <c r="AA212" s="287">
        <f t="shared" si="168"/>
        <v>1746.44</v>
      </c>
      <c r="AB212" s="287">
        <f t="shared" si="160"/>
        <v>526.16000000000008</v>
      </c>
      <c r="AC212" s="287">
        <f t="shared" si="169"/>
        <v>1220.28</v>
      </c>
      <c r="AD212" s="287">
        <f t="shared" si="146"/>
        <v>134.16999999999999</v>
      </c>
      <c r="AE212" s="287">
        <f t="shared" si="147"/>
        <v>188.55</v>
      </c>
      <c r="AF212" s="287">
        <f t="shared" si="161"/>
        <v>2069.1600000000003</v>
      </c>
      <c r="AG212" s="287">
        <f t="shared" si="162"/>
        <v>67283.530000000028</v>
      </c>
      <c r="AH212" s="287">
        <f t="shared" si="163"/>
        <v>169850.22999999998</v>
      </c>
      <c r="AI212" s="530">
        <f t="shared" si="148"/>
        <v>-509.67999999999483</v>
      </c>
      <c r="AJ212" s="530">
        <f t="shared" si="137"/>
        <v>-24743.869999999995</v>
      </c>
      <c r="AK212" s="530">
        <f t="shared" si="149"/>
        <v>-25253.549999999988</v>
      </c>
      <c r="AL212" s="287">
        <f t="shared" si="164"/>
        <v>208665.26999999996</v>
      </c>
      <c r="AM212" s="428">
        <f t="shared" si="175"/>
        <v>12</v>
      </c>
      <c r="AN212" s="14">
        <f t="shared" si="150"/>
        <v>749.98</v>
      </c>
      <c r="AO212" s="14">
        <f t="shared" si="138"/>
        <v>124719.88999999996</v>
      </c>
      <c r="AP212" s="14">
        <f t="shared" si="151"/>
        <v>959.90000000000009</v>
      </c>
      <c r="AS212" s="14">
        <f t="shared" si="170"/>
        <v>749.98</v>
      </c>
      <c r="AT212" s="14">
        <f t="shared" si="176"/>
        <v>115016.35999999986</v>
      </c>
      <c r="AU212" s="287">
        <f t="shared" si="177"/>
        <v>1482.8907771001557</v>
      </c>
      <c r="AV212" s="287">
        <f t="shared" si="178"/>
        <v>215400.1239071468</v>
      </c>
    </row>
    <row r="213" spans="1:48" x14ac:dyDescent="0.25">
      <c r="A213" s="519">
        <f t="shared" si="152"/>
        <v>50349</v>
      </c>
      <c r="B213" s="287">
        <f t="shared" si="171"/>
        <v>104666.70999999992</v>
      </c>
      <c r="C213" s="14">
        <f t="shared" si="165"/>
        <v>786.54</v>
      </c>
      <c r="D213" s="14">
        <f t="shared" si="179"/>
        <v>524.86999999999989</v>
      </c>
      <c r="E213" s="14">
        <f t="shared" si="166"/>
        <v>261.67</v>
      </c>
      <c r="F213" s="14">
        <f t="shared" si="142"/>
        <v>134.16999999999999</v>
      </c>
      <c r="G213" s="14">
        <f t="shared" si="140"/>
        <v>188.55</v>
      </c>
      <c r="H213" s="14">
        <f t="shared" si="141"/>
        <v>1109.26</v>
      </c>
      <c r="I213" s="287">
        <f t="shared" si="153"/>
        <v>82882.559999999969</v>
      </c>
      <c r="J213" s="287">
        <f t="shared" si="154"/>
        <v>74105.299999999988</v>
      </c>
      <c r="K213" s="287">
        <f t="shared" si="155"/>
        <v>104141.83999999992</v>
      </c>
      <c r="L213" s="428">
        <f t="shared" si="139"/>
        <v>12</v>
      </c>
      <c r="M213" s="428">
        <f t="shared" si="172"/>
        <v>154</v>
      </c>
      <c r="N213" s="287">
        <f t="shared" si="173"/>
        <v>183921.39999999997</v>
      </c>
      <c r="O213" s="287">
        <f t="shared" si="156"/>
        <v>1536.52</v>
      </c>
      <c r="P213" s="287">
        <f t="shared" si="180"/>
        <v>463.65000000000009</v>
      </c>
      <c r="Q213" s="287">
        <f t="shared" si="157"/>
        <v>1072.8699999999999</v>
      </c>
      <c r="R213" s="287">
        <f t="shared" si="144"/>
        <v>134.16999999999999</v>
      </c>
      <c r="S213" s="287">
        <f t="shared" si="145"/>
        <v>188.55</v>
      </c>
      <c r="T213" s="287">
        <f t="shared" si="143"/>
        <v>1859.24</v>
      </c>
      <c r="U213" s="287">
        <f t="shared" si="181"/>
        <v>47492.250000000007</v>
      </c>
      <c r="V213" s="287">
        <f t="shared" si="182"/>
        <v>190668.34999999998</v>
      </c>
      <c r="W213" s="287">
        <f t="shared" si="158"/>
        <v>183457.74999999997</v>
      </c>
      <c r="X213" s="519">
        <f t="shared" si="174"/>
        <v>50349</v>
      </c>
      <c r="Y213" s="287">
        <f t="shared" si="159"/>
        <v>208665.26999999996</v>
      </c>
      <c r="Z213" s="511">
        <f t="shared" si="167"/>
        <v>7.0000000000000007E-2</v>
      </c>
      <c r="AA213" s="287">
        <f t="shared" si="168"/>
        <v>1746.44</v>
      </c>
      <c r="AB213" s="287">
        <f t="shared" si="160"/>
        <v>529.23</v>
      </c>
      <c r="AC213" s="287">
        <f t="shared" si="169"/>
        <v>1217.21</v>
      </c>
      <c r="AD213" s="287">
        <f t="shared" si="146"/>
        <v>134.16999999999999</v>
      </c>
      <c r="AE213" s="287">
        <f t="shared" si="147"/>
        <v>188.55</v>
      </c>
      <c r="AF213" s="287">
        <f t="shared" si="161"/>
        <v>2069.1600000000003</v>
      </c>
      <c r="AG213" s="287">
        <f t="shared" si="162"/>
        <v>67812.760000000024</v>
      </c>
      <c r="AH213" s="287">
        <f t="shared" si="163"/>
        <v>171067.43999999997</v>
      </c>
      <c r="AI213" s="530">
        <f t="shared" si="148"/>
        <v>-719.59999999999491</v>
      </c>
      <c r="AJ213" s="530">
        <f t="shared" si="137"/>
        <v>-24678.289999999979</v>
      </c>
      <c r="AK213" s="530">
        <f t="shared" si="149"/>
        <v>-25397.889999999974</v>
      </c>
      <c r="AL213" s="287">
        <f t="shared" si="164"/>
        <v>208136.03999999995</v>
      </c>
      <c r="AM213" s="428">
        <f t="shared" si="175"/>
        <v>12</v>
      </c>
      <c r="AN213" s="14">
        <f t="shared" si="150"/>
        <v>749.98</v>
      </c>
      <c r="AO213" s="14">
        <f t="shared" si="138"/>
        <v>124781.10999999996</v>
      </c>
      <c r="AP213" s="14">
        <f t="shared" si="151"/>
        <v>959.90000000000009</v>
      </c>
      <c r="AS213" s="14">
        <f t="shared" si="170"/>
        <v>749.98</v>
      </c>
      <c r="AT213" s="14">
        <f t="shared" si="176"/>
        <v>115766.33999999985</v>
      </c>
      <c r="AU213" s="287">
        <f t="shared" si="177"/>
        <v>1487.8337463571561</v>
      </c>
      <c r="AV213" s="287">
        <f t="shared" si="178"/>
        <v>216887.95765350395</v>
      </c>
    </row>
    <row r="214" spans="1:48" x14ac:dyDescent="0.25">
      <c r="A214" s="519">
        <f t="shared" si="152"/>
        <v>50379</v>
      </c>
      <c r="B214" s="287">
        <f t="shared" si="171"/>
        <v>104141.83999999992</v>
      </c>
      <c r="C214" s="14">
        <f t="shared" si="165"/>
        <v>786.54</v>
      </c>
      <c r="D214" s="14">
        <f t="shared" si="179"/>
        <v>526.18999999999994</v>
      </c>
      <c r="E214" s="14">
        <f t="shared" si="166"/>
        <v>260.35000000000002</v>
      </c>
      <c r="F214" s="14">
        <f t="shared" si="142"/>
        <v>134.16999999999999</v>
      </c>
      <c r="G214" s="14">
        <f t="shared" si="140"/>
        <v>188.55</v>
      </c>
      <c r="H214" s="14">
        <f t="shared" si="141"/>
        <v>1109.26</v>
      </c>
      <c r="I214" s="287">
        <f t="shared" si="153"/>
        <v>83408.749999999971</v>
      </c>
      <c r="J214" s="287">
        <f t="shared" si="154"/>
        <v>74365.649999999994</v>
      </c>
      <c r="K214" s="287">
        <f t="shared" si="155"/>
        <v>103615.64999999992</v>
      </c>
      <c r="L214" s="428">
        <f t="shared" si="139"/>
        <v>12</v>
      </c>
      <c r="M214" s="428">
        <f t="shared" si="172"/>
        <v>155</v>
      </c>
      <c r="N214" s="287">
        <f t="shared" si="173"/>
        <v>183457.74999999997</v>
      </c>
      <c r="O214" s="287">
        <f t="shared" si="156"/>
        <v>1536.52</v>
      </c>
      <c r="P214" s="287">
        <f t="shared" si="180"/>
        <v>466.34999999999991</v>
      </c>
      <c r="Q214" s="287">
        <f t="shared" si="157"/>
        <v>1070.17</v>
      </c>
      <c r="R214" s="287">
        <f t="shared" si="144"/>
        <v>134.16999999999999</v>
      </c>
      <c r="S214" s="287">
        <f t="shared" si="145"/>
        <v>188.55</v>
      </c>
      <c r="T214" s="287">
        <f t="shared" si="143"/>
        <v>1859.24</v>
      </c>
      <c r="U214" s="287">
        <f t="shared" si="181"/>
        <v>47958.600000000006</v>
      </c>
      <c r="V214" s="287">
        <f t="shared" si="182"/>
        <v>191738.52</v>
      </c>
      <c r="W214" s="287">
        <f t="shared" si="158"/>
        <v>182991.39999999997</v>
      </c>
      <c r="X214" s="519">
        <f t="shared" si="174"/>
        <v>50379</v>
      </c>
      <c r="Y214" s="287">
        <f t="shared" si="159"/>
        <v>208136.03999999995</v>
      </c>
      <c r="Z214" s="511">
        <f t="shared" si="167"/>
        <v>7.0000000000000007E-2</v>
      </c>
      <c r="AA214" s="287">
        <f t="shared" si="168"/>
        <v>1746.44</v>
      </c>
      <c r="AB214" s="287">
        <f t="shared" si="160"/>
        <v>532.30999999999995</v>
      </c>
      <c r="AC214" s="287">
        <f t="shared" si="169"/>
        <v>1214.1300000000001</v>
      </c>
      <c r="AD214" s="287">
        <f t="shared" si="146"/>
        <v>134.16999999999999</v>
      </c>
      <c r="AE214" s="287">
        <f t="shared" si="147"/>
        <v>188.55</v>
      </c>
      <c r="AF214" s="287">
        <f t="shared" si="161"/>
        <v>2069.1600000000003</v>
      </c>
      <c r="AG214" s="287">
        <f t="shared" si="162"/>
        <v>68345.070000000022</v>
      </c>
      <c r="AH214" s="287">
        <f t="shared" si="163"/>
        <v>172281.56999999998</v>
      </c>
      <c r="AI214" s="530">
        <f t="shared" si="148"/>
        <v>-929.51999999999498</v>
      </c>
      <c r="AJ214" s="530">
        <f t="shared" si="137"/>
        <v>-24612.329999999987</v>
      </c>
      <c r="AK214" s="530">
        <f t="shared" si="149"/>
        <v>-25541.849999999984</v>
      </c>
      <c r="AL214" s="287">
        <f t="shared" si="164"/>
        <v>207603.72999999995</v>
      </c>
      <c r="AM214" s="428">
        <f t="shared" si="175"/>
        <v>12</v>
      </c>
      <c r="AN214" s="14">
        <f t="shared" si="150"/>
        <v>749.98</v>
      </c>
      <c r="AO214" s="14">
        <f t="shared" si="138"/>
        <v>124840.94999999995</v>
      </c>
      <c r="AP214" s="14">
        <f t="shared" si="151"/>
        <v>959.90000000000009</v>
      </c>
      <c r="AS214" s="14">
        <f t="shared" si="170"/>
        <v>749.98</v>
      </c>
      <c r="AT214" s="14">
        <f t="shared" si="176"/>
        <v>116516.31999999985</v>
      </c>
      <c r="AU214" s="287">
        <f t="shared" si="177"/>
        <v>1492.7931921783465</v>
      </c>
      <c r="AV214" s="287">
        <f t="shared" si="178"/>
        <v>218380.75084568231</v>
      </c>
    </row>
    <row r="215" spans="1:48" x14ac:dyDescent="0.25">
      <c r="A215" s="519">
        <f t="shared" si="152"/>
        <v>50409</v>
      </c>
      <c r="B215" s="287">
        <f t="shared" si="171"/>
        <v>103615.64999999992</v>
      </c>
      <c r="C215" s="14">
        <f t="shared" si="165"/>
        <v>786.54</v>
      </c>
      <c r="D215" s="14">
        <f t="shared" si="179"/>
        <v>527.5</v>
      </c>
      <c r="E215" s="14">
        <f t="shared" si="166"/>
        <v>259.04000000000002</v>
      </c>
      <c r="F215" s="14">
        <f t="shared" si="142"/>
        <v>134.16999999999999</v>
      </c>
      <c r="G215" s="14">
        <f t="shared" si="140"/>
        <v>188.55</v>
      </c>
      <c r="H215" s="14">
        <f t="shared" si="141"/>
        <v>1109.26</v>
      </c>
      <c r="I215" s="287">
        <f t="shared" si="153"/>
        <v>83936.249999999971</v>
      </c>
      <c r="J215" s="287">
        <f t="shared" si="154"/>
        <v>74624.689999999988</v>
      </c>
      <c r="K215" s="287">
        <f t="shared" si="155"/>
        <v>103088.14999999992</v>
      </c>
      <c r="L215" s="428">
        <f t="shared" si="139"/>
        <v>13</v>
      </c>
      <c r="M215" s="428">
        <f t="shared" si="172"/>
        <v>156</v>
      </c>
      <c r="N215" s="287">
        <f t="shared" si="173"/>
        <v>182991.39999999997</v>
      </c>
      <c r="O215" s="287">
        <f t="shared" si="156"/>
        <v>1536.52</v>
      </c>
      <c r="P215" s="287">
        <f t="shared" si="180"/>
        <v>469.06999999999994</v>
      </c>
      <c r="Q215" s="287">
        <f t="shared" si="157"/>
        <v>1067.45</v>
      </c>
      <c r="R215" s="287">
        <f t="shared" si="144"/>
        <v>134.16999999999999</v>
      </c>
      <c r="S215" s="287">
        <f t="shared" si="145"/>
        <v>188.55</v>
      </c>
      <c r="T215" s="287">
        <f t="shared" si="143"/>
        <v>1859.24</v>
      </c>
      <c r="U215" s="287">
        <f t="shared" si="181"/>
        <v>48427.670000000006</v>
      </c>
      <c r="V215" s="287">
        <f t="shared" si="182"/>
        <v>192805.97</v>
      </c>
      <c r="W215" s="287">
        <f t="shared" si="158"/>
        <v>182522.32999999996</v>
      </c>
      <c r="X215" s="519">
        <f t="shared" si="174"/>
        <v>50409</v>
      </c>
      <c r="Y215" s="287">
        <f t="shared" si="159"/>
        <v>207603.72999999995</v>
      </c>
      <c r="Z215" s="511">
        <f t="shared" si="167"/>
        <v>7.0000000000000007E-2</v>
      </c>
      <c r="AA215" s="287">
        <f t="shared" si="168"/>
        <v>1746.44</v>
      </c>
      <c r="AB215" s="287">
        <f t="shared" si="160"/>
        <v>535.42000000000007</v>
      </c>
      <c r="AC215" s="287">
        <f t="shared" si="169"/>
        <v>1211.02</v>
      </c>
      <c r="AD215" s="287">
        <f t="shared" si="146"/>
        <v>134.16999999999999</v>
      </c>
      <c r="AE215" s="287">
        <f t="shared" si="147"/>
        <v>188.55</v>
      </c>
      <c r="AF215" s="287">
        <f t="shared" si="161"/>
        <v>2069.1600000000003</v>
      </c>
      <c r="AG215" s="287">
        <f t="shared" si="162"/>
        <v>68880.49000000002</v>
      </c>
      <c r="AH215" s="287">
        <f t="shared" si="163"/>
        <v>173492.58999999997</v>
      </c>
      <c r="AI215" s="530">
        <f t="shared" si="148"/>
        <v>-1139.4399999999951</v>
      </c>
      <c r="AJ215" s="530">
        <f t="shared" si="137"/>
        <v>-24545.979999999981</v>
      </c>
      <c r="AK215" s="530">
        <f t="shared" si="149"/>
        <v>-25685.419999999976</v>
      </c>
      <c r="AL215" s="287">
        <f t="shared" si="164"/>
        <v>207068.30999999994</v>
      </c>
      <c r="AM215" s="428">
        <f t="shared" si="175"/>
        <v>13</v>
      </c>
      <c r="AN215" s="14">
        <f t="shared" si="150"/>
        <v>749.98</v>
      </c>
      <c r="AO215" s="14">
        <f t="shared" si="138"/>
        <v>124899.37999999995</v>
      </c>
      <c r="AP215" s="14">
        <f t="shared" si="151"/>
        <v>959.90000000000009</v>
      </c>
      <c r="AS215" s="14">
        <f t="shared" si="170"/>
        <v>749.98</v>
      </c>
      <c r="AT215" s="14">
        <f t="shared" si="176"/>
        <v>117266.29999999984</v>
      </c>
      <c r="AU215" s="287">
        <f t="shared" si="177"/>
        <v>1497.7691694856078</v>
      </c>
      <c r="AV215" s="287">
        <f t="shared" si="178"/>
        <v>219878.52001516792</v>
      </c>
    </row>
    <row r="216" spans="1:48" x14ac:dyDescent="0.25">
      <c r="A216" s="519">
        <f t="shared" si="152"/>
        <v>50439</v>
      </c>
      <c r="B216" s="287">
        <f t="shared" si="171"/>
        <v>103088.14999999992</v>
      </c>
      <c r="C216" s="14">
        <f t="shared" si="165"/>
        <v>786.54</v>
      </c>
      <c r="D216" s="14">
        <f t="shared" si="179"/>
        <v>528.81999999999994</v>
      </c>
      <c r="E216" s="14">
        <f t="shared" si="166"/>
        <v>257.72000000000003</v>
      </c>
      <c r="F216" s="14">
        <f t="shared" si="142"/>
        <v>134.16999999999999</v>
      </c>
      <c r="G216" s="14">
        <f t="shared" si="140"/>
        <v>188.55</v>
      </c>
      <c r="H216" s="14">
        <f t="shared" si="141"/>
        <v>1109.26</v>
      </c>
      <c r="I216" s="287">
        <f t="shared" si="153"/>
        <v>84465.069999999978</v>
      </c>
      <c r="J216" s="287">
        <f t="shared" si="154"/>
        <v>74882.409999999989</v>
      </c>
      <c r="K216" s="287">
        <f t="shared" si="155"/>
        <v>102559.32999999991</v>
      </c>
      <c r="L216" s="428">
        <f t="shared" si="139"/>
        <v>13</v>
      </c>
      <c r="M216" s="428">
        <f t="shared" si="172"/>
        <v>157</v>
      </c>
      <c r="N216" s="287">
        <f t="shared" si="173"/>
        <v>182522.32999999996</v>
      </c>
      <c r="O216" s="287">
        <f t="shared" si="156"/>
        <v>1536.52</v>
      </c>
      <c r="P216" s="287">
        <f t="shared" si="180"/>
        <v>471.80999999999995</v>
      </c>
      <c r="Q216" s="287">
        <f t="shared" si="157"/>
        <v>1064.71</v>
      </c>
      <c r="R216" s="287">
        <f t="shared" si="144"/>
        <v>134.16999999999999</v>
      </c>
      <c r="S216" s="287">
        <f t="shared" si="145"/>
        <v>188.55</v>
      </c>
      <c r="T216" s="287">
        <f t="shared" si="143"/>
        <v>1859.24</v>
      </c>
      <c r="U216" s="287">
        <f t="shared" si="181"/>
        <v>48899.48</v>
      </c>
      <c r="V216" s="287">
        <f t="shared" si="182"/>
        <v>193870.68</v>
      </c>
      <c r="W216" s="287">
        <f t="shared" si="158"/>
        <v>182050.51999999996</v>
      </c>
      <c r="X216" s="519">
        <f t="shared" si="174"/>
        <v>50439</v>
      </c>
      <c r="Y216" s="287">
        <f t="shared" si="159"/>
        <v>207068.30999999994</v>
      </c>
      <c r="Z216" s="511">
        <f t="shared" si="167"/>
        <v>7.0000000000000007E-2</v>
      </c>
      <c r="AA216" s="287">
        <f t="shared" si="168"/>
        <v>1746.44</v>
      </c>
      <c r="AB216" s="287">
        <f t="shared" si="160"/>
        <v>538.54</v>
      </c>
      <c r="AC216" s="287">
        <f t="shared" si="169"/>
        <v>1207.9000000000001</v>
      </c>
      <c r="AD216" s="287">
        <f t="shared" si="146"/>
        <v>134.16999999999999</v>
      </c>
      <c r="AE216" s="287">
        <f t="shared" si="147"/>
        <v>188.55</v>
      </c>
      <c r="AF216" s="287">
        <f t="shared" si="161"/>
        <v>2069.1600000000003</v>
      </c>
      <c r="AG216" s="287">
        <f t="shared" si="162"/>
        <v>69419.030000000013</v>
      </c>
      <c r="AH216" s="287">
        <f t="shared" si="163"/>
        <v>174700.48999999996</v>
      </c>
      <c r="AI216" s="530">
        <f t="shared" si="148"/>
        <v>-1349.3599999999951</v>
      </c>
      <c r="AJ216" s="530">
        <f t="shared" si="137"/>
        <v>-24479.249999999971</v>
      </c>
      <c r="AK216" s="530">
        <f t="shared" si="149"/>
        <v>-25828.609999999964</v>
      </c>
      <c r="AL216" s="287">
        <f t="shared" si="164"/>
        <v>206529.76999999993</v>
      </c>
      <c r="AM216" s="428">
        <f t="shared" si="175"/>
        <v>13</v>
      </c>
      <c r="AN216" s="14">
        <f t="shared" si="150"/>
        <v>749.98</v>
      </c>
      <c r="AO216" s="14">
        <f t="shared" si="138"/>
        <v>124956.38999999996</v>
      </c>
      <c r="AP216" s="14">
        <f t="shared" si="151"/>
        <v>959.90000000000009</v>
      </c>
      <c r="AS216" s="14">
        <f t="shared" si="170"/>
        <v>749.98</v>
      </c>
      <c r="AT216" s="14">
        <f t="shared" si="176"/>
        <v>118016.27999999984</v>
      </c>
      <c r="AU216" s="287">
        <f t="shared" si="177"/>
        <v>1502.7617333838932</v>
      </c>
      <c r="AV216" s="287">
        <f t="shared" si="178"/>
        <v>221381.28174855182</v>
      </c>
    </row>
    <row r="217" spans="1:48" x14ac:dyDescent="0.25">
      <c r="A217" s="519">
        <f t="shared" si="152"/>
        <v>50469</v>
      </c>
      <c r="B217" s="287">
        <f t="shared" si="171"/>
        <v>102559.32999999991</v>
      </c>
      <c r="C217" s="14">
        <f t="shared" si="165"/>
        <v>786.54</v>
      </c>
      <c r="D217" s="14">
        <f t="shared" si="179"/>
        <v>530.14</v>
      </c>
      <c r="E217" s="14">
        <f t="shared" si="166"/>
        <v>256.39999999999998</v>
      </c>
      <c r="F217" s="14">
        <f t="shared" si="142"/>
        <v>134.16999999999999</v>
      </c>
      <c r="G217" s="14">
        <f t="shared" si="140"/>
        <v>188.55</v>
      </c>
      <c r="H217" s="14">
        <f t="shared" si="141"/>
        <v>1109.26</v>
      </c>
      <c r="I217" s="287">
        <f t="shared" si="153"/>
        <v>84995.209999999977</v>
      </c>
      <c r="J217" s="287">
        <f t="shared" si="154"/>
        <v>75138.809999999983</v>
      </c>
      <c r="K217" s="287">
        <f t="shared" si="155"/>
        <v>102029.18999999992</v>
      </c>
      <c r="L217" s="428">
        <f t="shared" si="139"/>
        <v>13</v>
      </c>
      <c r="M217" s="428">
        <f t="shared" si="172"/>
        <v>158</v>
      </c>
      <c r="N217" s="287">
        <f t="shared" si="173"/>
        <v>182050.51999999996</v>
      </c>
      <c r="O217" s="287">
        <f t="shared" si="156"/>
        <v>1536.52</v>
      </c>
      <c r="P217" s="287">
        <f t="shared" si="180"/>
        <v>474.55999999999995</v>
      </c>
      <c r="Q217" s="287">
        <f t="shared" si="157"/>
        <v>1061.96</v>
      </c>
      <c r="R217" s="287">
        <f t="shared" si="144"/>
        <v>134.16999999999999</v>
      </c>
      <c r="S217" s="287">
        <f t="shared" si="145"/>
        <v>188.55</v>
      </c>
      <c r="T217" s="287">
        <f t="shared" si="143"/>
        <v>1859.24</v>
      </c>
      <c r="U217" s="287">
        <f t="shared" si="181"/>
        <v>49374.04</v>
      </c>
      <c r="V217" s="287">
        <f t="shared" si="182"/>
        <v>194932.63999999998</v>
      </c>
      <c r="W217" s="287">
        <f t="shared" si="158"/>
        <v>181575.95999999996</v>
      </c>
      <c r="X217" s="519">
        <f t="shared" si="174"/>
        <v>50469</v>
      </c>
      <c r="Y217" s="287">
        <f t="shared" si="159"/>
        <v>206529.76999999993</v>
      </c>
      <c r="Z217" s="511">
        <f t="shared" si="167"/>
        <v>7.0000000000000007E-2</v>
      </c>
      <c r="AA217" s="287">
        <f t="shared" si="168"/>
        <v>1746.44</v>
      </c>
      <c r="AB217" s="287">
        <f t="shared" si="160"/>
        <v>541.68000000000006</v>
      </c>
      <c r="AC217" s="287">
        <f t="shared" si="169"/>
        <v>1204.76</v>
      </c>
      <c r="AD217" s="287">
        <f t="shared" si="146"/>
        <v>134.16999999999999</v>
      </c>
      <c r="AE217" s="287">
        <f t="shared" si="147"/>
        <v>188.55</v>
      </c>
      <c r="AF217" s="287">
        <f t="shared" si="161"/>
        <v>2069.1600000000003</v>
      </c>
      <c r="AG217" s="287">
        <f t="shared" si="162"/>
        <v>69960.710000000006</v>
      </c>
      <c r="AH217" s="287">
        <f t="shared" si="163"/>
        <v>175905.24999999997</v>
      </c>
      <c r="AI217" s="530">
        <f t="shared" si="148"/>
        <v>-1559.2799999999952</v>
      </c>
      <c r="AJ217" s="530">
        <f t="shared" si="137"/>
        <v>-24412.129999999976</v>
      </c>
      <c r="AK217" s="530">
        <f t="shared" si="149"/>
        <v>-25971.409999999971</v>
      </c>
      <c r="AL217" s="287">
        <f t="shared" si="164"/>
        <v>205988.08999999994</v>
      </c>
      <c r="AM217" s="428">
        <f t="shared" si="175"/>
        <v>13</v>
      </c>
      <c r="AN217" s="14">
        <f t="shared" si="150"/>
        <v>749.98</v>
      </c>
      <c r="AO217" s="14">
        <f t="shared" si="138"/>
        <v>125011.96999999994</v>
      </c>
      <c r="AP217" s="14">
        <f t="shared" si="151"/>
        <v>959.90000000000009</v>
      </c>
      <c r="AS217" s="14">
        <f t="shared" si="170"/>
        <v>749.98</v>
      </c>
      <c r="AT217" s="14">
        <f t="shared" si="176"/>
        <v>118766.25999999983</v>
      </c>
      <c r="AU217" s="287">
        <f t="shared" si="177"/>
        <v>1507.7709391618394</v>
      </c>
      <c r="AV217" s="287">
        <f t="shared" si="178"/>
        <v>222889.05268771364</v>
      </c>
    </row>
    <row r="218" spans="1:48" ht="15.75" thickBot="1" x14ac:dyDescent="0.3">
      <c r="A218" s="522">
        <f t="shared" si="152"/>
        <v>50499</v>
      </c>
      <c r="B218" s="348">
        <f t="shared" si="171"/>
        <v>102029.18999999992</v>
      </c>
      <c r="C218" s="21">
        <f t="shared" si="165"/>
        <v>786.54</v>
      </c>
      <c r="D218" s="21">
        <f t="shared" si="179"/>
        <v>531.47</v>
      </c>
      <c r="E218" s="21">
        <f t="shared" si="166"/>
        <v>255.07</v>
      </c>
      <c r="F218" s="21">
        <f t="shared" si="142"/>
        <v>134.16999999999999</v>
      </c>
      <c r="G218" s="21">
        <f t="shared" si="140"/>
        <v>188.55</v>
      </c>
      <c r="H218" s="21">
        <f t="shared" si="141"/>
        <v>1109.26</v>
      </c>
      <c r="I218" s="348">
        <f t="shared" si="153"/>
        <v>85526.679999999978</v>
      </c>
      <c r="J218" s="348">
        <f t="shared" si="154"/>
        <v>75393.87999999999</v>
      </c>
      <c r="K218" s="348">
        <f t="shared" si="155"/>
        <v>101497.71999999991</v>
      </c>
      <c r="L218" s="429">
        <f t="shared" si="139"/>
        <v>13</v>
      </c>
      <c r="M218" s="429">
        <f t="shared" si="172"/>
        <v>159</v>
      </c>
      <c r="N218" s="348">
        <f t="shared" si="173"/>
        <v>181575.95999999996</v>
      </c>
      <c r="O218" s="348">
        <f t="shared" si="156"/>
        <v>1536.52</v>
      </c>
      <c r="P218" s="348">
        <f t="shared" si="180"/>
        <v>477.32999999999993</v>
      </c>
      <c r="Q218" s="348">
        <f t="shared" si="157"/>
        <v>1059.19</v>
      </c>
      <c r="R218" s="348">
        <f t="shared" si="144"/>
        <v>134.16999999999999</v>
      </c>
      <c r="S218" s="348">
        <f t="shared" si="145"/>
        <v>188.55</v>
      </c>
      <c r="T218" s="348">
        <f t="shared" si="143"/>
        <v>1859.24</v>
      </c>
      <c r="U218" s="348">
        <f t="shared" si="181"/>
        <v>49851.37</v>
      </c>
      <c r="V218" s="348">
        <f t="shared" si="182"/>
        <v>195991.83</v>
      </c>
      <c r="W218" s="348">
        <f t="shared" si="158"/>
        <v>181098.62999999998</v>
      </c>
      <c r="X218" s="522">
        <f t="shared" si="174"/>
        <v>50499</v>
      </c>
      <c r="Y218" s="348">
        <f t="shared" si="159"/>
        <v>205988.08999999994</v>
      </c>
      <c r="Z218" s="512">
        <f t="shared" si="167"/>
        <v>7.0000000000000007E-2</v>
      </c>
      <c r="AA218" s="348">
        <f t="shared" si="168"/>
        <v>1746.44</v>
      </c>
      <c r="AB218" s="348">
        <f t="shared" si="160"/>
        <v>544.84000000000015</v>
      </c>
      <c r="AC218" s="348">
        <f t="shared" si="169"/>
        <v>1201.5999999999999</v>
      </c>
      <c r="AD218" s="348">
        <f t="shared" si="146"/>
        <v>134.16999999999999</v>
      </c>
      <c r="AE218" s="348">
        <f t="shared" si="147"/>
        <v>188.55</v>
      </c>
      <c r="AF218" s="348">
        <f t="shared" si="161"/>
        <v>2069.1600000000003</v>
      </c>
      <c r="AG218" s="348">
        <f t="shared" si="162"/>
        <v>70505.55</v>
      </c>
      <c r="AH218" s="348">
        <f t="shared" si="163"/>
        <v>177106.84999999998</v>
      </c>
      <c r="AI218" s="531">
        <f t="shared" si="148"/>
        <v>-1769.1999999999953</v>
      </c>
      <c r="AJ218" s="531">
        <f t="shared" si="137"/>
        <v>-24344.619999999966</v>
      </c>
      <c r="AK218" s="530">
        <f t="shared" si="149"/>
        <v>-26113.819999999963</v>
      </c>
      <c r="AL218" s="348">
        <f t="shared" si="164"/>
        <v>205443.24999999994</v>
      </c>
      <c r="AM218" s="429">
        <f t="shared" si="175"/>
        <v>13</v>
      </c>
      <c r="AN218" s="21">
        <f t="shared" si="150"/>
        <v>749.98</v>
      </c>
      <c r="AO218" s="21">
        <f t="shared" si="138"/>
        <v>125066.10999999999</v>
      </c>
      <c r="AP218" s="21">
        <f t="shared" si="151"/>
        <v>959.90000000000009</v>
      </c>
      <c r="AQ218" s="21"/>
      <c r="AR218" s="23"/>
      <c r="AS218" s="21">
        <f t="shared" si="170"/>
        <v>749.98</v>
      </c>
      <c r="AT218" s="21">
        <f t="shared" si="176"/>
        <v>119516.23999999983</v>
      </c>
      <c r="AU218" s="348">
        <f t="shared" si="177"/>
        <v>1512.7968422923789</v>
      </c>
      <c r="AV218" s="348">
        <f t="shared" si="178"/>
        <v>224401.84953000603</v>
      </c>
    </row>
    <row r="219" spans="1:48" x14ac:dyDescent="0.25">
      <c r="A219" s="519">
        <f t="shared" si="152"/>
        <v>50529</v>
      </c>
      <c r="B219" s="287">
        <f t="shared" si="171"/>
        <v>101497.71999999991</v>
      </c>
      <c r="C219" s="14">
        <f t="shared" si="165"/>
        <v>786.54</v>
      </c>
      <c r="D219" s="14">
        <f t="shared" si="179"/>
        <v>532.79999999999995</v>
      </c>
      <c r="E219" s="14">
        <f t="shared" si="166"/>
        <v>253.74</v>
      </c>
      <c r="F219" s="14">
        <f t="shared" si="142"/>
        <v>134.16999999999999</v>
      </c>
      <c r="G219" s="14">
        <f t="shared" si="140"/>
        <v>188.55</v>
      </c>
      <c r="H219" s="14">
        <f t="shared" si="141"/>
        <v>1109.26</v>
      </c>
      <c r="I219" s="287">
        <f t="shared" si="153"/>
        <v>86059.479999999981</v>
      </c>
      <c r="J219" s="287">
        <f t="shared" si="154"/>
        <v>75647.62</v>
      </c>
      <c r="K219" s="287">
        <f t="shared" si="155"/>
        <v>100964.91999999991</v>
      </c>
      <c r="L219" s="428">
        <f t="shared" si="139"/>
        <v>13</v>
      </c>
      <c r="M219" s="428">
        <f t="shared" si="172"/>
        <v>160</v>
      </c>
      <c r="N219" s="287">
        <f t="shared" si="173"/>
        <v>181098.62999999998</v>
      </c>
      <c r="O219" s="287">
        <f t="shared" si="156"/>
        <v>1536.52</v>
      </c>
      <c r="P219" s="287">
        <f t="shared" si="180"/>
        <v>480.1099999999999</v>
      </c>
      <c r="Q219" s="287">
        <f t="shared" si="157"/>
        <v>1056.4100000000001</v>
      </c>
      <c r="R219" s="287">
        <f t="shared" si="144"/>
        <v>134.16999999999999</v>
      </c>
      <c r="S219" s="287">
        <f t="shared" si="145"/>
        <v>188.55</v>
      </c>
      <c r="T219" s="287">
        <f t="shared" si="143"/>
        <v>1859.24</v>
      </c>
      <c r="U219" s="287">
        <f t="shared" si="181"/>
        <v>50331.48</v>
      </c>
      <c r="V219" s="287">
        <f t="shared" si="182"/>
        <v>197048.24</v>
      </c>
      <c r="W219" s="287">
        <f t="shared" si="158"/>
        <v>180618.52</v>
      </c>
      <c r="X219" s="519">
        <f t="shared" si="174"/>
        <v>50529</v>
      </c>
      <c r="Y219" s="287">
        <f t="shared" si="159"/>
        <v>205443.24999999994</v>
      </c>
      <c r="Z219" s="511">
        <f t="shared" si="167"/>
        <v>7.0000000000000007E-2</v>
      </c>
      <c r="AA219" s="287">
        <f t="shared" si="168"/>
        <v>1746.44</v>
      </c>
      <c r="AB219" s="287">
        <f t="shared" si="160"/>
        <v>548.02</v>
      </c>
      <c r="AC219" s="287">
        <f t="shared" si="169"/>
        <v>1198.42</v>
      </c>
      <c r="AD219" s="287">
        <f t="shared" si="146"/>
        <v>134.16999999999999</v>
      </c>
      <c r="AE219" s="287">
        <f t="shared" si="147"/>
        <v>188.55</v>
      </c>
      <c r="AF219" s="287">
        <f t="shared" si="161"/>
        <v>2069.1600000000003</v>
      </c>
      <c r="AG219" s="287">
        <f t="shared" si="162"/>
        <v>71053.570000000007</v>
      </c>
      <c r="AH219" s="287">
        <f t="shared" si="163"/>
        <v>178305.27</v>
      </c>
      <c r="AI219" s="530">
        <f t="shared" si="148"/>
        <v>-1979.1199999999953</v>
      </c>
      <c r="AJ219" s="530">
        <f t="shared" ref="AJ219:AJ282" si="183">+W219-AL219</f>
        <v>-24276.709999999963</v>
      </c>
      <c r="AK219" s="530">
        <f t="shared" si="149"/>
        <v>-26255.829999999958</v>
      </c>
      <c r="AL219" s="287">
        <f t="shared" si="164"/>
        <v>204895.22999999995</v>
      </c>
      <c r="AM219" s="428">
        <f t="shared" si="175"/>
        <v>13</v>
      </c>
      <c r="AN219" s="14">
        <f t="shared" si="150"/>
        <v>749.98</v>
      </c>
      <c r="AO219" s="14">
        <f t="shared" si="138"/>
        <v>125118.79999999996</v>
      </c>
      <c r="AP219" s="14">
        <f t="shared" si="151"/>
        <v>959.90000000000009</v>
      </c>
      <c r="AS219" s="14">
        <f t="shared" si="170"/>
        <v>749.98</v>
      </c>
      <c r="AT219" s="14">
        <f t="shared" si="176"/>
        <v>120266.21999999983</v>
      </c>
      <c r="AU219" s="287">
        <f t="shared" si="177"/>
        <v>1517.8394984333536</v>
      </c>
      <c r="AV219" s="287">
        <f t="shared" si="178"/>
        <v>225919.68902843937</v>
      </c>
    </row>
    <row r="220" spans="1:48" x14ac:dyDescent="0.25">
      <c r="A220" s="519">
        <f t="shared" si="152"/>
        <v>50559</v>
      </c>
      <c r="B220" s="287">
        <f t="shared" si="171"/>
        <v>100964.91999999991</v>
      </c>
      <c r="C220" s="14">
        <f t="shared" si="165"/>
        <v>786.54</v>
      </c>
      <c r="D220" s="14">
        <f t="shared" si="179"/>
        <v>534.13</v>
      </c>
      <c r="E220" s="14">
        <f t="shared" si="166"/>
        <v>252.41</v>
      </c>
      <c r="F220" s="14">
        <f t="shared" si="142"/>
        <v>134.16999999999999</v>
      </c>
      <c r="G220" s="14">
        <f t="shared" si="140"/>
        <v>188.55</v>
      </c>
      <c r="H220" s="14">
        <f t="shared" si="141"/>
        <v>1109.26</v>
      </c>
      <c r="I220" s="287">
        <f t="shared" si="153"/>
        <v>86593.609999999986</v>
      </c>
      <c r="J220" s="287">
        <f t="shared" si="154"/>
        <v>75900.03</v>
      </c>
      <c r="K220" s="287">
        <f t="shared" si="155"/>
        <v>100430.78999999991</v>
      </c>
      <c r="L220" s="428">
        <f t="shared" si="139"/>
        <v>13</v>
      </c>
      <c r="M220" s="428">
        <f t="shared" si="172"/>
        <v>161</v>
      </c>
      <c r="N220" s="287">
        <f t="shared" si="173"/>
        <v>180618.52</v>
      </c>
      <c r="O220" s="287">
        <f t="shared" si="156"/>
        <v>1536.52</v>
      </c>
      <c r="P220" s="287">
        <f t="shared" si="180"/>
        <v>482.91000000000008</v>
      </c>
      <c r="Q220" s="287">
        <f t="shared" si="157"/>
        <v>1053.6099999999999</v>
      </c>
      <c r="R220" s="287">
        <f t="shared" si="144"/>
        <v>134.16999999999999</v>
      </c>
      <c r="S220" s="287">
        <f t="shared" si="145"/>
        <v>188.55</v>
      </c>
      <c r="T220" s="287">
        <f t="shared" si="143"/>
        <v>1859.24</v>
      </c>
      <c r="U220" s="287">
        <f t="shared" si="181"/>
        <v>50814.390000000007</v>
      </c>
      <c r="V220" s="287">
        <f t="shared" si="182"/>
        <v>198101.84999999998</v>
      </c>
      <c r="W220" s="287">
        <f t="shared" si="158"/>
        <v>180135.61</v>
      </c>
      <c r="X220" s="519">
        <f t="shared" si="174"/>
        <v>50559</v>
      </c>
      <c r="Y220" s="287">
        <f t="shared" si="159"/>
        <v>204895.22999999995</v>
      </c>
      <c r="Z220" s="511">
        <f t="shared" si="167"/>
        <v>7.0000000000000007E-2</v>
      </c>
      <c r="AA220" s="287">
        <f t="shared" si="168"/>
        <v>1746.44</v>
      </c>
      <c r="AB220" s="287">
        <f t="shared" si="160"/>
        <v>551.22</v>
      </c>
      <c r="AC220" s="287">
        <f t="shared" si="169"/>
        <v>1195.22</v>
      </c>
      <c r="AD220" s="287">
        <f t="shared" si="146"/>
        <v>134.16999999999999</v>
      </c>
      <c r="AE220" s="287">
        <f t="shared" si="147"/>
        <v>188.55</v>
      </c>
      <c r="AF220" s="287">
        <f t="shared" si="161"/>
        <v>2069.1600000000003</v>
      </c>
      <c r="AG220" s="287">
        <f t="shared" si="162"/>
        <v>71604.790000000008</v>
      </c>
      <c r="AH220" s="287">
        <f t="shared" si="163"/>
        <v>179500.49</v>
      </c>
      <c r="AI220" s="530">
        <f t="shared" si="148"/>
        <v>-2189.0399999999954</v>
      </c>
      <c r="AJ220" s="530">
        <f t="shared" si="183"/>
        <v>-24208.399999999965</v>
      </c>
      <c r="AK220" s="530">
        <f t="shared" si="149"/>
        <v>-26397.439999999959</v>
      </c>
      <c r="AL220" s="287">
        <f t="shared" si="164"/>
        <v>204344.00999999995</v>
      </c>
      <c r="AM220" s="428">
        <f t="shared" si="175"/>
        <v>13</v>
      </c>
      <c r="AN220" s="14">
        <f t="shared" si="150"/>
        <v>749.98</v>
      </c>
      <c r="AO220" s="14">
        <f t="shared" si="138"/>
        <v>125170.01999999996</v>
      </c>
      <c r="AP220" s="14">
        <f t="shared" si="151"/>
        <v>959.90000000000009</v>
      </c>
      <c r="AS220" s="14">
        <f t="shared" si="170"/>
        <v>749.98</v>
      </c>
      <c r="AT220" s="14">
        <f t="shared" si="176"/>
        <v>121016.19999999982</v>
      </c>
      <c r="AU220" s="287">
        <f t="shared" si="177"/>
        <v>1522.8989634281313</v>
      </c>
      <c r="AV220" s="287">
        <f t="shared" si="178"/>
        <v>227442.58799186751</v>
      </c>
    </row>
    <row r="221" spans="1:48" x14ac:dyDescent="0.25">
      <c r="A221" s="519">
        <f t="shared" si="152"/>
        <v>50589</v>
      </c>
      <c r="B221" s="287">
        <f t="shared" si="171"/>
        <v>100430.78999999991</v>
      </c>
      <c r="C221" s="14">
        <f t="shared" si="165"/>
        <v>786.54</v>
      </c>
      <c r="D221" s="14">
        <f t="shared" si="179"/>
        <v>535.45999999999992</v>
      </c>
      <c r="E221" s="14">
        <f t="shared" si="166"/>
        <v>251.08</v>
      </c>
      <c r="F221" s="14">
        <f t="shared" si="142"/>
        <v>134.16999999999999</v>
      </c>
      <c r="G221" s="14">
        <f t="shared" si="140"/>
        <v>188.55</v>
      </c>
      <c r="H221" s="14">
        <f t="shared" si="141"/>
        <v>1109.26</v>
      </c>
      <c r="I221" s="287">
        <f t="shared" si="153"/>
        <v>87129.069999999992</v>
      </c>
      <c r="J221" s="287">
        <f t="shared" si="154"/>
        <v>76151.11</v>
      </c>
      <c r="K221" s="287">
        <f t="shared" si="155"/>
        <v>99895.3299999999</v>
      </c>
      <c r="L221" s="428">
        <f t="shared" si="139"/>
        <v>13</v>
      </c>
      <c r="M221" s="428">
        <f t="shared" si="172"/>
        <v>162</v>
      </c>
      <c r="N221" s="287">
        <f t="shared" si="173"/>
        <v>180135.61</v>
      </c>
      <c r="O221" s="287">
        <f t="shared" si="156"/>
        <v>1536.52</v>
      </c>
      <c r="P221" s="287">
        <f t="shared" si="180"/>
        <v>485.73</v>
      </c>
      <c r="Q221" s="287">
        <f t="shared" si="157"/>
        <v>1050.79</v>
      </c>
      <c r="R221" s="287">
        <f t="shared" si="144"/>
        <v>134.16999999999999</v>
      </c>
      <c r="S221" s="287">
        <f t="shared" si="145"/>
        <v>188.55</v>
      </c>
      <c r="T221" s="287">
        <f t="shared" si="143"/>
        <v>1859.24</v>
      </c>
      <c r="U221" s="287">
        <f t="shared" si="181"/>
        <v>51300.12000000001</v>
      </c>
      <c r="V221" s="287">
        <f t="shared" si="182"/>
        <v>199152.63999999998</v>
      </c>
      <c r="W221" s="287">
        <f t="shared" si="158"/>
        <v>179649.87999999998</v>
      </c>
      <c r="X221" s="519">
        <f t="shared" si="174"/>
        <v>50589</v>
      </c>
      <c r="Y221" s="287">
        <f t="shared" si="159"/>
        <v>204344.00999999995</v>
      </c>
      <c r="Z221" s="511">
        <f t="shared" si="167"/>
        <v>7.0000000000000007E-2</v>
      </c>
      <c r="AA221" s="287">
        <f t="shared" si="168"/>
        <v>1746.44</v>
      </c>
      <c r="AB221" s="287">
        <f t="shared" si="160"/>
        <v>554.43000000000006</v>
      </c>
      <c r="AC221" s="287">
        <f t="shared" si="169"/>
        <v>1192.01</v>
      </c>
      <c r="AD221" s="287">
        <f t="shared" si="146"/>
        <v>134.16999999999999</v>
      </c>
      <c r="AE221" s="287">
        <f t="shared" si="147"/>
        <v>188.55</v>
      </c>
      <c r="AF221" s="287">
        <f t="shared" si="161"/>
        <v>2069.1600000000003</v>
      </c>
      <c r="AG221" s="287">
        <f t="shared" si="162"/>
        <v>72159.22</v>
      </c>
      <c r="AH221" s="287">
        <f t="shared" si="163"/>
        <v>180692.5</v>
      </c>
      <c r="AI221" s="530">
        <f t="shared" si="148"/>
        <v>-2398.9599999999955</v>
      </c>
      <c r="AJ221" s="530">
        <f t="shared" si="183"/>
        <v>-24139.699999999983</v>
      </c>
      <c r="AK221" s="530">
        <f t="shared" si="149"/>
        <v>-26538.659999999978</v>
      </c>
      <c r="AL221" s="287">
        <f t="shared" si="164"/>
        <v>203789.57999999996</v>
      </c>
      <c r="AM221" s="428">
        <f t="shared" si="175"/>
        <v>13</v>
      </c>
      <c r="AN221" s="14">
        <f t="shared" si="150"/>
        <v>749.98</v>
      </c>
      <c r="AO221" s="14">
        <f t="shared" si="138"/>
        <v>125219.74999999999</v>
      </c>
      <c r="AP221" s="14">
        <f t="shared" si="151"/>
        <v>959.90000000000009</v>
      </c>
      <c r="AS221" s="14">
        <f t="shared" si="170"/>
        <v>749.98</v>
      </c>
      <c r="AT221" s="14">
        <f t="shared" si="176"/>
        <v>121766.17999999982</v>
      </c>
      <c r="AU221" s="287">
        <f t="shared" si="177"/>
        <v>1527.9752933062252</v>
      </c>
      <c r="AV221" s="287">
        <f t="shared" si="178"/>
        <v>228970.56328517373</v>
      </c>
    </row>
    <row r="222" spans="1:48" x14ac:dyDescent="0.25">
      <c r="A222" s="519">
        <f t="shared" si="152"/>
        <v>50619</v>
      </c>
      <c r="B222" s="287">
        <f t="shared" si="171"/>
        <v>99895.3299999999</v>
      </c>
      <c r="C222" s="14">
        <f t="shared" si="165"/>
        <v>786.54</v>
      </c>
      <c r="D222" s="14">
        <f t="shared" si="179"/>
        <v>536.79999999999995</v>
      </c>
      <c r="E222" s="14">
        <f t="shared" si="166"/>
        <v>249.74</v>
      </c>
      <c r="F222" s="14">
        <f t="shared" si="142"/>
        <v>134.16999999999999</v>
      </c>
      <c r="G222" s="14">
        <f t="shared" si="140"/>
        <v>188.55</v>
      </c>
      <c r="H222" s="14">
        <f t="shared" si="141"/>
        <v>1109.26</v>
      </c>
      <c r="I222" s="287">
        <f t="shared" si="153"/>
        <v>87665.87</v>
      </c>
      <c r="J222" s="287">
        <f t="shared" si="154"/>
        <v>76400.850000000006</v>
      </c>
      <c r="K222" s="287">
        <f t="shared" si="155"/>
        <v>99358.529999999897</v>
      </c>
      <c r="L222" s="428">
        <f t="shared" si="139"/>
        <v>13</v>
      </c>
      <c r="M222" s="428">
        <f t="shared" si="172"/>
        <v>163</v>
      </c>
      <c r="N222" s="287">
        <f t="shared" si="173"/>
        <v>179649.87999999998</v>
      </c>
      <c r="O222" s="287">
        <f t="shared" si="156"/>
        <v>1536.52</v>
      </c>
      <c r="P222" s="287">
        <f t="shared" si="180"/>
        <v>488.55999999999995</v>
      </c>
      <c r="Q222" s="287">
        <f t="shared" si="157"/>
        <v>1047.96</v>
      </c>
      <c r="R222" s="287">
        <f t="shared" si="144"/>
        <v>134.16999999999999</v>
      </c>
      <c r="S222" s="287">
        <f t="shared" si="145"/>
        <v>188.55</v>
      </c>
      <c r="T222" s="287">
        <f t="shared" si="143"/>
        <v>1859.24</v>
      </c>
      <c r="U222" s="287">
        <f t="shared" si="181"/>
        <v>51788.680000000008</v>
      </c>
      <c r="V222" s="287">
        <f t="shared" si="182"/>
        <v>200200.59999999998</v>
      </c>
      <c r="W222" s="287">
        <f t="shared" si="158"/>
        <v>179161.31999999998</v>
      </c>
      <c r="X222" s="519">
        <f t="shared" si="174"/>
        <v>50619</v>
      </c>
      <c r="Y222" s="287">
        <f t="shared" si="159"/>
        <v>203789.57999999996</v>
      </c>
      <c r="Z222" s="511">
        <f t="shared" si="167"/>
        <v>7.0000000000000007E-2</v>
      </c>
      <c r="AA222" s="287">
        <f t="shared" si="168"/>
        <v>1746.44</v>
      </c>
      <c r="AB222" s="287">
        <f t="shared" si="160"/>
        <v>557.67000000000007</v>
      </c>
      <c r="AC222" s="287">
        <f t="shared" si="169"/>
        <v>1188.77</v>
      </c>
      <c r="AD222" s="287">
        <f t="shared" si="146"/>
        <v>134.16999999999999</v>
      </c>
      <c r="AE222" s="287">
        <f t="shared" si="147"/>
        <v>188.55</v>
      </c>
      <c r="AF222" s="287">
        <f t="shared" si="161"/>
        <v>2069.1600000000003</v>
      </c>
      <c r="AG222" s="287">
        <f t="shared" si="162"/>
        <v>72716.89</v>
      </c>
      <c r="AH222" s="287">
        <f t="shared" si="163"/>
        <v>181881.27</v>
      </c>
      <c r="AI222" s="530">
        <f t="shared" si="148"/>
        <v>-2608.8799999999956</v>
      </c>
      <c r="AJ222" s="530">
        <f t="shared" si="183"/>
        <v>-24070.589999999967</v>
      </c>
      <c r="AK222" s="530">
        <f t="shared" si="149"/>
        <v>-26679.469999999965</v>
      </c>
      <c r="AL222" s="287">
        <f t="shared" si="164"/>
        <v>203231.90999999995</v>
      </c>
      <c r="AM222" s="428">
        <f t="shared" si="175"/>
        <v>13</v>
      </c>
      <c r="AN222" s="14">
        <f t="shared" si="150"/>
        <v>749.98</v>
      </c>
      <c r="AO222" s="14">
        <f t="shared" si="138"/>
        <v>125267.98999999998</v>
      </c>
      <c r="AP222" s="14">
        <f t="shared" si="151"/>
        <v>959.90000000000009</v>
      </c>
      <c r="AS222" s="14">
        <f t="shared" si="170"/>
        <v>749.98</v>
      </c>
      <c r="AT222" s="14">
        <f t="shared" si="176"/>
        <v>122516.15999999981</v>
      </c>
      <c r="AU222" s="287">
        <f t="shared" si="177"/>
        <v>1533.0685442839124</v>
      </c>
      <c r="AV222" s="287">
        <f t="shared" si="178"/>
        <v>230503.63182945765</v>
      </c>
    </row>
    <row r="223" spans="1:48" x14ac:dyDescent="0.25">
      <c r="A223" s="519">
        <f t="shared" si="152"/>
        <v>50649</v>
      </c>
      <c r="B223" s="287">
        <f t="shared" si="171"/>
        <v>99358.529999999897</v>
      </c>
      <c r="C223" s="14">
        <f t="shared" si="165"/>
        <v>786.54</v>
      </c>
      <c r="D223" s="14">
        <f t="shared" si="179"/>
        <v>538.14</v>
      </c>
      <c r="E223" s="14">
        <f t="shared" si="166"/>
        <v>248.4</v>
      </c>
      <c r="F223" s="14">
        <f t="shared" si="142"/>
        <v>134.16999999999999</v>
      </c>
      <c r="G223" s="14">
        <f t="shared" si="140"/>
        <v>188.55</v>
      </c>
      <c r="H223" s="14">
        <f t="shared" si="141"/>
        <v>1109.26</v>
      </c>
      <c r="I223" s="287">
        <f t="shared" si="153"/>
        <v>88204.01</v>
      </c>
      <c r="J223" s="287">
        <f t="shared" si="154"/>
        <v>76649.25</v>
      </c>
      <c r="K223" s="287">
        <f t="shared" si="155"/>
        <v>98820.389999999898</v>
      </c>
      <c r="L223" s="428">
        <f t="shared" si="139"/>
        <v>13</v>
      </c>
      <c r="M223" s="428">
        <f t="shared" si="172"/>
        <v>164</v>
      </c>
      <c r="N223" s="287">
        <f t="shared" si="173"/>
        <v>179161.31999999998</v>
      </c>
      <c r="O223" s="287">
        <f t="shared" si="156"/>
        <v>1536.52</v>
      </c>
      <c r="P223" s="287">
        <f t="shared" si="180"/>
        <v>491.41000000000008</v>
      </c>
      <c r="Q223" s="287">
        <f t="shared" si="157"/>
        <v>1045.1099999999999</v>
      </c>
      <c r="R223" s="287">
        <f t="shared" si="144"/>
        <v>134.16999999999999</v>
      </c>
      <c r="S223" s="287">
        <f t="shared" si="145"/>
        <v>188.55</v>
      </c>
      <c r="T223" s="287">
        <f t="shared" si="143"/>
        <v>1859.24</v>
      </c>
      <c r="U223" s="287">
        <f t="shared" si="181"/>
        <v>52280.090000000011</v>
      </c>
      <c r="V223" s="287">
        <f t="shared" si="182"/>
        <v>201245.70999999996</v>
      </c>
      <c r="W223" s="287">
        <f t="shared" si="158"/>
        <v>178669.90999999997</v>
      </c>
      <c r="X223" s="519">
        <f t="shared" si="174"/>
        <v>50649</v>
      </c>
      <c r="Y223" s="287">
        <f t="shared" si="159"/>
        <v>203231.90999999995</v>
      </c>
      <c r="Z223" s="511">
        <f t="shared" si="167"/>
        <v>7.0000000000000007E-2</v>
      </c>
      <c r="AA223" s="287">
        <f t="shared" si="168"/>
        <v>1746.44</v>
      </c>
      <c r="AB223" s="287">
        <f t="shared" si="160"/>
        <v>560.92000000000007</v>
      </c>
      <c r="AC223" s="287">
        <f t="shared" si="169"/>
        <v>1185.52</v>
      </c>
      <c r="AD223" s="287">
        <f t="shared" si="146"/>
        <v>134.16999999999999</v>
      </c>
      <c r="AE223" s="287">
        <f t="shared" si="147"/>
        <v>188.55</v>
      </c>
      <c r="AF223" s="287">
        <f t="shared" si="161"/>
        <v>2069.1600000000003</v>
      </c>
      <c r="AG223" s="287">
        <f t="shared" si="162"/>
        <v>73277.81</v>
      </c>
      <c r="AH223" s="287">
        <f t="shared" si="163"/>
        <v>183066.78999999998</v>
      </c>
      <c r="AI223" s="530">
        <f t="shared" si="148"/>
        <v>-2818.7999999999956</v>
      </c>
      <c r="AJ223" s="530">
        <f t="shared" si="183"/>
        <v>-24001.079999999958</v>
      </c>
      <c r="AK223" s="530">
        <f t="shared" si="149"/>
        <v>-26819.879999999954</v>
      </c>
      <c r="AL223" s="287">
        <f t="shared" si="164"/>
        <v>202670.98999999993</v>
      </c>
      <c r="AM223" s="428">
        <f t="shared" si="175"/>
        <v>13</v>
      </c>
      <c r="AN223" s="14">
        <f t="shared" si="150"/>
        <v>749.98</v>
      </c>
      <c r="AO223" s="14">
        <f t="shared" si="138"/>
        <v>125314.71999999999</v>
      </c>
      <c r="AP223" s="14">
        <f t="shared" si="151"/>
        <v>959.90000000000009</v>
      </c>
      <c r="AS223" s="14">
        <f t="shared" si="170"/>
        <v>749.98</v>
      </c>
      <c r="AT223" s="14">
        <f t="shared" si="176"/>
        <v>123266.13999999981</v>
      </c>
      <c r="AU223" s="287">
        <f t="shared" si="177"/>
        <v>1538.1787727648589</v>
      </c>
      <c r="AV223" s="287">
        <f t="shared" si="178"/>
        <v>232041.81060222251</v>
      </c>
    </row>
    <row r="224" spans="1:48" x14ac:dyDescent="0.25">
      <c r="A224" s="519">
        <f t="shared" si="152"/>
        <v>50679</v>
      </c>
      <c r="B224" s="287">
        <f t="shared" si="171"/>
        <v>98820.389999999898</v>
      </c>
      <c r="C224" s="14">
        <f t="shared" si="165"/>
        <v>786.54</v>
      </c>
      <c r="D224" s="14">
        <f t="shared" si="179"/>
        <v>539.49</v>
      </c>
      <c r="E224" s="14">
        <f t="shared" si="166"/>
        <v>247.05</v>
      </c>
      <c r="F224" s="14">
        <f t="shared" si="142"/>
        <v>134.16999999999999</v>
      </c>
      <c r="G224" s="14">
        <f t="shared" si="140"/>
        <v>188.55</v>
      </c>
      <c r="H224" s="14">
        <f t="shared" si="141"/>
        <v>1109.26</v>
      </c>
      <c r="I224" s="287">
        <f t="shared" si="153"/>
        <v>88743.5</v>
      </c>
      <c r="J224" s="287">
        <f t="shared" si="154"/>
        <v>76896.3</v>
      </c>
      <c r="K224" s="287">
        <f t="shared" si="155"/>
        <v>98280.899999999892</v>
      </c>
      <c r="L224" s="428">
        <f t="shared" si="139"/>
        <v>13</v>
      </c>
      <c r="M224" s="428">
        <f t="shared" si="172"/>
        <v>165</v>
      </c>
      <c r="N224" s="287">
        <f t="shared" si="173"/>
        <v>178669.90999999997</v>
      </c>
      <c r="O224" s="287">
        <f t="shared" si="156"/>
        <v>1536.52</v>
      </c>
      <c r="P224" s="287">
        <f t="shared" si="180"/>
        <v>494.28</v>
      </c>
      <c r="Q224" s="287">
        <f t="shared" si="157"/>
        <v>1042.24</v>
      </c>
      <c r="R224" s="287">
        <f t="shared" si="144"/>
        <v>134.16999999999999</v>
      </c>
      <c r="S224" s="287">
        <f t="shared" si="145"/>
        <v>188.55</v>
      </c>
      <c r="T224" s="287">
        <f t="shared" si="143"/>
        <v>1859.24</v>
      </c>
      <c r="U224" s="287">
        <f t="shared" si="181"/>
        <v>52774.37000000001</v>
      </c>
      <c r="V224" s="287">
        <f t="shared" si="182"/>
        <v>202287.94999999995</v>
      </c>
      <c r="W224" s="287">
        <f t="shared" si="158"/>
        <v>178175.62999999998</v>
      </c>
      <c r="X224" s="519">
        <f t="shared" si="174"/>
        <v>50679</v>
      </c>
      <c r="Y224" s="287">
        <f t="shared" si="159"/>
        <v>202670.98999999993</v>
      </c>
      <c r="Z224" s="511">
        <f t="shared" si="167"/>
        <v>7.0000000000000007E-2</v>
      </c>
      <c r="AA224" s="287">
        <f t="shared" si="168"/>
        <v>1746.44</v>
      </c>
      <c r="AB224" s="287">
        <f t="shared" si="160"/>
        <v>564.19000000000005</v>
      </c>
      <c r="AC224" s="287">
        <f t="shared" si="169"/>
        <v>1182.25</v>
      </c>
      <c r="AD224" s="287">
        <f t="shared" si="146"/>
        <v>134.16999999999999</v>
      </c>
      <c r="AE224" s="287">
        <f t="shared" si="147"/>
        <v>188.55</v>
      </c>
      <c r="AF224" s="287">
        <f t="shared" si="161"/>
        <v>2069.1600000000003</v>
      </c>
      <c r="AG224" s="287">
        <f t="shared" si="162"/>
        <v>73842</v>
      </c>
      <c r="AH224" s="287">
        <f t="shared" si="163"/>
        <v>184249.03999999998</v>
      </c>
      <c r="AI224" s="530">
        <f t="shared" si="148"/>
        <v>-3028.7199999999957</v>
      </c>
      <c r="AJ224" s="530">
        <f t="shared" si="183"/>
        <v>-23931.169999999955</v>
      </c>
      <c r="AK224" s="530">
        <f t="shared" si="149"/>
        <v>-26959.889999999948</v>
      </c>
      <c r="AL224" s="287">
        <f t="shared" si="164"/>
        <v>202106.79999999993</v>
      </c>
      <c r="AM224" s="428">
        <f t="shared" si="175"/>
        <v>13</v>
      </c>
      <c r="AN224" s="14">
        <f t="shared" si="150"/>
        <v>749.98</v>
      </c>
      <c r="AO224" s="14">
        <f t="shared" si="138"/>
        <v>125359.92999999998</v>
      </c>
      <c r="AP224" s="14">
        <f t="shared" si="151"/>
        <v>959.90000000000009</v>
      </c>
      <c r="AS224" s="14">
        <f t="shared" si="170"/>
        <v>749.98</v>
      </c>
      <c r="AT224" s="14">
        <f t="shared" si="176"/>
        <v>124016.11999999981</v>
      </c>
      <c r="AU224" s="287">
        <f t="shared" si="177"/>
        <v>1543.3060353407418</v>
      </c>
      <c r="AV224" s="287">
        <f t="shared" si="178"/>
        <v>233585.11663756325</v>
      </c>
    </row>
    <row r="225" spans="1:48" x14ac:dyDescent="0.25">
      <c r="A225" s="519">
        <f t="shared" si="152"/>
        <v>50709</v>
      </c>
      <c r="B225" s="287">
        <f t="shared" si="171"/>
        <v>98280.899999999892</v>
      </c>
      <c r="C225" s="14">
        <f t="shared" si="165"/>
        <v>786.54</v>
      </c>
      <c r="D225" s="14">
        <f t="shared" si="179"/>
        <v>540.83999999999992</v>
      </c>
      <c r="E225" s="14">
        <f t="shared" si="166"/>
        <v>245.7</v>
      </c>
      <c r="F225" s="14">
        <f t="shared" si="142"/>
        <v>134.16999999999999</v>
      </c>
      <c r="G225" s="14">
        <f t="shared" si="140"/>
        <v>188.55</v>
      </c>
      <c r="H225" s="14">
        <f t="shared" si="141"/>
        <v>1109.26</v>
      </c>
      <c r="I225" s="287">
        <f t="shared" si="153"/>
        <v>89284.34</v>
      </c>
      <c r="J225" s="287">
        <f t="shared" si="154"/>
        <v>77142</v>
      </c>
      <c r="K225" s="287">
        <f t="shared" si="155"/>
        <v>97740.059999999896</v>
      </c>
      <c r="L225" s="428">
        <f t="shared" si="139"/>
        <v>13</v>
      </c>
      <c r="M225" s="428">
        <f t="shared" si="172"/>
        <v>166</v>
      </c>
      <c r="N225" s="287">
        <f t="shared" si="173"/>
        <v>178175.62999999998</v>
      </c>
      <c r="O225" s="287">
        <f t="shared" si="156"/>
        <v>1536.52</v>
      </c>
      <c r="P225" s="287">
        <f t="shared" si="180"/>
        <v>497.16000000000008</v>
      </c>
      <c r="Q225" s="287">
        <f t="shared" si="157"/>
        <v>1039.3599999999999</v>
      </c>
      <c r="R225" s="287">
        <f t="shared" si="144"/>
        <v>134.16999999999999</v>
      </c>
      <c r="S225" s="287">
        <f t="shared" si="145"/>
        <v>188.55</v>
      </c>
      <c r="T225" s="287">
        <f t="shared" si="143"/>
        <v>1859.24</v>
      </c>
      <c r="U225" s="287">
        <f t="shared" si="181"/>
        <v>53271.530000000013</v>
      </c>
      <c r="V225" s="287">
        <f t="shared" si="182"/>
        <v>203327.30999999994</v>
      </c>
      <c r="W225" s="287">
        <f t="shared" si="158"/>
        <v>177678.46999999997</v>
      </c>
      <c r="X225" s="519">
        <f t="shared" si="174"/>
        <v>50709</v>
      </c>
      <c r="Y225" s="287">
        <f t="shared" si="159"/>
        <v>202106.79999999993</v>
      </c>
      <c r="Z225" s="511">
        <f t="shared" si="167"/>
        <v>7.0000000000000007E-2</v>
      </c>
      <c r="AA225" s="287">
        <f t="shared" si="168"/>
        <v>1746.44</v>
      </c>
      <c r="AB225" s="287">
        <f t="shared" si="160"/>
        <v>567.48</v>
      </c>
      <c r="AC225" s="287">
        <f t="shared" si="169"/>
        <v>1178.96</v>
      </c>
      <c r="AD225" s="287">
        <f t="shared" si="146"/>
        <v>134.16999999999999</v>
      </c>
      <c r="AE225" s="287">
        <f t="shared" si="147"/>
        <v>188.55</v>
      </c>
      <c r="AF225" s="287">
        <f t="shared" si="161"/>
        <v>2069.1600000000003</v>
      </c>
      <c r="AG225" s="287">
        <f t="shared" si="162"/>
        <v>74409.48</v>
      </c>
      <c r="AH225" s="287">
        <f t="shared" si="163"/>
        <v>185427.99999999997</v>
      </c>
      <c r="AI225" s="530">
        <f t="shared" si="148"/>
        <v>-3238.6399999999958</v>
      </c>
      <c r="AJ225" s="530">
        <f t="shared" si="183"/>
        <v>-23860.849999999948</v>
      </c>
      <c r="AK225" s="530">
        <f t="shared" si="149"/>
        <v>-27099.489999999943</v>
      </c>
      <c r="AL225" s="287">
        <f t="shared" si="164"/>
        <v>201539.31999999992</v>
      </c>
      <c r="AM225" s="428">
        <f t="shared" si="175"/>
        <v>13</v>
      </c>
      <c r="AN225" s="14">
        <f t="shared" si="150"/>
        <v>749.98</v>
      </c>
      <c r="AO225" s="14">
        <f t="shared" si="138"/>
        <v>125403.60999999997</v>
      </c>
      <c r="AP225" s="14">
        <f t="shared" si="151"/>
        <v>959.90000000000009</v>
      </c>
      <c r="AS225" s="14">
        <f t="shared" si="170"/>
        <v>749.98</v>
      </c>
      <c r="AT225" s="14">
        <f t="shared" si="176"/>
        <v>124766.0999999998</v>
      </c>
      <c r="AU225" s="287">
        <f t="shared" si="177"/>
        <v>1548.4503887918775</v>
      </c>
      <c r="AV225" s="287">
        <f t="shared" si="178"/>
        <v>235133.56702635513</v>
      </c>
    </row>
    <row r="226" spans="1:48" x14ac:dyDescent="0.25">
      <c r="A226" s="519">
        <f t="shared" si="152"/>
        <v>50739</v>
      </c>
      <c r="B226" s="287">
        <f t="shared" si="171"/>
        <v>97740.059999999896</v>
      </c>
      <c r="C226" s="14">
        <f t="shared" si="165"/>
        <v>786.54</v>
      </c>
      <c r="D226" s="14">
        <f t="shared" si="179"/>
        <v>542.18999999999994</v>
      </c>
      <c r="E226" s="14">
        <f t="shared" si="166"/>
        <v>244.35</v>
      </c>
      <c r="F226" s="14">
        <f t="shared" si="142"/>
        <v>134.16999999999999</v>
      </c>
      <c r="G226" s="14">
        <f t="shared" si="140"/>
        <v>188.55</v>
      </c>
      <c r="H226" s="14">
        <f t="shared" si="141"/>
        <v>1109.26</v>
      </c>
      <c r="I226" s="287">
        <f t="shared" si="153"/>
        <v>89826.53</v>
      </c>
      <c r="J226" s="287">
        <f t="shared" si="154"/>
        <v>77386.350000000006</v>
      </c>
      <c r="K226" s="287">
        <f t="shared" si="155"/>
        <v>97197.869999999893</v>
      </c>
      <c r="L226" s="428">
        <f t="shared" si="139"/>
        <v>13</v>
      </c>
      <c r="M226" s="428">
        <f t="shared" si="172"/>
        <v>167</v>
      </c>
      <c r="N226" s="287">
        <f t="shared" si="173"/>
        <v>177678.46999999997</v>
      </c>
      <c r="O226" s="287">
        <f t="shared" si="156"/>
        <v>1536.52</v>
      </c>
      <c r="P226" s="287">
        <f t="shared" si="180"/>
        <v>500.05999999999995</v>
      </c>
      <c r="Q226" s="287">
        <f t="shared" si="157"/>
        <v>1036.46</v>
      </c>
      <c r="R226" s="287">
        <f t="shared" si="144"/>
        <v>134.16999999999999</v>
      </c>
      <c r="S226" s="287">
        <f t="shared" si="145"/>
        <v>188.55</v>
      </c>
      <c r="T226" s="287">
        <f t="shared" si="143"/>
        <v>1859.24</v>
      </c>
      <c r="U226" s="287">
        <f t="shared" si="181"/>
        <v>53771.590000000011</v>
      </c>
      <c r="V226" s="287">
        <f t="shared" si="182"/>
        <v>204363.76999999993</v>
      </c>
      <c r="W226" s="287">
        <f t="shared" si="158"/>
        <v>177178.40999999997</v>
      </c>
      <c r="X226" s="519">
        <f t="shared" si="174"/>
        <v>50739</v>
      </c>
      <c r="Y226" s="287">
        <f t="shared" si="159"/>
        <v>201539.31999999992</v>
      </c>
      <c r="Z226" s="511">
        <f t="shared" si="167"/>
        <v>7.0000000000000007E-2</v>
      </c>
      <c r="AA226" s="287">
        <f t="shared" si="168"/>
        <v>1746.44</v>
      </c>
      <c r="AB226" s="287">
        <f t="shared" si="160"/>
        <v>570.79</v>
      </c>
      <c r="AC226" s="287">
        <f t="shared" si="169"/>
        <v>1175.6500000000001</v>
      </c>
      <c r="AD226" s="287">
        <f t="shared" si="146"/>
        <v>134.16999999999999</v>
      </c>
      <c r="AE226" s="287">
        <f t="shared" si="147"/>
        <v>188.55</v>
      </c>
      <c r="AF226" s="287">
        <f t="shared" si="161"/>
        <v>2069.1600000000003</v>
      </c>
      <c r="AG226" s="287">
        <f t="shared" si="162"/>
        <v>74980.26999999999</v>
      </c>
      <c r="AH226" s="287">
        <f t="shared" si="163"/>
        <v>186603.64999999997</v>
      </c>
      <c r="AI226" s="530">
        <f t="shared" si="148"/>
        <v>-3448.5599999999959</v>
      </c>
      <c r="AJ226" s="530">
        <f t="shared" si="183"/>
        <v>-23790.119999999937</v>
      </c>
      <c r="AK226" s="530">
        <f t="shared" si="149"/>
        <v>-27238.679999999935</v>
      </c>
      <c r="AL226" s="287">
        <f t="shared" si="164"/>
        <v>200968.52999999991</v>
      </c>
      <c r="AM226" s="428">
        <f t="shared" si="175"/>
        <v>13</v>
      </c>
      <c r="AN226" s="14">
        <f t="shared" si="150"/>
        <v>749.98</v>
      </c>
      <c r="AO226" s="14">
        <f t="shared" si="138"/>
        <v>125445.73999999998</v>
      </c>
      <c r="AP226" s="14">
        <f t="shared" si="151"/>
        <v>959.90000000000009</v>
      </c>
      <c r="AS226" s="14">
        <f t="shared" si="170"/>
        <v>749.98</v>
      </c>
      <c r="AT226" s="14">
        <f t="shared" si="176"/>
        <v>125516.0799999998</v>
      </c>
      <c r="AU226" s="287">
        <f t="shared" si="177"/>
        <v>1553.6118900878503</v>
      </c>
      <c r="AV226" s="287">
        <f t="shared" si="178"/>
        <v>236687.17891644299</v>
      </c>
    </row>
    <row r="227" spans="1:48" x14ac:dyDescent="0.25">
      <c r="A227" s="519">
        <f t="shared" si="152"/>
        <v>50769</v>
      </c>
      <c r="B227" s="287">
        <f t="shared" si="171"/>
        <v>97197.869999999893</v>
      </c>
      <c r="C227" s="14">
        <f t="shared" si="165"/>
        <v>786.54</v>
      </c>
      <c r="D227" s="14">
        <f t="shared" si="179"/>
        <v>543.54999999999995</v>
      </c>
      <c r="E227" s="14">
        <f t="shared" si="166"/>
        <v>242.99</v>
      </c>
      <c r="F227" s="14">
        <f t="shared" si="142"/>
        <v>134.16999999999999</v>
      </c>
      <c r="G227" s="14">
        <f t="shared" si="140"/>
        <v>188.55</v>
      </c>
      <c r="H227" s="14">
        <f t="shared" si="141"/>
        <v>1109.26</v>
      </c>
      <c r="I227" s="287">
        <f t="shared" si="153"/>
        <v>90370.08</v>
      </c>
      <c r="J227" s="287">
        <f t="shared" si="154"/>
        <v>77629.340000000011</v>
      </c>
      <c r="K227" s="287">
        <f t="shared" si="155"/>
        <v>96654.319999999891</v>
      </c>
      <c r="L227" s="428">
        <f t="shared" si="139"/>
        <v>14</v>
      </c>
      <c r="M227" s="428">
        <f t="shared" si="172"/>
        <v>168</v>
      </c>
      <c r="N227" s="287">
        <f t="shared" si="173"/>
        <v>177178.40999999997</v>
      </c>
      <c r="O227" s="287">
        <f t="shared" si="156"/>
        <v>1536.52</v>
      </c>
      <c r="P227" s="287">
        <f t="shared" si="180"/>
        <v>502.98</v>
      </c>
      <c r="Q227" s="287">
        <f t="shared" si="157"/>
        <v>1033.54</v>
      </c>
      <c r="R227" s="287">
        <f t="shared" si="144"/>
        <v>134.16999999999999</v>
      </c>
      <c r="S227" s="287">
        <f t="shared" si="145"/>
        <v>188.55</v>
      </c>
      <c r="T227" s="287">
        <f t="shared" si="143"/>
        <v>1859.24</v>
      </c>
      <c r="U227" s="287">
        <f t="shared" si="181"/>
        <v>54274.570000000014</v>
      </c>
      <c r="V227" s="287">
        <f t="shared" si="182"/>
        <v>205397.30999999994</v>
      </c>
      <c r="W227" s="287">
        <f t="shared" si="158"/>
        <v>176675.42999999996</v>
      </c>
      <c r="X227" s="519">
        <f t="shared" si="174"/>
        <v>50769</v>
      </c>
      <c r="Y227" s="287">
        <f t="shared" si="159"/>
        <v>200968.52999999991</v>
      </c>
      <c r="Z227" s="511">
        <f t="shared" si="167"/>
        <v>7.0000000000000007E-2</v>
      </c>
      <c r="AA227" s="287">
        <f t="shared" si="168"/>
        <v>1746.44</v>
      </c>
      <c r="AB227" s="287">
        <f t="shared" si="160"/>
        <v>574.12000000000012</v>
      </c>
      <c r="AC227" s="287">
        <f t="shared" si="169"/>
        <v>1172.32</v>
      </c>
      <c r="AD227" s="287">
        <f t="shared" si="146"/>
        <v>134.16999999999999</v>
      </c>
      <c r="AE227" s="287">
        <f t="shared" si="147"/>
        <v>188.55</v>
      </c>
      <c r="AF227" s="287">
        <f t="shared" si="161"/>
        <v>2069.1600000000003</v>
      </c>
      <c r="AG227" s="287">
        <f t="shared" si="162"/>
        <v>75554.389999999985</v>
      </c>
      <c r="AH227" s="287">
        <f t="shared" si="163"/>
        <v>187775.96999999997</v>
      </c>
      <c r="AI227" s="530">
        <f t="shared" si="148"/>
        <v>-3658.4799999999959</v>
      </c>
      <c r="AJ227" s="530">
        <f t="shared" si="183"/>
        <v>-23718.979999999952</v>
      </c>
      <c r="AK227" s="530">
        <f t="shared" si="149"/>
        <v>-27377.459999999948</v>
      </c>
      <c r="AL227" s="287">
        <f t="shared" si="164"/>
        <v>200394.40999999992</v>
      </c>
      <c r="AM227" s="428">
        <f t="shared" si="175"/>
        <v>14</v>
      </c>
      <c r="AN227" s="14">
        <f t="shared" si="150"/>
        <v>749.98</v>
      </c>
      <c r="AO227" s="14">
        <f t="shared" si="138"/>
        <v>125486.31</v>
      </c>
      <c r="AP227" s="14">
        <f t="shared" si="151"/>
        <v>959.90000000000009</v>
      </c>
      <c r="AS227" s="14">
        <f t="shared" si="170"/>
        <v>749.98</v>
      </c>
      <c r="AT227" s="14">
        <f t="shared" si="176"/>
        <v>126266.05999999979</v>
      </c>
      <c r="AU227" s="287">
        <f t="shared" si="177"/>
        <v>1558.7905963881433</v>
      </c>
      <c r="AV227" s="287">
        <f t="shared" si="178"/>
        <v>238245.96951283113</v>
      </c>
    </row>
    <row r="228" spans="1:48" x14ac:dyDescent="0.25">
      <c r="A228" s="519">
        <f t="shared" si="152"/>
        <v>50799</v>
      </c>
      <c r="B228" s="287">
        <f t="shared" si="171"/>
        <v>96654.319999999891</v>
      </c>
      <c r="C228" s="14">
        <f t="shared" si="165"/>
        <v>786.54</v>
      </c>
      <c r="D228" s="14">
        <f t="shared" si="179"/>
        <v>544.9</v>
      </c>
      <c r="E228" s="14">
        <f t="shared" si="166"/>
        <v>241.64</v>
      </c>
      <c r="F228" s="14">
        <f t="shared" si="142"/>
        <v>134.16999999999999</v>
      </c>
      <c r="G228" s="14">
        <f t="shared" si="140"/>
        <v>188.55</v>
      </c>
      <c r="H228" s="14">
        <f t="shared" si="141"/>
        <v>1109.26</v>
      </c>
      <c r="I228" s="287">
        <f t="shared" si="153"/>
        <v>90914.98</v>
      </c>
      <c r="J228" s="287">
        <f t="shared" si="154"/>
        <v>77870.98000000001</v>
      </c>
      <c r="K228" s="287">
        <f t="shared" si="155"/>
        <v>96109.419999999896</v>
      </c>
      <c r="L228" s="428">
        <f t="shared" si="139"/>
        <v>14</v>
      </c>
      <c r="M228" s="428">
        <f t="shared" si="172"/>
        <v>169</v>
      </c>
      <c r="N228" s="287">
        <f t="shared" si="173"/>
        <v>176675.42999999996</v>
      </c>
      <c r="O228" s="287">
        <f t="shared" si="156"/>
        <v>1536.52</v>
      </c>
      <c r="P228" s="287">
        <f t="shared" si="180"/>
        <v>505.91000000000008</v>
      </c>
      <c r="Q228" s="287">
        <f t="shared" si="157"/>
        <v>1030.6099999999999</v>
      </c>
      <c r="R228" s="287">
        <f t="shared" si="144"/>
        <v>134.16999999999999</v>
      </c>
      <c r="S228" s="287">
        <f t="shared" si="145"/>
        <v>188.55</v>
      </c>
      <c r="T228" s="287">
        <f t="shared" si="143"/>
        <v>1859.24</v>
      </c>
      <c r="U228" s="287">
        <f t="shared" si="181"/>
        <v>54780.480000000018</v>
      </c>
      <c r="V228" s="287">
        <f t="shared" si="182"/>
        <v>206427.91999999993</v>
      </c>
      <c r="W228" s="287">
        <f t="shared" si="158"/>
        <v>176169.51999999996</v>
      </c>
      <c r="X228" s="519">
        <f t="shared" si="174"/>
        <v>50799</v>
      </c>
      <c r="Y228" s="287">
        <f t="shared" si="159"/>
        <v>200394.40999999992</v>
      </c>
      <c r="Z228" s="511">
        <f t="shared" si="167"/>
        <v>7.0000000000000007E-2</v>
      </c>
      <c r="AA228" s="287">
        <f t="shared" si="168"/>
        <v>1746.44</v>
      </c>
      <c r="AB228" s="287">
        <f t="shared" si="160"/>
        <v>577.47</v>
      </c>
      <c r="AC228" s="287">
        <f t="shared" si="169"/>
        <v>1168.97</v>
      </c>
      <c r="AD228" s="287">
        <f t="shared" si="146"/>
        <v>134.16999999999999</v>
      </c>
      <c r="AE228" s="287">
        <f t="shared" si="147"/>
        <v>188.55</v>
      </c>
      <c r="AF228" s="287">
        <f t="shared" si="161"/>
        <v>2069.1600000000003</v>
      </c>
      <c r="AG228" s="287">
        <f t="shared" si="162"/>
        <v>76131.859999999986</v>
      </c>
      <c r="AH228" s="287">
        <f t="shared" si="163"/>
        <v>188944.93999999997</v>
      </c>
      <c r="AI228" s="530">
        <f t="shared" si="148"/>
        <v>-3868.399999999996</v>
      </c>
      <c r="AJ228" s="530">
        <f t="shared" si="183"/>
        <v>-23647.419999999955</v>
      </c>
      <c r="AK228" s="530">
        <f t="shared" si="149"/>
        <v>-27515.819999999949</v>
      </c>
      <c r="AL228" s="287">
        <f t="shared" si="164"/>
        <v>199816.93999999992</v>
      </c>
      <c r="AM228" s="428">
        <f t="shared" si="175"/>
        <v>14</v>
      </c>
      <c r="AN228" s="14">
        <f t="shared" si="150"/>
        <v>749.98</v>
      </c>
      <c r="AO228" s="14">
        <f t="shared" si="138"/>
        <v>125525.29999999996</v>
      </c>
      <c r="AP228" s="14">
        <f t="shared" si="151"/>
        <v>959.90000000000009</v>
      </c>
      <c r="AS228" s="14">
        <f t="shared" si="170"/>
        <v>749.98</v>
      </c>
      <c r="AT228" s="14">
        <f t="shared" si="176"/>
        <v>127016.03999999979</v>
      </c>
      <c r="AU228" s="287">
        <f t="shared" si="177"/>
        <v>1563.9865650427703</v>
      </c>
      <c r="AV228" s="287">
        <f t="shared" si="178"/>
        <v>239809.95607787391</v>
      </c>
    </row>
    <row r="229" spans="1:48" x14ac:dyDescent="0.25">
      <c r="A229" s="519">
        <f t="shared" si="152"/>
        <v>50829</v>
      </c>
      <c r="B229" s="287">
        <f t="shared" si="171"/>
        <v>96109.419999999896</v>
      </c>
      <c r="C229" s="14">
        <f t="shared" si="165"/>
        <v>786.54</v>
      </c>
      <c r="D229" s="14">
        <f t="shared" si="179"/>
        <v>546.27</v>
      </c>
      <c r="E229" s="14">
        <f t="shared" si="166"/>
        <v>240.27</v>
      </c>
      <c r="F229" s="14">
        <f t="shared" si="142"/>
        <v>134.16999999999999</v>
      </c>
      <c r="G229" s="14">
        <f t="shared" si="140"/>
        <v>188.55</v>
      </c>
      <c r="H229" s="14">
        <f t="shared" si="141"/>
        <v>1109.26</v>
      </c>
      <c r="I229" s="287">
        <f t="shared" si="153"/>
        <v>91461.25</v>
      </c>
      <c r="J229" s="287">
        <f t="shared" si="154"/>
        <v>78111.250000000015</v>
      </c>
      <c r="K229" s="287">
        <f t="shared" si="155"/>
        <v>95563.149999999892</v>
      </c>
      <c r="L229" s="428">
        <f t="shared" si="139"/>
        <v>14</v>
      </c>
      <c r="M229" s="428">
        <f t="shared" si="172"/>
        <v>170</v>
      </c>
      <c r="N229" s="287">
        <f t="shared" si="173"/>
        <v>176169.51999999996</v>
      </c>
      <c r="O229" s="287">
        <f t="shared" si="156"/>
        <v>1536.52</v>
      </c>
      <c r="P229" s="287">
        <f t="shared" si="180"/>
        <v>508.8599999999999</v>
      </c>
      <c r="Q229" s="287">
        <f t="shared" si="157"/>
        <v>1027.6600000000001</v>
      </c>
      <c r="R229" s="287">
        <f t="shared" si="144"/>
        <v>134.16999999999999</v>
      </c>
      <c r="S229" s="287">
        <f t="shared" si="145"/>
        <v>188.55</v>
      </c>
      <c r="T229" s="287">
        <f t="shared" si="143"/>
        <v>1859.24</v>
      </c>
      <c r="U229" s="287">
        <f t="shared" si="181"/>
        <v>55289.340000000018</v>
      </c>
      <c r="V229" s="287">
        <f t="shared" si="182"/>
        <v>207455.57999999993</v>
      </c>
      <c r="W229" s="287">
        <f t="shared" si="158"/>
        <v>175660.65999999997</v>
      </c>
      <c r="X229" s="519">
        <f t="shared" si="174"/>
        <v>50829</v>
      </c>
      <c r="Y229" s="287">
        <f t="shared" si="159"/>
        <v>199816.93999999992</v>
      </c>
      <c r="Z229" s="511">
        <f t="shared" si="167"/>
        <v>7.0000000000000007E-2</v>
      </c>
      <c r="AA229" s="287">
        <f t="shared" si="168"/>
        <v>1746.44</v>
      </c>
      <c r="AB229" s="287">
        <f t="shared" si="160"/>
        <v>580.84000000000015</v>
      </c>
      <c r="AC229" s="287">
        <f t="shared" si="169"/>
        <v>1165.5999999999999</v>
      </c>
      <c r="AD229" s="287">
        <f t="shared" si="146"/>
        <v>134.16999999999999</v>
      </c>
      <c r="AE229" s="287">
        <f t="shared" si="147"/>
        <v>188.55</v>
      </c>
      <c r="AF229" s="287">
        <f t="shared" si="161"/>
        <v>2069.1600000000003</v>
      </c>
      <c r="AG229" s="287">
        <f t="shared" si="162"/>
        <v>76712.699999999983</v>
      </c>
      <c r="AH229" s="287">
        <f t="shared" si="163"/>
        <v>190110.53999999998</v>
      </c>
      <c r="AI229" s="530">
        <f t="shared" si="148"/>
        <v>-4078.3199999999961</v>
      </c>
      <c r="AJ229" s="530">
        <f t="shared" si="183"/>
        <v>-23575.439999999944</v>
      </c>
      <c r="AK229" s="530">
        <f t="shared" si="149"/>
        <v>-27653.75999999994</v>
      </c>
      <c r="AL229" s="287">
        <f t="shared" si="164"/>
        <v>199236.09999999992</v>
      </c>
      <c r="AM229" s="428">
        <f t="shared" si="175"/>
        <v>14</v>
      </c>
      <c r="AN229" s="14">
        <f t="shared" si="150"/>
        <v>749.98</v>
      </c>
      <c r="AO229" s="14">
        <f t="shared" si="138"/>
        <v>125562.70999999996</v>
      </c>
      <c r="AP229" s="14">
        <f t="shared" si="151"/>
        <v>959.90000000000009</v>
      </c>
      <c r="AS229" s="14">
        <f t="shared" si="170"/>
        <v>749.98</v>
      </c>
      <c r="AT229" s="14">
        <f t="shared" si="176"/>
        <v>127766.01999999979</v>
      </c>
      <c r="AU229" s="287">
        <f t="shared" si="177"/>
        <v>1569.1998535929133</v>
      </c>
      <c r="AV229" s="287">
        <f t="shared" si="178"/>
        <v>241379.15593146681</v>
      </c>
    </row>
    <row r="230" spans="1:48" ht="15.75" thickBot="1" x14ac:dyDescent="0.3">
      <c r="A230" s="522">
        <f t="shared" si="152"/>
        <v>50859</v>
      </c>
      <c r="B230" s="348">
        <f t="shared" si="171"/>
        <v>95563.149999999892</v>
      </c>
      <c r="C230" s="21">
        <f t="shared" si="165"/>
        <v>786.54</v>
      </c>
      <c r="D230" s="21">
        <f t="shared" si="179"/>
        <v>547.63</v>
      </c>
      <c r="E230" s="21">
        <f t="shared" si="166"/>
        <v>238.91</v>
      </c>
      <c r="F230" s="21">
        <f t="shared" si="142"/>
        <v>134.16999999999999</v>
      </c>
      <c r="G230" s="21">
        <f t="shared" si="140"/>
        <v>188.55</v>
      </c>
      <c r="H230" s="21">
        <f t="shared" si="141"/>
        <v>1109.26</v>
      </c>
      <c r="I230" s="348">
        <f t="shared" si="153"/>
        <v>92008.88</v>
      </c>
      <c r="J230" s="348">
        <f t="shared" si="154"/>
        <v>78350.160000000018</v>
      </c>
      <c r="K230" s="348">
        <f t="shared" si="155"/>
        <v>95015.519999999888</v>
      </c>
      <c r="L230" s="429">
        <f t="shared" si="139"/>
        <v>14</v>
      </c>
      <c r="M230" s="429">
        <f t="shared" si="172"/>
        <v>171</v>
      </c>
      <c r="N230" s="348">
        <f t="shared" si="173"/>
        <v>175660.65999999997</v>
      </c>
      <c r="O230" s="348">
        <f t="shared" si="156"/>
        <v>1536.52</v>
      </c>
      <c r="P230" s="348">
        <f t="shared" si="180"/>
        <v>511.82999999999993</v>
      </c>
      <c r="Q230" s="348">
        <f t="shared" si="157"/>
        <v>1024.69</v>
      </c>
      <c r="R230" s="348">
        <f t="shared" si="144"/>
        <v>134.16999999999999</v>
      </c>
      <c r="S230" s="348">
        <f t="shared" si="145"/>
        <v>188.55</v>
      </c>
      <c r="T230" s="348">
        <f t="shared" si="143"/>
        <v>1859.24</v>
      </c>
      <c r="U230" s="348">
        <f t="shared" si="181"/>
        <v>55801.17000000002</v>
      </c>
      <c r="V230" s="348">
        <f t="shared" si="182"/>
        <v>208480.26999999993</v>
      </c>
      <c r="W230" s="348">
        <f t="shared" si="158"/>
        <v>175148.83</v>
      </c>
      <c r="X230" s="522">
        <f t="shared" si="174"/>
        <v>50859</v>
      </c>
      <c r="Y230" s="348">
        <f t="shared" si="159"/>
        <v>199236.09999999992</v>
      </c>
      <c r="Z230" s="512">
        <f t="shared" si="167"/>
        <v>7.0000000000000007E-2</v>
      </c>
      <c r="AA230" s="348">
        <f t="shared" si="168"/>
        <v>1746.44</v>
      </c>
      <c r="AB230" s="348">
        <f t="shared" si="160"/>
        <v>584.23</v>
      </c>
      <c r="AC230" s="348">
        <f t="shared" si="169"/>
        <v>1162.21</v>
      </c>
      <c r="AD230" s="348">
        <f t="shared" si="146"/>
        <v>134.16999999999999</v>
      </c>
      <c r="AE230" s="348">
        <f t="shared" si="147"/>
        <v>188.55</v>
      </c>
      <c r="AF230" s="348">
        <f t="shared" si="161"/>
        <v>2069.1600000000003</v>
      </c>
      <c r="AG230" s="348">
        <f t="shared" si="162"/>
        <v>77296.929999999978</v>
      </c>
      <c r="AH230" s="348">
        <f t="shared" si="163"/>
        <v>191272.74999999997</v>
      </c>
      <c r="AI230" s="531">
        <f t="shared" si="148"/>
        <v>-4288.2399999999961</v>
      </c>
      <c r="AJ230" s="531">
        <f t="shared" si="183"/>
        <v>-23503.039999999921</v>
      </c>
      <c r="AK230" s="530">
        <f t="shared" si="149"/>
        <v>-27791.279999999919</v>
      </c>
      <c r="AL230" s="348">
        <f t="shared" si="164"/>
        <v>198651.86999999991</v>
      </c>
      <c r="AM230" s="429">
        <f t="shared" si="175"/>
        <v>14</v>
      </c>
      <c r="AN230" s="21">
        <f t="shared" si="150"/>
        <v>749.98</v>
      </c>
      <c r="AO230" s="21">
        <f t="shared" si="138"/>
        <v>125598.50999999998</v>
      </c>
      <c r="AP230" s="21">
        <f t="shared" si="151"/>
        <v>959.90000000000009</v>
      </c>
      <c r="AQ230" s="21"/>
      <c r="AR230" s="23"/>
      <c r="AS230" s="21">
        <f t="shared" si="170"/>
        <v>749.98</v>
      </c>
      <c r="AT230" s="21">
        <f t="shared" si="176"/>
        <v>128515.99999999978</v>
      </c>
      <c r="AU230" s="348">
        <f t="shared" si="177"/>
        <v>1574.430519771556</v>
      </c>
      <c r="AV230" s="348">
        <f t="shared" si="178"/>
        <v>242953.58645123837</v>
      </c>
    </row>
    <row r="231" spans="1:48" x14ac:dyDescent="0.25">
      <c r="A231" s="519">
        <f t="shared" si="152"/>
        <v>50889</v>
      </c>
      <c r="B231" s="287">
        <f t="shared" si="171"/>
        <v>95015.519999999888</v>
      </c>
      <c r="C231" s="14">
        <f t="shared" si="165"/>
        <v>786.54</v>
      </c>
      <c r="D231" s="14">
        <f t="shared" si="179"/>
        <v>549</v>
      </c>
      <c r="E231" s="14">
        <f t="shared" si="166"/>
        <v>237.54</v>
      </c>
      <c r="F231" s="14">
        <f t="shared" si="142"/>
        <v>134.16999999999999</v>
      </c>
      <c r="G231" s="14">
        <f t="shared" si="140"/>
        <v>188.55</v>
      </c>
      <c r="H231" s="14">
        <f t="shared" si="141"/>
        <v>1109.26</v>
      </c>
      <c r="I231" s="287">
        <f t="shared" si="153"/>
        <v>92557.88</v>
      </c>
      <c r="J231" s="287">
        <f t="shared" si="154"/>
        <v>78587.700000000012</v>
      </c>
      <c r="K231" s="287">
        <f t="shared" si="155"/>
        <v>94466.519999999888</v>
      </c>
      <c r="L231" s="428">
        <f t="shared" si="139"/>
        <v>14</v>
      </c>
      <c r="M231" s="428">
        <f t="shared" si="172"/>
        <v>172</v>
      </c>
      <c r="N231" s="287">
        <f t="shared" si="173"/>
        <v>175148.83</v>
      </c>
      <c r="O231" s="287">
        <f t="shared" si="156"/>
        <v>1536.52</v>
      </c>
      <c r="P231" s="287">
        <f t="shared" si="180"/>
        <v>514.81999999999994</v>
      </c>
      <c r="Q231" s="287">
        <f t="shared" si="157"/>
        <v>1021.7</v>
      </c>
      <c r="R231" s="287">
        <f t="shared" si="144"/>
        <v>134.16999999999999</v>
      </c>
      <c r="S231" s="287">
        <f t="shared" si="145"/>
        <v>188.55</v>
      </c>
      <c r="T231" s="287">
        <f t="shared" si="143"/>
        <v>1859.24</v>
      </c>
      <c r="U231" s="287">
        <f t="shared" si="181"/>
        <v>56315.99000000002</v>
      </c>
      <c r="V231" s="287">
        <f t="shared" si="182"/>
        <v>209501.96999999994</v>
      </c>
      <c r="W231" s="287">
        <f t="shared" si="158"/>
        <v>174634.00999999998</v>
      </c>
      <c r="X231" s="519">
        <f t="shared" si="174"/>
        <v>50889</v>
      </c>
      <c r="Y231" s="287">
        <f t="shared" si="159"/>
        <v>198651.86999999991</v>
      </c>
      <c r="Z231" s="511">
        <f t="shared" si="167"/>
        <v>7.0000000000000007E-2</v>
      </c>
      <c r="AA231" s="287">
        <f t="shared" si="168"/>
        <v>1746.44</v>
      </c>
      <c r="AB231" s="287">
        <f t="shared" si="160"/>
        <v>587.6400000000001</v>
      </c>
      <c r="AC231" s="287">
        <f t="shared" si="169"/>
        <v>1158.8</v>
      </c>
      <c r="AD231" s="287">
        <f t="shared" si="146"/>
        <v>134.16999999999999</v>
      </c>
      <c r="AE231" s="287">
        <f t="shared" si="147"/>
        <v>188.55</v>
      </c>
      <c r="AF231" s="287">
        <f t="shared" si="161"/>
        <v>2069.1600000000003</v>
      </c>
      <c r="AG231" s="287">
        <f t="shared" si="162"/>
        <v>77884.569999999978</v>
      </c>
      <c r="AH231" s="287">
        <f t="shared" si="163"/>
        <v>192431.54999999996</v>
      </c>
      <c r="AI231" s="530">
        <f t="shared" si="148"/>
        <v>-4498.1599999999962</v>
      </c>
      <c r="AJ231" s="530">
        <f t="shared" si="183"/>
        <v>-23430.219999999914</v>
      </c>
      <c r="AK231" s="530">
        <f t="shared" si="149"/>
        <v>-27928.37999999991</v>
      </c>
      <c r="AL231" s="287">
        <f t="shared" si="164"/>
        <v>198064.22999999989</v>
      </c>
      <c r="AM231" s="428">
        <f t="shared" si="175"/>
        <v>14</v>
      </c>
      <c r="AN231" s="14">
        <f t="shared" si="150"/>
        <v>749.98</v>
      </c>
      <c r="AO231" s="14">
        <f t="shared" si="138"/>
        <v>125632.68999999997</v>
      </c>
      <c r="AP231" s="14">
        <f t="shared" si="151"/>
        <v>959.90000000000009</v>
      </c>
      <c r="AS231" s="14">
        <f t="shared" si="170"/>
        <v>749.98</v>
      </c>
      <c r="AT231" s="14">
        <f t="shared" si="176"/>
        <v>129265.97999999978</v>
      </c>
      <c r="AU231" s="287">
        <f t="shared" si="177"/>
        <v>1579.6786215041282</v>
      </c>
      <c r="AV231" s="287">
        <f t="shared" si="178"/>
        <v>244533.26507274251</v>
      </c>
    </row>
    <row r="232" spans="1:48" x14ac:dyDescent="0.25">
      <c r="A232" s="519">
        <f t="shared" si="152"/>
        <v>50919</v>
      </c>
      <c r="B232" s="287">
        <f t="shared" si="171"/>
        <v>94466.519999999888</v>
      </c>
      <c r="C232" s="14">
        <f t="shared" si="165"/>
        <v>786.54</v>
      </c>
      <c r="D232" s="14">
        <f t="shared" si="179"/>
        <v>550.37</v>
      </c>
      <c r="E232" s="14">
        <f t="shared" si="166"/>
        <v>236.17</v>
      </c>
      <c r="F232" s="14">
        <f t="shared" si="142"/>
        <v>134.16999999999999</v>
      </c>
      <c r="G232" s="14">
        <f t="shared" si="140"/>
        <v>188.55</v>
      </c>
      <c r="H232" s="14">
        <f t="shared" si="141"/>
        <v>1109.26</v>
      </c>
      <c r="I232" s="287">
        <f t="shared" si="153"/>
        <v>93108.25</v>
      </c>
      <c r="J232" s="287">
        <f t="shared" si="154"/>
        <v>78823.87000000001</v>
      </c>
      <c r="K232" s="287">
        <f t="shared" si="155"/>
        <v>93916.149999999892</v>
      </c>
      <c r="L232" s="428">
        <f t="shared" si="139"/>
        <v>14</v>
      </c>
      <c r="M232" s="428">
        <f t="shared" si="172"/>
        <v>173</v>
      </c>
      <c r="N232" s="287">
        <f t="shared" si="173"/>
        <v>174634.00999999998</v>
      </c>
      <c r="O232" s="287">
        <f t="shared" si="156"/>
        <v>1536.52</v>
      </c>
      <c r="P232" s="287">
        <f t="shared" si="180"/>
        <v>517.81999999999994</v>
      </c>
      <c r="Q232" s="287">
        <f t="shared" si="157"/>
        <v>1018.7</v>
      </c>
      <c r="R232" s="287">
        <f t="shared" si="144"/>
        <v>134.16999999999999</v>
      </c>
      <c r="S232" s="287">
        <f t="shared" si="145"/>
        <v>188.55</v>
      </c>
      <c r="T232" s="287">
        <f t="shared" si="143"/>
        <v>1859.24</v>
      </c>
      <c r="U232" s="287">
        <f t="shared" si="181"/>
        <v>56833.810000000019</v>
      </c>
      <c r="V232" s="287">
        <f t="shared" si="182"/>
        <v>210520.66999999995</v>
      </c>
      <c r="W232" s="287">
        <f t="shared" si="158"/>
        <v>174116.18999999997</v>
      </c>
      <c r="X232" s="519">
        <f t="shared" si="174"/>
        <v>50919</v>
      </c>
      <c r="Y232" s="287">
        <f t="shared" si="159"/>
        <v>198064.22999999989</v>
      </c>
      <c r="Z232" s="511">
        <f t="shared" si="167"/>
        <v>7.0000000000000007E-2</v>
      </c>
      <c r="AA232" s="287">
        <f t="shared" si="168"/>
        <v>1746.44</v>
      </c>
      <c r="AB232" s="287">
        <f t="shared" si="160"/>
        <v>591.07000000000016</v>
      </c>
      <c r="AC232" s="287">
        <f t="shared" si="169"/>
        <v>1155.3699999999999</v>
      </c>
      <c r="AD232" s="287">
        <f t="shared" si="146"/>
        <v>134.16999999999999</v>
      </c>
      <c r="AE232" s="287">
        <f t="shared" si="147"/>
        <v>188.55</v>
      </c>
      <c r="AF232" s="287">
        <f t="shared" si="161"/>
        <v>2069.1600000000003</v>
      </c>
      <c r="AG232" s="287">
        <f t="shared" si="162"/>
        <v>78475.639999999985</v>
      </c>
      <c r="AH232" s="287">
        <f t="shared" si="163"/>
        <v>193586.91999999995</v>
      </c>
      <c r="AI232" s="530">
        <f t="shared" si="148"/>
        <v>-4708.0799999999963</v>
      </c>
      <c r="AJ232" s="530">
        <f t="shared" si="183"/>
        <v>-23356.969999999914</v>
      </c>
      <c r="AK232" s="530">
        <f t="shared" si="149"/>
        <v>-28065.049999999908</v>
      </c>
      <c r="AL232" s="287">
        <f t="shared" si="164"/>
        <v>197473.15999999989</v>
      </c>
      <c r="AM232" s="428">
        <f t="shared" si="175"/>
        <v>14</v>
      </c>
      <c r="AN232" s="14">
        <f t="shared" si="150"/>
        <v>749.98</v>
      </c>
      <c r="AO232" s="14">
        <f t="shared" si="138"/>
        <v>125665.23999999996</v>
      </c>
      <c r="AP232" s="14">
        <f t="shared" si="151"/>
        <v>959.90000000000009</v>
      </c>
      <c r="AS232" s="14">
        <f t="shared" si="170"/>
        <v>749.98</v>
      </c>
      <c r="AT232" s="14">
        <f t="shared" si="176"/>
        <v>130015.95999999977</v>
      </c>
      <c r="AU232" s="287">
        <f t="shared" si="177"/>
        <v>1584.9442169091417</v>
      </c>
      <c r="AV232" s="287">
        <f t="shared" si="178"/>
        <v>246118.20928965166</v>
      </c>
    </row>
    <row r="233" spans="1:48" x14ac:dyDescent="0.25">
      <c r="A233" s="519">
        <f t="shared" si="152"/>
        <v>50949</v>
      </c>
      <c r="B233" s="287">
        <f t="shared" si="171"/>
        <v>93916.149999999892</v>
      </c>
      <c r="C233" s="14">
        <f t="shared" si="165"/>
        <v>786.54</v>
      </c>
      <c r="D233" s="14">
        <f t="shared" si="179"/>
        <v>551.75</v>
      </c>
      <c r="E233" s="14">
        <f t="shared" si="166"/>
        <v>234.79</v>
      </c>
      <c r="F233" s="14">
        <f t="shared" si="142"/>
        <v>134.16999999999999</v>
      </c>
      <c r="G233" s="14">
        <f t="shared" si="140"/>
        <v>188.55</v>
      </c>
      <c r="H233" s="14">
        <f t="shared" si="141"/>
        <v>1109.26</v>
      </c>
      <c r="I233" s="287">
        <f t="shared" si="153"/>
        <v>93660</v>
      </c>
      <c r="J233" s="287">
        <f t="shared" si="154"/>
        <v>79058.66</v>
      </c>
      <c r="K233" s="287">
        <f t="shared" si="155"/>
        <v>93364.399999999892</v>
      </c>
      <c r="L233" s="428">
        <f t="shared" si="139"/>
        <v>14</v>
      </c>
      <c r="M233" s="428">
        <f t="shared" si="172"/>
        <v>174</v>
      </c>
      <c r="N233" s="287">
        <f t="shared" si="173"/>
        <v>174116.18999999997</v>
      </c>
      <c r="O233" s="287">
        <f t="shared" si="156"/>
        <v>1536.52</v>
      </c>
      <c r="P233" s="287">
        <f t="shared" si="180"/>
        <v>520.84</v>
      </c>
      <c r="Q233" s="287">
        <f t="shared" si="157"/>
        <v>1015.68</v>
      </c>
      <c r="R233" s="287">
        <f t="shared" si="144"/>
        <v>134.16999999999999</v>
      </c>
      <c r="S233" s="287">
        <f t="shared" si="145"/>
        <v>188.55</v>
      </c>
      <c r="T233" s="287">
        <f t="shared" si="143"/>
        <v>1859.24</v>
      </c>
      <c r="U233" s="287">
        <f t="shared" si="181"/>
        <v>57354.650000000016</v>
      </c>
      <c r="V233" s="287">
        <f t="shared" si="182"/>
        <v>211536.34999999995</v>
      </c>
      <c r="W233" s="287">
        <f t="shared" si="158"/>
        <v>173595.34999999998</v>
      </c>
      <c r="X233" s="519">
        <f t="shared" si="174"/>
        <v>50949</v>
      </c>
      <c r="Y233" s="287">
        <f t="shared" si="159"/>
        <v>197473.15999999989</v>
      </c>
      <c r="Z233" s="511">
        <f t="shared" si="167"/>
        <v>7.0000000000000007E-2</v>
      </c>
      <c r="AA233" s="287">
        <f t="shared" si="168"/>
        <v>1746.44</v>
      </c>
      <c r="AB233" s="287">
        <f t="shared" si="160"/>
        <v>594.51</v>
      </c>
      <c r="AC233" s="287">
        <f t="shared" si="169"/>
        <v>1151.93</v>
      </c>
      <c r="AD233" s="287">
        <f t="shared" si="146"/>
        <v>134.16999999999999</v>
      </c>
      <c r="AE233" s="287">
        <f t="shared" si="147"/>
        <v>188.55</v>
      </c>
      <c r="AF233" s="287">
        <f t="shared" si="161"/>
        <v>2069.1600000000003</v>
      </c>
      <c r="AG233" s="287">
        <f t="shared" si="162"/>
        <v>79070.14999999998</v>
      </c>
      <c r="AH233" s="287">
        <f t="shared" si="163"/>
        <v>194738.84999999995</v>
      </c>
      <c r="AI233" s="530">
        <f t="shared" si="148"/>
        <v>-4917.9999999999964</v>
      </c>
      <c r="AJ233" s="530">
        <f t="shared" si="183"/>
        <v>-23283.299999999901</v>
      </c>
      <c r="AK233" s="530">
        <f t="shared" si="149"/>
        <v>-28201.299999999897</v>
      </c>
      <c r="AL233" s="287">
        <f t="shared" si="164"/>
        <v>196878.64999999988</v>
      </c>
      <c r="AM233" s="428">
        <f t="shared" si="175"/>
        <v>14</v>
      </c>
      <c r="AN233" s="14">
        <f t="shared" si="150"/>
        <v>749.98</v>
      </c>
      <c r="AO233" s="14">
        <f t="shared" si="138"/>
        <v>125696.14999999997</v>
      </c>
      <c r="AP233" s="14">
        <f t="shared" si="151"/>
        <v>959.90000000000009</v>
      </c>
      <c r="AS233" s="14">
        <f t="shared" si="170"/>
        <v>749.98</v>
      </c>
      <c r="AT233" s="14">
        <f t="shared" si="176"/>
        <v>130765.93999999977</v>
      </c>
      <c r="AU233" s="287">
        <f t="shared" si="177"/>
        <v>1590.2273642988387</v>
      </c>
      <c r="AV233" s="287">
        <f t="shared" si="178"/>
        <v>247708.43665395048</v>
      </c>
    </row>
    <row r="234" spans="1:48" x14ac:dyDescent="0.25">
      <c r="A234" s="519">
        <f t="shared" si="152"/>
        <v>50979</v>
      </c>
      <c r="B234" s="287">
        <f t="shared" si="171"/>
        <v>93364.399999999892</v>
      </c>
      <c r="C234" s="14">
        <f t="shared" si="165"/>
        <v>786.54</v>
      </c>
      <c r="D234" s="14">
        <f t="shared" si="179"/>
        <v>553.13</v>
      </c>
      <c r="E234" s="14">
        <f t="shared" si="166"/>
        <v>233.41</v>
      </c>
      <c r="F234" s="14">
        <f t="shared" si="142"/>
        <v>134.16999999999999</v>
      </c>
      <c r="G234" s="14">
        <f t="shared" si="140"/>
        <v>188.55</v>
      </c>
      <c r="H234" s="14">
        <f t="shared" si="141"/>
        <v>1109.26</v>
      </c>
      <c r="I234" s="287">
        <f t="shared" si="153"/>
        <v>94213.13</v>
      </c>
      <c r="J234" s="287">
        <f t="shared" si="154"/>
        <v>79292.070000000007</v>
      </c>
      <c r="K234" s="287">
        <f t="shared" si="155"/>
        <v>92811.269999999888</v>
      </c>
      <c r="L234" s="428">
        <f t="shared" si="139"/>
        <v>14</v>
      </c>
      <c r="M234" s="428">
        <f t="shared" si="172"/>
        <v>175</v>
      </c>
      <c r="N234" s="287">
        <f t="shared" si="173"/>
        <v>173595.34999999998</v>
      </c>
      <c r="O234" s="287">
        <f t="shared" si="156"/>
        <v>1536.52</v>
      </c>
      <c r="P234" s="287">
        <f t="shared" si="180"/>
        <v>523.88</v>
      </c>
      <c r="Q234" s="287">
        <f t="shared" si="157"/>
        <v>1012.64</v>
      </c>
      <c r="R234" s="287">
        <f t="shared" si="144"/>
        <v>134.16999999999999</v>
      </c>
      <c r="S234" s="287">
        <f t="shared" si="145"/>
        <v>188.55</v>
      </c>
      <c r="T234" s="287">
        <f t="shared" si="143"/>
        <v>1859.24</v>
      </c>
      <c r="U234" s="287">
        <f t="shared" si="181"/>
        <v>57878.530000000013</v>
      </c>
      <c r="V234" s="287">
        <f t="shared" si="182"/>
        <v>212548.98999999996</v>
      </c>
      <c r="W234" s="287">
        <f t="shared" si="158"/>
        <v>173071.46999999997</v>
      </c>
      <c r="X234" s="519">
        <f t="shared" si="174"/>
        <v>50979</v>
      </c>
      <c r="Y234" s="287">
        <f t="shared" si="159"/>
        <v>196878.64999999988</v>
      </c>
      <c r="Z234" s="511">
        <f t="shared" si="167"/>
        <v>7.0000000000000007E-2</v>
      </c>
      <c r="AA234" s="287">
        <f t="shared" si="168"/>
        <v>1746.44</v>
      </c>
      <c r="AB234" s="287">
        <f t="shared" si="160"/>
        <v>597.98</v>
      </c>
      <c r="AC234" s="287">
        <f t="shared" si="169"/>
        <v>1148.46</v>
      </c>
      <c r="AD234" s="287">
        <f t="shared" si="146"/>
        <v>134.16999999999999</v>
      </c>
      <c r="AE234" s="287">
        <f t="shared" si="147"/>
        <v>188.55</v>
      </c>
      <c r="AF234" s="287">
        <f t="shared" si="161"/>
        <v>2069.1600000000003</v>
      </c>
      <c r="AG234" s="287">
        <f t="shared" si="162"/>
        <v>79668.129999999976</v>
      </c>
      <c r="AH234" s="287">
        <f t="shared" si="163"/>
        <v>195887.30999999994</v>
      </c>
      <c r="AI234" s="530">
        <f t="shared" si="148"/>
        <v>-5127.9199999999964</v>
      </c>
      <c r="AJ234" s="530">
        <f t="shared" si="183"/>
        <v>-23209.199999999895</v>
      </c>
      <c r="AK234" s="530">
        <f t="shared" si="149"/>
        <v>-28337.119999999893</v>
      </c>
      <c r="AL234" s="287">
        <f t="shared" si="164"/>
        <v>196280.66999999987</v>
      </c>
      <c r="AM234" s="428">
        <f t="shared" si="175"/>
        <v>14</v>
      </c>
      <c r="AN234" s="14">
        <f t="shared" si="150"/>
        <v>749.98</v>
      </c>
      <c r="AO234" s="14">
        <f t="shared" si="138"/>
        <v>125725.39999999998</v>
      </c>
      <c r="AP234" s="14">
        <f t="shared" si="151"/>
        <v>959.90000000000009</v>
      </c>
      <c r="AS234" s="14">
        <f t="shared" si="170"/>
        <v>749.98</v>
      </c>
      <c r="AT234" s="14">
        <f t="shared" si="176"/>
        <v>131515.91999999978</v>
      </c>
      <c r="AU234" s="287">
        <f t="shared" si="177"/>
        <v>1595.528122179835</v>
      </c>
      <c r="AV234" s="287">
        <f t="shared" si="178"/>
        <v>249303.96477613031</v>
      </c>
    </row>
    <row r="235" spans="1:48" x14ac:dyDescent="0.25">
      <c r="A235" s="519">
        <f t="shared" si="152"/>
        <v>51009</v>
      </c>
      <c r="B235" s="287">
        <f t="shared" si="171"/>
        <v>92811.269999999888</v>
      </c>
      <c r="C235" s="14">
        <f t="shared" si="165"/>
        <v>786.54</v>
      </c>
      <c r="D235" s="14">
        <f t="shared" si="179"/>
        <v>554.51</v>
      </c>
      <c r="E235" s="14">
        <f t="shared" si="166"/>
        <v>232.03</v>
      </c>
      <c r="F235" s="14">
        <f t="shared" si="142"/>
        <v>134.16999999999999</v>
      </c>
      <c r="G235" s="14">
        <f t="shared" si="140"/>
        <v>188.55</v>
      </c>
      <c r="H235" s="14">
        <f t="shared" si="141"/>
        <v>1109.26</v>
      </c>
      <c r="I235" s="287">
        <f t="shared" si="153"/>
        <v>94767.64</v>
      </c>
      <c r="J235" s="287">
        <f t="shared" si="154"/>
        <v>79524.100000000006</v>
      </c>
      <c r="K235" s="287">
        <f t="shared" si="155"/>
        <v>92256.759999999893</v>
      </c>
      <c r="L235" s="428">
        <f t="shared" si="139"/>
        <v>14</v>
      </c>
      <c r="M235" s="428">
        <f t="shared" si="172"/>
        <v>176</v>
      </c>
      <c r="N235" s="287">
        <f t="shared" si="173"/>
        <v>173071.46999999997</v>
      </c>
      <c r="O235" s="287">
        <f t="shared" si="156"/>
        <v>1536.52</v>
      </c>
      <c r="P235" s="287">
        <f t="shared" si="180"/>
        <v>526.93999999999994</v>
      </c>
      <c r="Q235" s="287">
        <f t="shared" si="157"/>
        <v>1009.58</v>
      </c>
      <c r="R235" s="287">
        <f t="shared" si="144"/>
        <v>134.16999999999999</v>
      </c>
      <c r="S235" s="287">
        <f t="shared" si="145"/>
        <v>188.55</v>
      </c>
      <c r="T235" s="287">
        <f t="shared" si="143"/>
        <v>1859.24</v>
      </c>
      <c r="U235" s="287">
        <f t="shared" si="181"/>
        <v>58405.470000000016</v>
      </c>
      <c r="V235" s="287">
        <f t="shared" si="182"/>
        <v>213558.56999999995</v>
      </c>
      <c r="W235" s="287">
        <f t="shared" si="158"/>
        <v>172544.52999999997</v>
      </c>
      <c r="X235" s="519">
        <f t="shared" si="174"/>
        <v>51009</v>
      </c>
      <c r="Y235" s="287">
        <f t="shared" si="159"/>
        <v>196280.66999999987</v>
      </c>
      <c r="Z235" s="511">
        <f t="shared" si="167"/>
        <v>7.0000000000000007E-2</v>
      </c>
      <c r="AA235" s="287">
        <f t="shared" si="168"/>
        <v>1746.44</v>
      </c>
      <c r="AB235" s="287">
        <f t="shared" si="160"/>
        <v>601.47</v>
      </c>
      <c r="AC235" s="287">
        <f t="shared" si="169"/>
        <v>1144.97</v>
      </c>
      <c r="AD235" s="287">
        <f t="shared" si="146"/>
        <v>134.16999999999999</v>
      </c>
      <c r="AE235" s="287">
        <f t="shared" si="147"/>
        <v>188.55</v>
      </c>
      <c r="AF235" s="287">
        <f t="shared" si="161"/>
        <v>2069.1600000000003</v>
      </c>
      <c r="AG235" s="287">
        <f t="shared" si="162"/>
        <v>80269.599999999977</v>
      </c>
      <c r="AH235" s="287">
        <f t="shared" si="163"/>
        <v>197032.27999999994</v>
      </c>
      <c r="AI235" s="530">
        <f t="shared" si="148"/>
        <v>-5337.8399999999965</v>
      </c>
      <c r="AJ235" s="530">
        <f t="shared" si="183"/>
        <v>-23134.669999999896</v>
      </c>
      <c r="AK235" s="530">
        <f t="shared" si="149"/>
        <v>-28472.509999999893</v>
      </c>
      <c r="AL235" s="287">
        <f t="shared" si="164"/>
        <v>195679.19999999987</v>
      </c>
      <c r="AM235" s="428">
        <f t="shared" si="175"/>
        <v>14</v>
      </c>
      <c r="AN235" s="14">
        <f t="shared" si="150"/>
        <v>749.98</v>
      </c>
      <c r="AO235" s="14">
        <f t="shared" si="138"/>
        <v>125752.96999999999</v>
      </c>
      <c r="AP235" s="14">
        <f t="shared" si="151"/>
        <v>959.90000000000009</v>
      </c>
      <c r="AS235" s="14">
        <f t="shared" si="170"/>
        <v>749.98</v>
      </c>
      <c r="AT235" s="14">
        <f t="shared" si="176"/>
        <v>132265.89999999979</v>
      </c>
      <c r="AU235" s="287">
        <f t="shared" si="177"/>
        <v>1600.8465492537678</v>
      </c>
      <c r="AV235" s="287">
        <f t="shared" si="178"/>
        <v>250904.81132538407</v>
      </c>
    </row>
    <row r="236" spans="1:48" x14ac:dyDescent="0.25">
      <c r="A236" s="519">
        <f t="shared" si="152"/>
        <v>51039</v>
      </c>
      <c r="B236" s="287">
        <f t="shared" si="171"/>
        <v>92256.759999999893</v>
      </c>
      <c r="C236" s="14">
        <f t="shared" si="165"/>
        <v>786.54</v>
      </c>
      <c r="D236" s="14">
        <f t="shared" si="179"/>
        <v>555.9</v>
      </c>
      <c r="E236" s="14">
        <f t="shared" si="166"/>
        <v>230.64</v>
      </c>
      <c r="F236" s="14">
        <f t="shared" si="142"/>
        <v>134.16999999999999</v>
      </c>
      <c r="G236" s="14">
        <f t="shared" si="140"/>
        <v>188.55</v>
      </c>
      <c r="H236" s="14">
        <f t="shared" si="141"/>
        <v>1109.26</v>
      </c>
      <c r="I236" s="287">
        <f t="shared" si="153"/>
        <v>95323.54</v>
      </c>
      <c r="J236" s="287">
        <f t="shared" si="154"/>
        <v>79754.740000000005</v>
      </c>
      <c r="K236" s="287">
        <f t="shared" si="155"/>
        <v>91700.859999999899</v>
      </c>
      <c r="L236" s="428">
        <f t="shared" si="139"/>
        <v>14</v>
      </c>
      <c r="M236" s="428">
        <f t="shared" si="172"/>
        <v>177</v>
      </c>
      <c r="N236" s="287">
        <f t="shared" si="173"/>
        <v>172544.52999999997</v>
      </c>
      <c r="O236" s="287">
        <f t="shared" si="156"/>
        <v>1536.52</v>
      </c>
      <c r="P236" s="287">
        <f t="shared" si="180"/>
        <v>530.01</v>
      </c>
      <c r="Q236" s="287">
        <f t="shared" si="157"/>
        <v>1006.51</v>
      </c>
      <c r="R236" s="287">
        <f t="shared" si="144"/>
        <v>134.16999999999999</v>
      </c>
      <c r="S236" s="287">
        <f t="shared" si="145"/>
        <v>188.55</v>
      </c>
      <c r="T236" s="287">
        <f t="shared" si="143"/>
        <v>1859.24</v>
      </c>
      <c r="U236" s="287">
        <f t="shared" si="181"/>
        <v>58935.480000000018</v>
      </c>
      <c r="V236" s="287">
        <f t="shared" si="182"/>
        <v>214565.07999999996</v>
      </c>
      <c r="W236" s="287">
        <f t="shared" si="158"/>
        <v>172014.51999999996</v>
      </c>
      <c r="X236" s="519">
        <f t="shared" si="174"/>
        <v>51039</v>
      </c>
      <c r="Y236" s="287">
        <f t="shared" si="159"/>
        <v>195679.19999999987</v>
      </c>
      <c r="Z236" s="511">
        <f t="shared" si="167"/>
        <v>7.0000000000000007E-2</v>
      </c>
      <c r="AA236" s="287">
        <f t="shared" si="168"/>
        <v>1746.44</v>
      </c>
      <c r="AB236" s="287">
        <f t="shared" si="160"/>
        <v>604.98</v>
      </c>
      <c r="AC236" s="287">
        <f t="shared" si="169"/>
        <v>1141.46</v>
      </c>
      <c r="AD236" s="287">
        <f t="shared" si="146"/>
        <v>134.16999999999999</v>
      </c>
      <c r="AE236" s="287">
        <f t="shared" si="147"/>
        <v>188.55</v>
      </c>
      <c r="AF236" s="287">
        <f t="shared" si="161"/>
        <v>2069.1600000000003</v>
      </c>
      <c r="AG236" s="287">
        <f t="shared" si="162"/>
        <v>80874.579999999973</v>
      </c>
      <c r="AH236" s="287">
        <f t="shared" si="163"/>
        <v>198173.73999999993</v>
      </c>
      <c r="AI236" s="530">
        <f t="shared" si="148"/>
        <v>-5547.7599999999966</v>
      </c>
      <c r="AJ236" s="530">
        <f t="shared" si="183"/>
        <v>-23059.699999999895</v>
      </c>
      <c r="AK236" s="530">
        <f t="shared" si="149"/>
        <v>-28607.45999999989</v>
      </c>
      <c r="AL236" s="287">
        <f t="shared" si="164"/>
        <v>195074.21999999986</v>
      </c>
      <c r="AM236" s="428">
        <f t="shared" si="175"/>
        <v>14</v>
      </c>
      <c r="AN236" s="14">
        <f t="shared" si="150"/>
        <v>749.98</v>
      </c>
      <c r="AO236" s="14">
        <f t="shared" si="138"/>
        <v>125778.85999999996</v>
      </c>
      <c r="AP236" s="14">
        <f t="shared" si="151"/>
        <v>959.90000000000009</v>
      </c>
      <c r="AS236" s="14">
        <f t="shared" si="170"/>
        <v>749.98</v>
      </c>
      <c r="AT236" s="14">
        <f t="shared" si="176"/>
        <v>133015.8799999998</v>
      </c>
      <c r="AU236" s="287">
        <f t="shared" si="177"/>
        <v>1606.182704417947</v>
      </c>
      <c r="AV236" s="287">
        <f t="shared" si="178"/>
        <v>252510.99402980201</v>
      </c>
    </row>
    <row r="237" spans="1:48" x14ac:dyDescent="0.25">
      <c r="A237" s="519">
        <f t="shared" si="152"/>
        <v>51069</v>
      </c>
      <c r="B237" s="287">
        <f t="shared" si="171"/>
        <v>91700.859999999899</v>
      </c>
      <c r="C237" s="14">
        <f t="shared" si="165"/>
        <v>786.54</v>
      </c>
      <c r="D237" s="14">
        <f t="shared" si="179"/>
        <v>557.29</v>
      </c>
      <c r="E237" s="14">
        <f t="shared" si="166"/>
        <v>229.25</v>
      </c>
      <c r="F237" s="14">
        <f t="shared" si="142"/>
        <v>134.16999999999999</v>
      </c>
      <c r="G237" s="14">
        <f t="shared" si="140"/>
        <v>188.55</v>
      </c>
      <c r="H237" s="14">
        <f t="shared" si="141"/>
        <v>1109.26</v>
      </c>
      <c r="I237" s="287">
        <f t="shared" si="153"/>
        <v>95880.829999999987</v>
      </c>
      <c r="J237" s="287">
        <f t="shared" si="154"/>
        <v>79983.990000000005</v>
      </c>
      <c r="K237" s="287">
        <f t="shared" si="155"/>
        <v>91143.569999999905</v>
      </c>
      <c r="L237" s="428">
        <f t="shared" si="139"/>
        <v>14</v>
      </c>
      <c r="M237" s="428">
        <f t="shared" si="172"/>
        <v>178</v>
      </c>
      <c r="N237" s="287">
        <f t="shared" si="173"/>
        <v>172014.51999999996</v>
      </c>
      <c r="O237" s="287">
        <f t="shared" si="156"/>
        <v>1536.52</v>
      </c>
      <c r="P237" s="287">
        <f t="shared" si="180"/>
        <v>533.1</v>
      </c>
      <c r="Q237" s="287">
        <f t="shared" si="157"/>
        <v>1003.42</v>
      </c>
      <c r="R237" s="287">
        <f t="shared" si="144"/>
        <v>134.16999999999999</v>
      </c>
      <c r="S237" s="287">
        <f t="shared" si="145"/>
        <v>188.55</v>
      </c>
      <c r="T237" s="287">
        <f t="shared" si="143"/>
        <v>1859.24</v>
      </c>
      <c r="U237" s="287">
        <f t="shared" si="181"/>
        <v>59468.580000000016</v>
      </c>
      <c r="V237" s="287">
        <f t="shared" si="182"/>
        <v>215568.49999999997</v>
      </c>
      <c r="W237" s="287">
        <f t="shared" si="158"/>
        <v>171481.41999999995</v>
      </c>
      <c r="X237" s="519">
        <f t="shared" si="174"/>
        <v>51069</v>
      </c>
      <c r="Y237" s="287">
        <f t="shared" si="159"/>
        <v>195074.21999999986</v>
      </c>
      <c r="Z237" s="511">
        <f t="shared" si="167"/>
        <v>7.0000000000000007E-2</v>
      </c>
      <c r="AA237" s="287">
        <f t="shared" si="168"/>
        <v>1746.44</v>
      </c>
      <c r="AB237" s="287">
        <f t="shared" si="160"/>
        <v>608.51</v>
      </c>
      <c r="AC237" s="287">
        <f t="shared" si="169"/>
        <v>1137.93</v>
      </c>
      <c r="AD237" s="287">
        <f t="shared" si="146"/>
        <v>134.16999999999999</v>
      </c>
      <c r="AE237" s="287">
        <f t="shared" si="147"/>
        <v>188.55</v>
      </c>
      <c r="AF237" s="287">
        <f t="shared" si="161"/>
        <v>2069.1600000000003</v>
      </c>
      <c r="AG237" s="287">
        <f t="shared" si="162"/>
        <v>81483.089999999967</v>
      </c>
      <c r="AH237" s="287">
        <f t="shared" si="163"/>
        <v>199311.66999999993</v>
      </c>
      <c r="AI237" s="530">
        <f t="shared" si="148"/>
        <v>-5757.6799999999967</v>
      </c>
      <c r="AJ237" s="530">
        <f t="shared" si="183"/>
        <v>-22984.289999999892</v>
      </c>
      <c r="AK237" s="530">
        <f t="shared" si="149"/>
        <v>-28741.969999999888</v>
      </c>
      <c r="AL237" s="287">
        <f t="shared" si="164"/>
        <v>194465.70999999985</v>
      </c>
      <c r="AM237" s="428">
        <f t="shared" si="175"/>
        <v>14</v>
      </c>
      <c r="AN237" s="14">
        <f t="shared" si="150"/>
        <v>749.98</v>
      </c>
      <c r="AO237" s="14">
        <f t="shared" ref="AO237:AO300" si="184">IF(W237&lt;=0,0,+$AA$5-$C$2+I237-U237)</f>
        <v>125803.04999999996</v>
      </c>
      <c r="AP237" s="14">
        <f t="shared" si="151"/>
        <v>959.90000000000009</v>
      </c>
      <c r="AS237" s="14">
        <f t="shared" si="170"/>
        <v>749.98</v>
      </c>
      <c r="AT237" s="14">
        <f t="shared" si="176"/>
        <v>133765.85999999981</v>
      </c>
      <c r="AU237" s="287">
        <f t="shared" si="177"/>
        <v>1611.5366467660069</v>
      </c>
      <c r="AV237" s="287">
        <f t="shared" si="178"/>
        <v>254122.53067656801</v>
      </c>
    </row>
    <row r="238" spans="1:48" x14ac:dyDescent="0.25">
      <c r="A238" s="519">
        <f t="shared" si="152"/>
        <v>51099</v>
      </c>
      <c r="B238" s="287">
        <f t="shared" si="171"/>
        <v>91143.569999999905</v>
      </c>
      <c r="C238" s="14">
        <f t="shared" si="165"/>
        <v>786.54</v>
      </c>
      <c r="D238" s="14">
        <f t="shared" si="179"/>
        <v>558.67999999999995</v>
      </c>
      <c r="E238" s="14">
        <f t="shared" si="166"/>
        <v>227.86</v>
      </c>
      <c r="F238" s="14">
        <f t="shared" si="142"/>
        <v>134.16999999999999</v>
      </c>
      <c r="G238" s="14">
        <f t="shared" si="140"/>
        <v>188.55</v>
      </c>
      <c r="H238" s="14">
        <f t="shared" si="141"/>
        <v>1109.26</v>
      </c>
      <c r="I238" s="287">
        <f t="shared" si="153"/>
        <v>96439.50999999998</v>
      </c>
      <c r="J238" s="287">
        <f t="shared" si="154"/>
        <v>80211.850000000006</v>
      </c>
      <c r="K238" s="287">
        <f t="shared" si="155"/>
        <v>90584.889999999912</v>
      </c>
      <c r="L238" s="428">
        <f t="shared" si="139"/>
        <v>14</v>
      </c>
      <c r="M238" s="428">
        <f t="shared" si="172"/>
        <v>179</v>
      </c>
      <c r="N238" s="287">
        <f t="shared" si="173"/>
        <v>171481.41999999995</v>
      </c>
      <c r="O238" s="287">
        <f t="shared" si="156"/>
        <v>1536.52</v>
      </c>
      <c r="P238" s="287">
        <f t="shared" si="180"/>
        <v>536.21</v>
      </c>
      <c r="Q238" s="287">
        <f t="shared" si="157"/>
        <v>1000.31</v>
      </c>
      <c r="R238" s="287">
        <f t="shared" si="144"/>
        <v>134.16999999999999</v>
      </c>
      <c r="S238" s="287">
        <f t="shared" si="145"/>
        <v>188.55</v>
      </c>
      <c r="T238" s="287">
        <f t="shared" si="143"/>
        <v>1859.24</v>
      </c>
      <c r="U238" s="287">
        <f t="shared" si="181"/>
        <v>60004.790000000015</v>
      </c>
      <c r="V238" s="287">
        <f t="shared" si="182"/>
        <v>216568.80999999997</v>
      </c>
      <c r="W238" s="287">
        <f t="shared" si="158"/>
        <v>170945.20999999996</v>
      </c>
      <c r="X238" s="519">
        <f t="shared" si="174"/>
        <v>51099</v>
      </c>
      <c r="Y238" s="287">
        <f t="shared" si="159"/>
        <v>194465.70999999985</v>
      </c>
      <c r="Z238" s="511">
        <f t="shared" si="167"/>
        <v>7.0000000000000007E-2</v>
      </c>
      <c r="AA238" s="287">
        <f t="shared" si="168"/>
        <v>1746.44</v>
      </c>
      <c r="AB238" s="287">
        <f t="shared" si="160"/>
        <v>612.05999999999995</v>
      </c>
      <c r="AC238" s="287">
        <f t="shared" si="169"/>
        <v>1134.3800000000001</v>
      </c>
      <c r="AD238" s="287">
        <f t="shared" si="146"/>
        <v>134.16999999999999</v>
      </c>
      <c r="AE238" s="287">
        <f t="shared" si="147"/>
        <v>188.55</v>
      </c>
      <c r="AF238" s="287">
        <f t="shared" si="161"/>
        <v>2069.1600000000003</v>
      </c>
      <c r="AG238" s="287">
        <f t="shared" si="162"/>
        <v>82095.149999999965</v>
      </c>
      <c r="AH238" s="287">
        <f t="shared" si="163"/>
        <v>200446.04999999993</v>
      </c>
      <c r="AI238" s="530">
        <f t="shared" si="148"/>
        <v>-5967.5999999999967</v>
      </c>
      <c r="AJ238" s="530">
        <f t="shared" si="183"/>
        <v>-22908.439999999886</v>
      </c>
      <c r="AK238" s="530">
        <f t="shared" si="149"/>
        <v>-28876.039999999884</v>
      </c>
      <c r="AL238" s="287">
        <f t="shared" si="164"/>
        <v>193853.64999999985</v>
      </c>
      <c r="AM238" s="428">
        <f t="shared" si="175"/>
        <v>14</v>
      </c>
      <c r="AN238" s="14">
        <f t="shared" si="150"/>
        <v>749.98</v>
      </c>
      <c r="AO238" s="14">
        <f t="shared" si="184"/>
        <v>125825.51999999996</v>
      </c>
      <c r="AP238" s="14">
        <f t="shared" si="151"/>
        <v>959.90000000000009</v>
      </c>
      <c r="AS238" s="14">
        <f t="shared" si="170"/>
        <v>749.98</v>
      </c>
      <c r="AT238" s="14">
        <f t="shared" si="176"/>
        <v>134515.83999999982</v>
      </c>
      <c r="AU238" s="287">
        <f t="shared" si="177"/>
        <v>1616.90843558856</v>
      </c>
      <c r="AV238" s="287">
        <f t="shared" si="178"/>
        <v>255739.43911215657</v>
      </c>
    </row>
    <row r="239" spans="1:48" x14ac:dyDescent="0.25">
      <c r="A239" s="519">
        <f t="shared" si="152"/>
        <v>51129</v>
      </c>
      <c r="B239" s="287">
        <f t="shared" si="171"/>
        <v>90584.889999999912</v>
      </c>
      <c r="C239" s="14">
        <f t="shared" si="165"/>
        <v>786.54</v>
      </c>
      <c r="D239" s="14">
        <f t="shared" si="179"/>
        <v>560.07999999999993</v>
      </c>
      <c r="E239" s="14">
        <f t="shared" si="166"/>
        <v>226.46</v>
      </c>
      <c r="F239" s="14">
        <f t="shared" si="142"/>
        <v>134.16999999999999</v>
      </c>
      <c r="G239" s="14">
        <f t="shared" si="140"/>
        <v>188.55</v>
      </c>
      <c r="H239" s="14">
        <f t="shared" si="141"/>
        <v>1109.26</v>
      </c>
      <c r="I239" s="287">
        <f t="shared" si="153"/>
        <v>96999.589999999982</v>
      </c>
      <c r="J239" s="287">
        <f t="shared" si="154"/>
        <v>80438.310000000012</v>
      </c>
      <c r="K239" s="287">
        <f t="shared" si="155"/>
        <v>90024.80999999991</v>
      </c>
      <c r="L239" s="428">
        <f t="shared" ref="L239:L302" si="185">IF(MOD(M239,12)=0,M239/12,L238)</f>
        <v>15</v>
      </c>
      <c r="M239" s="428">
        <f t="shared" si="172"/>
        <v>180</v>
      </c>
      <c r="N239" s="287">
        <f t="shared" si="173"/>
        <v>170945.20999999996</v>
      </c>
      <c r="O239" s="287">
        <f t="shared" si="156"/>
        <v>1536.52</v>
      </c>
      <c r="P239" s="287">
        <f t="shared" si="180"/>
        <v>539.34</v>
      </c>
      <c r="Q239" s="287">
        <f t="shared" si="157"/>
        <v>997.18</v>
      </c>
      <c r="R239" s="287">
        <f t="shared" si="144"/>
        <v>134.16999999999999</v>
      </c>
      <c r="S239" s="287">
        <f t="shared" si="145"/>
        <v>188.55</v>
      </c>
      <c r="T239" s="287">
        <f t="shared" si="143"/>
        <v>1859.24</v>
      </c>
      <c r="U239" s="287">
        <f t="shared" si="181"/>
        <v>60544.130000000012</v>
      </c>
      <c r="V239" s="287">
        <f t="shared" si="182"/>
        <v>217565.98999999996</v>
      </c>
      <c r="W239" s="287">
        <f t="shared" si="158"/>
        <v>170405.86999999997</v>
      </c>
      <c r="X239" s="519">
        <f t="shared" si="174"/>
        <v>51129</v>
      </c>
      <c r="Y239" s="287">
        <f t="shared" si="159"/>
        <v>193853.64999999985</v>
      </c>
      <c r="Z239" s="511">
        <f t="shared" si="167"/>
        <v>7.0000000000000007E-2</v>
      </c>
      <c r="AA239" s="287">
        <f t="shared" si="168"/>
        <v>1746.44</v>
      </c>
      <c r="AB239" s="287">
        <f t="shared" si="160"/>
        <v>615.63000000000011</v>
      </c>
      <c r="AC239" s="287">
        <f t="shared" si="169"/>
        <v>1130.81</v>
      </c>
      <c r="AD239" s="287">
        <f t="shared" si="146"/>
        <v>134.16999999999999</v>
      </c>
      <c r="AE239" s="287">
        <f t="shared" si="147"/>
        <v>188.55</v>
      </c>
      <c r="AF239" s="287">
        <f t="shared" si="161"/>
        <v>2069.1600000000003</v>
      </c>
      <c r="AG239" s="287">
        <f t="shared" si="162"/>
        <v>82710.77999999997</v>
      </c>
      <c r="AH239" s="287">
        <f t="shared" si="163"/>
        <v>201576.85999999993</v>
      </c>
      <c r="AI239" s="530">
        <f t="shared" si="148"/>
        <v>-6177.5199999999968</v>
      </c>
      <c r="AJ239" s="530">
        <f t="shared" si="183"/>
        <v>-22832.149999999878</v>
      </c>
      <c r="AK239" s="530">
        <f t="shared" si="149"/>
        <v>-29009.669999999875</v>
      </c>
      <c r="AL239" s="287">
        <f t="shared" si="164"/>
        <v>193238.01999999984</v>
      </c>
      <c r="AM239" s="428">
        <f t="shared" si="175"/>
        <v>15</v>
      </c>
      <c r="AN239" s="14">
        <f t="shared" si="150"/>
        <v>749.98</v>
      </c>
      <c r="AO239" s="14">
        <f t="shared" si="184"/>
        <v>125846.25999999995</v>
      </c>
      <c r="AP239" s="14">
        <f t="shared" si="151"/>
        <v>959.90000000000009</v>
      </c>
      <c r="AS239" s="14">
        <f t="shared" si="170"/>
        <v>749.98</v>
      </c>
      <c r="AT239" s="14">
        <f t="shared" si="176"/>
        <v>135265.81999999983</v>
      </c>
      <c r="AU239" s="287">
        <f t="shared" si="177"/>
        <v>1622.2981303738552</v>
      </c>
      <c r="AV239" s="287">
        <f t="shared" si="178"/>
        <v>257361.73724253042</v>
      </c>
    </row>
    <row r="240" spans="1:48" x14ac:dyDescent="0.25">
      <c r="A240" s="519">
        <f t="shared" si="152"/>
        <v>51159</v>
      </c>
      <c r="B240" s="287">
        <f t="shared" si="171"/>
        <v>90024.80999999991</v>
      </c>
      <c r="C240" s="14">
        <f t="shared" si="165"/>
        <v>786.54</v>
      </c>
      <c r="D240" s="14">
        <f t="shared" si="179"/>
        <v>561.48</v>
      </c>
      <c r="E240" s="14">
        <f t="shared" si="166"/>
        <v>225.06</v>
      </c>
      <c r="F240" s="14">
        <f t="shared" si="142"/>
        <v>134.16999999999999</v>
      </c>
      <c r="G240" s="14">
        <f t="shared" si="140"/>
        <v>188.55</v>
      </c>
      <c r="H240" s="14">
        <f t="shared" si="141"/>
        <v>1109.26</v>
      </c>
      <c r="I240" s="287">
        <f t="shared" si="153"/>
        <v>97561.069999999978</v>
      </c>
      <c r="J240" s="287">
        <f t="shared" si="154"/>
        <v>80663.37000000001</v>
      </c>
      <c r="K240" s="287">
        <f t="shared" si="155"/>
        <v>89463.329999999914</v>
      </c>
      <c r="L240" s="428">
        <f t="shared" si="185"/>
        <v>15</v>
      </c>
      <c r="M240" s="428">
        <f t="shared" si="172"/>
        <v>181</v>
      </c>
      <c r="N240" s="287">
        <f t="shared" si="173"/>
        <v>170405.86999999997</v>
      </c>
      <c r="O240" s="287">
        <f t="shared" si="156"/>
        <v>1536.52</v>
      </c>
      <c r="P240" s="287">
        <f t="shared" si="180"/>
        <v>542.49</v>
      </c>
      <c r="Q240" s="287">
        <f t="shared" si="157"/>
        <v>994.03</v>
      </c>
      <c r="R240" s="287">
        <f t="shared" si="144"/>
        <v>134.16999999999999</v>
      </c>
      <c r="S240" s="287">
        <f t="shared" si="145"/>
        <v>188.55</v>
      </c>
      <c r="T240" s="287">
        <f t="shared" si="143"/>
        <v>1859.24</v>
      </c>
      <c r="U240" s="287">
        <f t="shared" si="181"/>
        <v>61086.62000000001</v>
      </c>
      <c r="V240" s="287">
        <f t="shared" si="182"/>
        <v>218560.01999999996</v>
      </c>
      <c r="W240" s="287">
        <f t="shared" si="158"/>
        <v>169863.37999999998</v>
      </c>
      <c r="X240" s="519">
        <f t="shared" si="174"/>
        <v>51159</v>
      </c>
      <c r="Y240" s="287">
        <f t="shared" si="159"/>
        <v>193238.01999999984</v>
      </c>
      <c r="Z240" s="511">
        <f t="shared" si="167"/>
        <v>7.0000000000000007E-2</v>
      </c>
      <c r="AA240" s="287">
        <f t="shared" si="168"/>
        <v>1746.44</v>
      </c>
      <c r="AB240" s="287">
        <f t="shared" si="160"/>
        <v>619.22</v>
      </c>
      <c r="AC240" s="287">
        <f t="shared" si="169"/>
        <v>1127.22</v>
      </c>
      <c r="AD240" s="287">
        <f t="shared" si="146"/>
        <v>134.16999999999999</v>
      </c>
      <c r="AE240" s="287">
        <f t="shared" si="147"/>
        <v>188.55</v>
      </c>
      <c r="AF240" s="287">
        <f t="shared" si="161"/>
        <v>2069.1600000000003</v>
      </c>
      <c r="AG240" s="287">
        <f t="shared" si="162"/>
        <v>83329.999999999971</v>
      </c>
      <c r="AH240" s="287">
        <f t="shared" si="163"/>
        <v>202704.07999999993</v>
      </c>
      <c r="AI240" s="530">
        <f t="shared" si="148"/>
        <v>-6387.4399999999969</v>
      </c>
      <c r="AJ240" s="530">
        <f t="shared" si="183"/>
        <v>-22755.419999999867</v>
      </c>
      <c r="AK240" s="530">
        <f t="shared" si="149"/>
        <v>-29142.859999999862</v>
      </c>
      <c r="AL240" s="287">
        <f t="shared" si="164"/>
        <v>192618.79999999984</v>
      </c>
      <c r="AM240" s="428">
        <f t="shared" si="175"/>
        <v>15</v>
      </c>
      <c r="AN240" s="14">
        <f t="shared" si="150"/>
        <v>749.98</v>
      </c>
      <c r="AO240" s="14">
        <f t="shared" si="184"/>
        <v>125865.24999999996</v>
      </c>
      <c r="AP240" s="14">
        <f t="shared" si="151"/>
        <v>959.90000000000009</v>
      </c>
      <c r="AS240" s="14">
        <f t="shared" si="170"/>
        <v>749.98</v>
      </c>
      <c r="AT240" s="14">
        <f t="shared" si="176"/>
        <v>136015.79999999984</v>
      </c>
      <c r="AU240" s="287">
        <f t="shared" si="177"/>
        <v>1627.705790808435</v>
      </c>
      <c r="AV240" s="287">
        <f t="shared" si="178"/>
        <v>258989.44303333884</v>
      </c>
    </row>
    <row r="241" spans="1:48" x14ac:dyDescent="0.25">
      <c r="A241" s="519">
        <f t="shared" si="152"/>
        <v>51189</v>
      </c>
      <c r="B241" s="287">
        <f t="shared" si="171"/>
        <v>89463.329999999914</v>
      </c>
      <c r="C241" s="14">
        <f t="shared" si="165"/>
        <v>786.54</v>
      </c>
      <c r="D241" s="14">
        <f t="shared" si="179"/>
        <v>562.88</v>
      </c>
      <c r="E241" s="14">
        <f t="shared" si="166"/>
        <v>223.66</v>
      </c>
      <c r="F241" s="14">
        <f t="shared" si="142"/>
        <v>134.16999999999999</v>
      </c>
      <c r="G241" s="14">
        <f t="shared" si="140"/>
        <v>188.55</v>
      </c>
      <c r="H241" s="14">
        <f t="shared" si="141"/>
        <v>1109.26</v>
      </c>
      <c r="I241" s="287">
        <f t="shared" si="153"/>
        <v>98123.949999999983</v>
      </c>
      <c r="J241" s="287">
        <f t="shared" si="154"/>
        <v>80887.030000000013</v>
      </c>
      <c r="K241" s="287">
        <f t="shared" si="155"/>
        <v>88900.44999999991</v>
      </c>
      <c r="L241" s="428">
        <f t="shared" si="185"/>
        <v>15</v>
      </c>
      <c r="M241" s="428">
        <f t="shared" si="172"/>
        <v>182</v>
      </c>
      <c r="N241" s="287">
        <f t="shared" si="173"/>
        <v>169863.37999999998</v>
      </c>
      <c r="O241" s="287">
        <f t="shared" si="156"/>
        <v>1536.52</v>
      </c>
      <c r="P241" s="287">
        <f t="shared" si="180"/>
        <v>545.65</v>
      </c>
      <c r="Q241" s="287">
        <f t="shared" si="157"/>
        <v>990.87</v>
      </c>
      <c r="R241" s="287">
        <f t="shared" si="144"/>
        <v>134.16999999999999</v>
      </c>
      <c r="S241" s="287">
        <f t="shared" si="145"/>
        <v>188.55</v>
      </c>
      <c r="T241" s="287">
        <f t="shared" si="143"/>
        <v>1859.24</v>
      </c>
      <c r="U241" s="287">
        <f t="shared" si="181"/>
        <v>61632.270000000011</v>
      </c>
      <c r="V241" s="287">
        <f t="shared" si="182"/>
        <v>219550.88999999996</v>
      </c>
      <c r="W241" s="287">
        <f t="shared" si="158"/>
        <v>169317.72999999998</v>
      </c>
      <c r="X241" s="519">
        <f t="shared" si="174"/>
        <v>51189</v>
      </c>
      <c r="Y241" s="287">
        <f t="shared" si="159"/>
        <v>192618.79999999984</v>
      </c>
      <c r="Z241" s="511">
        <f t="shared" si="167"/>
        <v>7.0000000000000007E-2</v>
      </c>
      <c r="AA241" s="287">
        <f t="shared" si="168"/>
        <v>1746.44</v>
      </c>
      <c r="AB241" s="287">
        <f t="shared" si="160"/>
        <v>622.83000000000015</v>
      </c>
      <c r="AC241" s="287">
        <f t="shared" si="169"/>
        <v>1123.6099999999999</v>
      </c>
      <c r="AD241" s="287">
        <f t="shared" si="146"/>
        <v>134.16999999999999</v>
      </c>
      <c r="AE241" s="287">
        <f t="shared" si="147"/>
        <v>188.55</v>
      </c>
      <c r="AF241" s="287">
        <f t="shared" si="161"/>
        <v>2069.1600000000003</v>
      </c>
      <c r="AG241" s="287">
        <f t="shared" si="162"/>
        <v>83952.829999999973</v>
      </c>
      <c r="AH241" s="287">
        <f t="shared" si="163"/>
        <v>203827.68999999992</v>
      </c>
      <c r="AI241" s="530">
        <f t="shared" si="148"/>
        <v>-6597.3599999999969</v>
      </c>
      <c r="AJ241" s="530">
        <f t="shared" si="183"/>
        <v>-22678.239999999874</v>
      </c>
      <c r="AK241" s="530">
        <f t="shared" si="149"/>
        <v>-29275.599999999871</v>
      </c>
      <c r="AL241" s="287">
        <f t="shared" si="164"/>
        <v>191995.96999999986</v>
      </c>
      <c r="AM241" s="428">
        <f t="shared" si="175"/>
        <v>15</v>
      </c>
      <c r="AN241" s="14">
        <f t="shared" si="150"/>
        <v>749.98</v>
      </c>
      <c r="AO241" s="14">
        <f t="shared" si="184"/>
        <v>125882.47999999995</v>
      </c>
      <c r="AP241" s="14">
        <f t="shared" si="151"/>
        <v>959.90000000000009</v>
      </c>
      <c r="AS241" s="14">
        <f t="shared" si="170"/>
        <v>749.98</v>
      </c>
      <c r="AT241" s="14">
        <f t="shared" si="176"/>
        <v>136765.77999999985</v>
      </c>
      <c r="AU241" s="287">
        <f t="shared" si="177"/>
        <v>1633.1314767777965</v>
      </c>
      <c r="AV241" s="287">
        <f t="shared" si="178"/>
        <v>260622.57451011665</v>
      </c>
    </row>
    <row r="242" spans="1:48" ht="15.75" thickBot="1" x14ac:dyDescent="0.3">
      <c r="A242" s="522">
        <f t="shared" si="152"/>
        <v>51219</v>
      </c>
      <c r="B242" s="348">
        <f t="shared" si="171"/>
        <v>88900.44999999991</v>
      </c>
      <c r="C242" s="21">
        <f t="shared" si="165"/>
        <v>786.54</v>
      </c>
      <c r="D242" s="21">
        <f t="shared" si="179"/>
        <v>564.29</v>
      </c>
      <c r="E242" s="21">
        <f t="shared" si="166"/>
        <v>222.25</v>
      </c>
      <c r="F242" s="21">
        <f t="shared" si="142"/>
        <v>134.16999999999999</v>
      </c>
      <c r="G242" s="21">
        <f t="shared" si="140"/>
        <v>188.55</v>
      </c>
      <c r="H242" s="21">
        <f t="shared" si="141"/>
        <v>1109.26</v>
      </c>
      <c r="I242" s="348">
        <f t="shared" si="153"/>
        <v>98688.239999999976</v>
      </c>
      <c r="J242" s="348">
        <f t="shared" si="154"/>
        <v>81109.280000000013</v>
      </c>
      <c r="K242" s="348">
        <f t="shared" si="155"/>
        <v>88336.159999999916</v>
      </c>
      <c r="L242" s="429">
        <f t="shared" si="185"/>
        <v>15</v>
      </c>
      <c r="M242" s="429">
        <f t="shared" si="172"/>
        <v>183</v>
      </c>
      <c r="N242" s="348">
        <f t="shared" si="173"/>
        <v>169317.72999999998</v>
      </c>
      <c r="O242" s="348">
        <f t="shared" si="156"/>
        <v>1536.52</v>
      </c>
      <c r="P242" s="348">
        <f t="shared" si="180"/>
        <v>548.82999999999993</v>
      </c>
      <c r="Q242" s="348">
        <f t="shared" si="157"/>
        <v>987.69</v>
      </c>
      <c r="R242" s="348">
        <f t="shared" si="144"/>
        <v>134.16999999999999</v>
      </c>
      <c r="S242" s="348">
        <f t="shared" si="145"/>
        <v>188.55</v>
      </c>
      <c r="T242" s="348">
        <f t="shared" si="143"/>
        <v>1859.24</v>
      </c>
      <c r="U242" s="348">
        <f t="shared" si="181"/>
        <v>62181.100000000013</v>
      </c>
      <c r="V242" s="348">
        <f t="shared" si="182"/>
        <v>220538.57999999996</v>
      </c>
      <c r="W242" s="348">
        <f t="shared" si="158"/>
        <v>168768.9</v>
      </c>
      <c r="X242" s="522">
        <f t="shared" si="174"/>
        <v>51219</v>
      </c>
      <c r="Y242" s="348">
        <f t="shared" si="159"/>
        <v>191995.96999999986</v>
      </c>
      <c r="Z242" s="512">
        <f t="shared" si="167"/>
        <v>7.0000000000000007E-2</v>
      </c>
      <c r="AA242" s="348">
        <f t="shared" si="168"/>
        <v>1746.44</v>
      </c>
      <c r="AB242" s="348">
        <f t="shared" si="160"/>
        <v>626.46</v>
      </c>
      <c r="AC242" s="348">
        <f t="shared" si="169"/>
        <v>1119.98</v>
      </c>
      <c r="AD242" s="348">
        <f t="shared" si="146"/>
        <v>134.16999999999999</v>
      </c>
      <c r="AE242" s="348">
        <f t="shared" si="147"/>
        <v>188.55</v>
      </c>
      <c r="AF242" s="348">
        <f t="shared" si="161"/>
        <v>2069.1600000000003</v>
      </c>
      <c r="AG242" s="348">
        <f t="shared" si="162"/>
        <v>84579.289999999979</v>
      </c>
      <c r="AH242" s="348">
        <f t="shared" si="163"/>
        <v>204947.66999999993</v>
      </c>
      <c r="AI242" s="531">
        <f t="shared" si="148"/>
        <v>-6807.279999999997</v>
      </c>
      <c r="AJ242" s="531">
        <f t="shared" si="183"/>
        <v>-22600.60999999987</v>
      </c>
      <c r="AK242" s="530">
        <f t="shared" si="149"/>
        <v>-29407.889999999868</v>
      </c>
      <c r="AL242" s="348">
        <f t="shared" si="164"/>
        <v>191369.50999999986</v>
      </c>
      <c r="AM242" s="429">
        <f t="shared" si="175"/>
        <v>15</v>
      </c>
      <c r="AN242" s="21">
        <f t="shared" si="150"/>
        <v>749.98</v>
      </c>
      <c r="AO242" s="21">
        <f t="shared" si="184"/>
        <v>125897.93999999997</v>
      </c>
      <c r="AP242" s="21">
        <f t="shared" si="151"/>
        <v>959.90000000000009</v>
      </c>
      <c r="AQ242" s="21"/>
      <c r="AR242" s="23"/>
      <c r="AS242" s="21">
        <f t="shared" si="170"/>
        <v>749.98</v>
      </c>
      <c r="AT242" s="21">
        <f t="shared" si="176"/>
        <v>137515.75999999986</v>
      </c>
      <c r="AU242" s="348">
        <f t="shared" si="177"/>
        <v>1638.5752483670556</v>
      </c>
      <c r="AV242" s="348">
        <f t="shared" si="178"/>
        <v>262261.14975848369</v>
      </c>
    </row>
    <row r="243" spans="1:48" x14ac:dyDescent="0.25">
      <c r="A243" s="519">
        <f t="shared" si="152"/>
        <v>51249</v>
      </c>
      <c r="B243" s="287">
        <f t="shared" si="171"/>
        <v>88336.159999999916</v>
      </c>
      <c r="C243" s="14">
        <f t="shared" si="165"/>
        <v>786.54</v>
      </c>
      <c r="D243" s="14">
        <f t="shared" si="179"/>
        <v>565.69999999999993</v>
      </c>
      <c r="E243" s="14">
        <f t="shared" si="166"/>
        <v>220.84</v>
      </c>
      <c r="F243" s="14">
        <f t="shared" si="142"/>
        <v>134.16999999999999</v>
      </c>
      <c r="G243" s="14">
        <f t="shared" si="140"/>
        <v>188.55</v>
      </c>
      <c r="H243" s="14">
        <f t="shared" si="141"/>
        <v>1109.26</v>
      </c>
      <c r="I243" s="287">
        <f t="shared" si="153"/>
        <v>99253.939999999973</v>
      </c>
      <c r="J243" s="287">
        <f t="shared" si="154"/>
        <v>81330.12000000001</v>
      </c>
      <c r="K243" s="287">
        <f t="shared" si="155"/>
        <v>87770.459999999919</v>
      </c>
      <c r="L243" s="428">
        <f t="shared" si="185"/>
        <v>15</v>
      </c>
      <c r="M243" s="428">
        <f t="shared" si="172"/>
        <v>184</v>
      </c>
      <c r="N243" s="287">
        <f t="shared" si="173"/>
        <v>168768.9</v>
      </c>
      <c r="O243" s="287">
        <f t="shared" si="156"/>
        <v>1536.52</v>
      </c>
      <c r="P243" s="287">
        <f t="shared" si="180"/>
        <v>552.03</v>
      </c>
      <c r="Q243" s="287">
        <f t="shared" si="157"/>
        <v>984.49</v>
      </c>
      <c r="R243" s="287">
        <f t="shared" si="144"/>
        <v>134.16999999999999</v>
      </c>
      <c r="S243" s="287">
        <f t="shared" si="145"/>
        <v>188.55</v>
      </c>
      <c r="T243" s="287">
        <f t="shared" si="143"/>
        <v>1859.24</v>
      </c>
      <c r="U243" s="287">
        <f t="shared" si="181"/>
        <v>62733.130000000012</v>
      </c>
      <c r="V243" s="287">
        <f t="shared" si="182"/>
        <v>221523.06999999995</v>
      </c>
      <c r="W243" s="287">
        <f t="shared" si="158"/>
        <v>168216.87</v>
      </c>
      <c r="X243" s="519">
        <f t="shared" si="174"/>
        <v>51249</v>
      </c>
      <c r="Y243" s="287">
        <f t="shared" si="159"/>
        <v>191369.50999999986</v>
      </c>
      <c r="Z243" s="511">
        <f t="shared" si="167"/>
        <v>7.0000000000000007E-2</v>
      </c>
      <c r="AA243" s="287">
        <f t="shared" si="168"/>
        <v>1746.44</v>
      </c>
      <c r="AB243" s="287">
        <f t="shared" si="160"/>
        <v>630.12000000000012</v>
      </c>
      <c r="AC243" s="287">
        <f t="shared" si="169"/>
        <v>1116.32</v>
      </c>
      <c r="AD243" s="287">
        <f t="shared" si="146"/>
        <v>134.16999999999999</v>
      </c>
      <c r="AE243" s="287">
        <f t="shared" si="147"/>
        <v>188.55</v>
      </c>
      <c r="AF243" s="287">
        <f t="shared" si="161"/>
        <v>2069.1600000000003</v>
      </c>
      <c r="AG243" s="287">
        <f t="shared" si="162"/>
        <v>85209.409999999974</v>
      </c>
      <c r="AH243" s="287">
        <f t="shared" si="163"/>
        <v>206063.98999999993</v>
      </c>
      <c r="AI243" s="530">
        <f t="shared" si="148"/>
        <v>-7017.1999999999971</v>
      </c>
      <c r="AJ243" s="530">
        <f t="shared" si="183"/>
        <v>-22522.519999999873</v>
      </c>
      <c r="AK243" s="530">
        <f t="shared" si="149"/>
        <v>-29539.71999999987</v>
      </c>
      <c r="AL243" s="287">
        <f t="shared" si="164"/>
        <v>190739.38999999987</v>
      </c>
      <c r="AM243" s="428">
        <f t="shared" si="175"/>
        <v>15</v>
      </c>
      <c r="AN243" s="14">
        <f t="shared" si="150"/>
        <v>749.98</v>
      </c>
      <c r="AO243" s="14">
        <f t="shared" si="184"/>
        <v>125911.60999999996</v>
      </c>
      <c r="AP243" s="14">
        <f t="shared" si="151"/>
        <v>959.90000000000009</v>
      </c>
      <c r="AS243" s="14">
        <f t="shared" si="170"/>
        <v>749.98</v>
      </c>
      <c r="AT243" s="14">
        <f t="shared" si="176"/>
        <v>138265.73999999987</v>
      </c>
      <c r="AU243" s="287">
        <f t="shared" si="177"/>
        <v>1644.0371658616123</v>
      </c>
      <c r="AV243" s="287">
        <f t="shared" si="178"/>
        <v>263905.18692434533</v>
      </c>
    </row>
    <row r="244" spans="1:48" x14ac:dyDescent="0.25">
      <c r="A244" s="519">
        <f t="shared" si="152"/>
        <v>51279</v>
      </c>
      <c r="B244" s="287">
        <f t="shared" si="171"/>
        <v>87770.459999999919</v>
      </c>
      <c r="C244" s="14">
        <f t="shared" si="165"/>
        <v>786.54</v>
      </c>
      <c r="D244" s="14">
        <f t="shared" si="179"/>
        <v>567.1099999999999</v>
      </c>
      <c r="E244" s="14">
        <f t="shared" si="166"/>
        <v>219.43</v>
      </c>
      <c r="F244" s="14">
        <f t="shared" si="142"/>
        <v>134.16999999999999</v>
      </c>
      <c r="G244" s="14">
        <f t="shared" si="140"/>
        <v>188.55</v>
      </c>
      <c r="H244" s="14">
        <f t="shared" si="141"/>
        <v>1109.26</v>
      </c>
      <c r="I244" s="287">
        <f t="shared" si="153"/>
        <v>99821.049999999974</v>
      </c>
      <c r="J244" s="287">
        <f t="shared" si="154"/>
        <v>81549.55</v>
      </c>
      <c r="K244" s="287">
        <f t="shared" si="155"/>
        <v>87203.349999999919</v>
      </c>
      <c r="L244" s="428">
        <f t="shared" si="185"/>
        <v>15</v>
      </c>
      <c r="M244" s="428">
        <f t="shared" si="172"/>
        <v>185</v>
      </c>
      <c r="N244" s="287">
        <f t="shared" si="173"/>
        <v>168216.87</v>
      </c>
      <c r="O244" s="287">
        <f t="shared" si="156"/>
        <v>1536.52</v>
      </c>
      <c r="P244" s="287">
        <f t="shared" si="180"/>
        <v>555.25</v>
      </c>
      <c r="Q244" s="287">
        <f t="shared" si="157"/>
        <v>981.27</v>
      </c>
      <c r="R244" s="287">
        <f t="shared" si="144"/>
        <v>134.16999999999999</v>
      </c>
      <c r="S244" s="287">
        <f t="shared" si="145"/>
        <v>188.55</v>
      </c>
      <c r="T244" s="287">
        <f t="shared" si="143"/>
        <v>1859.24</v>
      </c>
      <c r="U244" s="287">
        <f t="shared" si="181"/>
        <v>63288.380000000012</v>
      </c>
      <c r="V244" s="287">
        <f t="shared" si="182"/>
        <v>222504.33999999994</v>
      </c>
      <c r="W244" s="287">
        <f t="shared" si="158"/>
        <v>167661.62</v>
      </c>
      <c r="X244" s="519">
        <f t="shared" si="174"/>
        <v>51279</v>
      </c>
      <c r="Y244" s="287">
        <f t="shared" si="159"/>
        <v>190739.38999999987</v>
      </c>
      <c r="Z244" s="511">
        <f t="shared" si="167"/>
        <v>7.0000000000000007E-2</v>
      </c>
      <c r="AA244" s="287">
        <f t="shared" si="168"/>
        <v>1746.44</v>
      </c>
      <c r="AB244" s="287">
        <f t="shared" si="160"/>
        <v>633.79</v>
      </c>
      <c r="AC244" s="287">
        <f t="shared" si="169"/>
        <v>1112.6500000000001</v>
      </c>
      <c r="AD244" s="287">
        <f t="shared" si="146"/>
        <v>134.16999999999999</v>
      </c>
      <c r="AE244" s="287">
        <f t="shared" si="147"/>
        <v>188.55</v>
      </c>
      <c r="AF244" s="287">
        <f t="shared" si="161"/>
        <v>2069.1600000000003</v>
      </c>
      <c r="AG244" s="287">
        <f t="shared" si="162"/>
        <v>85843.199999999968</v>
      </c>
      <c r="AH244" s="287">
        <f t="shared" si="163"/>
        <v>207176.63999999993</v>
      </c>
      <c r="AI244" s="530">
        <f t="shared" si="148"/>
        <v>-7227.1199999999972</v>
      </c>
      <c r="AJ244" s="530">
        <f t="shared" si="183"/>
        <v>-22443.979999999865</v>
      </c>
      <c r="AK244" s="530">
        <f t="shared" si="149"/>
        <v>-29671.09999999986</v>
      </c>
      <c r="AL244" s="287">
        <f t="shared" si="164"/>
        <v>190105.59999999986</v>
      </c>
      <c r="AM244" s="428">
        <f t="shared" si="175"/>
        <v>15</v>
      </c>
      <c r="AN244" s="14">
        <f t="shared" si="150"/>
        <v>749.98</v>
      </c>
      <c r="AO244" s="14">
        <f t="shared" si="184"/>
        <v>125923.46999999997</v>
      </c>
      <c r="AP244" s="14">
        <f t="shared" si="151"/>
        <v>959.90000000000009</v>
      </c>
      <c r="AS244" s="14">
        <f t="shared" si="170"/>
        <v>749.98</v>
      </c>
      <c r="AT244" s="14">
        <f t="shared" si="176"/>
        <v>139015.71999999988</v>
      </c>
      <c r="AU244" s="287">
        <f t="shared" si="177"/>
        <v>1649.5172897478178</v>
      </c>
      <c r="AV244" s="287">
        <f t="shared" si="178"/>
        <v>265554.70421409316</v>
      </c>
    </row>
    <row r="245" spans="1:48" x14ac:dyDescent="0.25">
      <c r="A245" s="519">
        <f t="shared" si="152"/>
        <v>51309</v>
      </c>
      <c r="B245" s="287">
        <f t="shared" si="171"/>
        <v>87203.349999999919</v>
      </c>
      <c r="C245" s="14">
        <f t="shared" si="165"/>
        <v>786.54</v>
      </c>
      <c r="D245" s="14">
        <f t="shared" si="179"/>
        <v>568.53</v>
      </c>
      <c r="E245" s="14">
        <f t="shared" si="166"/>
        <v>218.01</v>
      </c>
      <c r="F245" s="14">
        <f t="shared" si="142"/>
        <v>134.16999999999999</v>
      </c>
      <c r="G245" s="14">
        <f t="shared" si="140"/>
        <v>188.55</v>
      </c>
      <c r="H245" s="14">
        <f t="shared" si="141"/>
        <v>1109.26</v>
      </c>
      <c r="I245" s="287">
        <f t="shared" si="153"/>
        <v>100389.57999999997</v>
      </c>
      <c r="J245" s="287">
        <f t="shared" si="154"/>
        <v>81767.56</v>
      </c>
      <c r="K245" s="287">
        <f t="shared" si="155"/>
        <v>86634.81999999992</v>
      </c>
      <c r="L245" s="428">
        <f t="shared" si="185"/>
        <v>15</v>
      </c>
      <c r="M245" s="428">
        <f t="shared" si="172"/>
        <v>186</v>
      </c>
      <c r="N245" s="287">
        <f t="shared" si="173"/>
        <v>167661.62</v>
      </c>
      <c r="O245" s="287">
        <f t="shared" si="156"/>
        <v>1536.52</v>
      </c>
      <c r="P245" s="287">
        <f t="shared" si="180"/>
        <v>558.49</v>
      </c>
      <c r="Q245" s="287">
        <f t="shared" si="157"/>
        <v>978.03</v>
      </c>
      <c r="R245" s="287">
        <f t="shared" si="144"/>
        <v>134.16999999999999</v>
      </c>
      <c r="S245" s="287">
        <f t="shared" si="145"/>
        <v>188.55</v>
      </c>
      <c r="T245" s="287">
        <f t="shared" si="143"/>
        <v>1859.24</v>
      </c>
      <c r="U245" s="287">
        <f t="shared" si="181"/>
        <v>63846.87000000001</v>
      </c>
      <c r="V245" s="287">
        <f t="shared" si="182"/>
        <v>223482.36999999994</v>
      </c>
      <c r="W245" s="287">
        <f t="shared" si="158"/>
        <v>167103.13</v>
      </c>
      <c r="X245" s="519">
        <f t="shared" si="174"/>
        <v>51309</v>
      </c>
      <c r="Y245" s="287">
        <f t="shared" si="159"/>
        <v>190105.59999999986</v>
      </c>
      <c r="Z245" s="511">
        <f t="shared" si="167"/>
        <v>7.0000000000000007E-2</v>
      </c>
      <c r="AA245" s="287">
        <f t="shared" si="168"/>
        <v>1746.44</v>
      </c>
      <c r="AB245" s="287">
        <f t="shared" si="160"/>
        <v>637.49</v>
      </c>
      <c r="AC245" s="287">
        <f t="shared" si="169"/>
        <v>1108.95</v>
      </c>
      <c r="AD245" s="287">
        <f t="shared" si="146"/>
        <v>134.16999999999999</v>
      </c>
      <c r="AE245" s="287">
        <f t="shared" si="147"/>
        <v>188.55</v>
      </c>
      <c r="AF245" s="287">
        <f t="shared" si="161"/>
        <v>2069.1600000000003</v>
      </c>
      <c r="AG245" s="287">
        <f t="shared" si="162"/>
        <v>86480.689999999973</v>
      </c>
      <c r="AH245" s="287">
        <f t="shared" si="163"/>
        <v>208285.58999999994</v>
      </c>
      <c r="AI245" s="530">
        <f t="shared" si="148"/>
        <v>-7437.0399999999972</v>
      </c>
      <c r="AJ245" s="530">
        <f t="shared" si="183"/>
        <v>-22364.979999999865</v>
      </c>
      <c r="AK245" s="530">
        <f t="shared" si="149"/>
        <v>-29802.019999999862</v>
      </c>
      <c r="AL245" s="287">
        <f t="shared" si="164"/>
        <v>189468.10999999987</v>
      </c>
      <c r="AM245" s="428">
        <f t="shared" si="175"/>
        <v>15</v>
      </c>
      <c r="AN245" s="14">
        <f t="shared" si="150"/>
        <v>749.98</v>
      </c>
      <c r="AO245" s="14">
        <f t="shared" si="184"/>
        <v>125933.50999999994</v>
      </c>
      <c r="AP245" s="14">
        <f t="shared" si="151"/>
        <v>959.90000000000009</v>
      </c>
      <c r="AS245" s="14">
        <f t="shared" si="170"/>
        <v>749.98</v>
      </c>
      <c r="AT245" s="14">
        <f t="shared" si="176"/>
        <v>139765.6999999999</v>
      </c>
      <c r="AU245" s="287">
        <f t="shared" si="177"/>
        <v>1655.0156807136439</v>
      </c>
      <c r="AV245" s="287">
        <f t="shared" si="178"/>
        <v>267209.7198948068</v>
      </c>
    </row>
    <row r="246" spans="1:48" x14ac:dyDescent="0.25">
      <c r="A246" s="519">
        <f t="shared" si="152"/>
        <v>51339</v>
      </c>
      <c r="B246" s="287">
        <f t="shared" si="171"/>
        <v>86634.81999999992</v>
      </c>
      <c r="C246" s="14">
        <f t="shared" si="165"/>
        <v>786.54</v>
      </c>
      <c r="D246" s="14">
        <f t="shared" si="179"/>
        <v>569.94999999999993</v>
      </c>
      <c r="E246" s="14">
        <f t="shared" si="166"/>
        <v>216.59</v>
      </c>
      <c r="F246" s="14">
        <f t="shared" si="142"/>
        <v>134.16999999999999</v>
      </c>
      <c r="G246" s="14">
        <f t="shared" si="140"/>
        <v>188.55</v>
      </c>
      <c r="H246" s="14">
        <f t="shared" si="141"/>
        <v>1109.26</v>
      </c>
      <c r="I246" s="287">
        <f t="shared" si="153"/>
        <v>100959.52999999997</v>
      </c>
      <c r="J246" s="287">
        <f t="shared" si="154"/>
        <v>81984.149999999994</v>
      </c>
      <c r="K246" s="287">
        <f t="shared" si="155"/>
        <v>86064.869999999923</v>
      </c>
      <c r="L246" s="428">
        <f t="shared" si="185"/>
        <v>15</v>
      </c>
      <c r="M246" s="428">
        <f t="shared" si="172"/>
        <v>187</v>
      </c>
      <c r="N246" s="287">
        <f t="shared" si="173"/>
        <v>167103.13</v>
      </c>
      <c r="O246" s="287">
        <f t="shared" si="156"/>
        <v>1536.52</v>
      </c>
      <c r="P246" s="287">
        <f t="shared" si="180"/>
        <v>561.75</v>
      </c>
      <c r="Q246" s="287">
        <f t="shared" si="157"/>
        <v>974.77</v>
      </c>
      <c r="R246" s="287">
        <f t="shared" si="144"/>
        <v>134.16999999999999</v>
      </c>
      <c r="S246" s="287">
        <f t="shared" si="145"/>
        <v>188.55</v>
      </c>
      <c r="T246" s="287">
        <f t="shared" si="143"/>
        <v>1859.24</v>
      </c>
      <c r="U246" s="287">
        <f t="shared" si="181"/>
        <v>64408.62000000001</v>
      </c>
      <c r="V246" s="287">
        <f t="shared" si="182"/>
        <v>224457.13999999993</v>
      </c>
      <c r="W246" s="287">
        <f t="shared" si="158"/>
        <v>166541.38</v>
      </c>
      <c r="X246" s="519">
        <f t="shared" si="174"/>
        <v>51339</v>
      </c>
      <c r="Y246" s="287">
        <f t="shared" si="159"/>
        <v>189468.10999999987</v>
      </c>
      <c r="Z246" s="511">
        <f t="shared" si="167"/>
        <v>7.0000000000000007E-2</v>
      </c>
      <c r="AA246" s="287">
        <f t="shared" si="168"/>
        <v>1746.44</v>
      </c>
      <c r="AB246" s="287">
        <f t="shared" si="160"/>
        <v>641.21</v>
      </c>
      <c r="AC246" s="287">
        <f t="shared" si="169"/>
        <v>1105.23</v>
      </c>
      <c r="AD246" s="287">
        <f t="shared" si="146"/>
        <v>134.16999999999999</v>
      </c>
      <c r="AE246" s="287">
        <f t="shared" si="147"/>
        <v>188.55</v>
      </c>
      <c r="AF246" s="287">
        <f t="shared" si="161"/>
        <v>2069.1600000000003</v>
      </c>
      <c r="AG246" s="287">
        <f t="shared" si="162"/>
        <v>87121.89999999998</v>
      </c>
      <c r="AH246" s="287">
        <f t="shared" si="163"/>
        <v>209390.81999999995</v>
      </c>
      <c r="AI246" s="530">
        <f t="shared" si="148"/>
        <v>-7646.9599999999973</v>
      </c>
      <c r="AJ246" s="530">
        <f t="shared" si="183"/>
        <v>-22285.519999999873</v>
      </c>
      <c r="AK246" s="530">
        <f t="shared" si="149"/>
        <v>-29932.479999999872</v>
      </c>
      <c r="AL246" s="287">
        <f t="shared" si="164"/>
        <v>188826.89999999988</v>
      </c>
      <c r="AM246" s="428">
        <f t="shared" si="175"/>
        <v>15</v>
      </c>
      <c r="AN246" s="14">
        <f t="shared" si="150"/>
        <v>749.98</v>
      </c>
      <c r="AO246" s="14">
        <f t="shared" si="184"/>
        <v>125941.70999999995</v>
      </c>
      <c r="AP246" s="14">
        <f t="shared" si="151"/>
        <v>959.90000000000009</v>
      </c>
      <c r="AS246" s="14">
        <f t="shared" si="170"/>
        <v>749.98</v>
      </c>
      <c r="AT246" s="14">
        <f t="shared" si="176"/>
        <v>140515.67999999991</v>
      </c>
      <c r="AU246" s="287">
        <f t="shared" si="177"/>
        <v>1660.532399649356</v>
      </c>
      <c r="AV246" s="287">
        <f t="shared" si="178"/>
        <v>268870.25229445618</v>
      </c>
    </row>
    <row r="247" spans="1:48" x14ac:dyDescent="0.25">
      <c r="A247" s="519">
        <f t="shared" si="152"/>
        <v>51369</v>
      </c>
      <c r="B247" s="287">
        <f t="shared" si="171"/>
        <v>86064.869999999923</v>
      </c>
      <c r="C247" s="14">
        <f t="shared" si="165"/>
        <v>786.54</v>
      </c>
      <c r="D247" s="14">
        <f t="shared" si="179"/>
        <v>571.38</v>
      </c>
      <c r="E247" s="14">
        <f t="shared" si="166"/>
        <v>215.16</v>
      </c>
      <c r="F247" s="14">
        <f t="shared" si="142"/>
        <v>134.16999999999999</v>
      </c>
      <c r="G247" s="14">
        <f t="shared" si="140"/>
        <v>188.55</v>
      </c>
      <c r="H247" s="14">
        <f t="shared" si="141"/>
        <v>1109.26</v>
      </c>
      <c r="I247" s="287">
        <f t="shared" si="153"/>
        <v>101530.90999999997</v>
      </c>
      <c r="J247" s="287">
        <f t="shared" si="154"/>
        <v>82199.31</v>
      </c>
      <c r="K247" s="287">
        <f t="shared" si="155"/>
        <v>85493.489999999918</v>
      </c>
      <c r="L247" s="428">
        <f t="shared" si="185"/>
        <v>15</v>
      </c>
      <c r="M247" s="428">
        <f t="shared" si="172"/>
        <v>188</v>
      </c>
      <c r="N247" s="287">
        <f t="shared" si="173"/>
        <v>166541.38</v>
      </c>
      <c r="O247" s="287">
        <f t="shared" si="156"/>
        <v>1536.52</v>
      </c>
      <c r="P247" s="287">
        <f t="shared" si="180"/>
        <v>565.03</v>
      </c>
      <c r="Q247" s="287">
        <f t="shared" si="157"/>
        <v>971.49</v>
      </c>
      <c r="R247" s="287">
        <f t="shared" si="144"/>
        <v>134.16999999999999</v>
      </c>
      <c r="S247" s="287">
        <f t="shared" si="145"/>
        <v>188.55</v>
      </c>
      <c r="T247" s="287">
        <f t="shared" si="143"/>
        <v>1859.24</v>
      </c>
      <c r="U247" s="287">
        <f t="shared" si="181"/>
        <v>64973.650000000009</v>
      </c>
      <c r="V247" s="287">
        <f t="shared" si="182"/>
        <v>225428.62999999992</v>
      </c>
      <c r="W247" s="287">
        <f t="shared" si="158"/>
        <v>165976.35</v>
      </c>
      <c r="X247" s="519">
        <f t="shared" si="174"/>
        <v>51369</v>
      </c>
      <c r="Y247" s="287">
        <f t="shared" si="159"/>
        <v>188826.89999999988</v>
      </c>
      <c r="Z247" s="511">
        <f t="shared" si="167"/>
        <v>7.0000000000000007E-2</v>
      </c>
      <c r="AA247" s="287">
        <f t="shared" si="168"/>
        <v>1746.44</v>
      </c>
      <c r="AB247" s="287">
        <f t="shared" si="160"/>
        <v>644.95000000000005</v>
      </c>
      <c r="AC247" s="287">
        <f t="shared" si="169"/>
        <v>1101.49</v>
      </c>
      <c r="AD247" s="287">
        <f t="shared" si="146"/>
        <v>134.16999999999999</v>
      </c>
      <c r="AE247" s="287">
        <f t="shared" si="147"/>
        <v>188.55</v>
      </c>
      <c r="AF247" s="287">
        <f t="shared" si="161"/>
        <v>2069.1600000000003</v>
      </c>
      <c r="AG247" s="287">
        <f t="shared" si="162"/>
        <v>87766.849999999977</v>
      </c>
      <c r="AH247" s="287">
        <f t="shared" si="163"/>
        <v>210492.30999999994</v>
      </c>
      <c r="AI247" s="530">
        <f t="shared" si="148"/>
        <v>-7856.8799999999974</v>
      </c>
      <c r="AJ247" s="530">
        <f t="shared" si="183"/>
        <v>-22205.59999999986</v>
      </c>
      <c r="AK247" s="530">
        <f t="shared" si="149"/>
        <v>-30062.479999999858</v>
      </c>
      <c r="AL247" s="287">
        <f t="shared" si="164"/>
        <v>188181.94999999987</v>
      </c>
      <c r="AM247" s="428">
        <f t="shared" si="175"/>
        <v>15</v>
      </c>
      <c r="AN247" s="14">
        <f t="shared" si="150"/>
        <v>749.98</v>
      </c>
      <c r="AO247" s="14">
        <f t="shared" si="184"/>
        <v>125948.05999999995</v>
      </c>
      <c r="AP247" s="14">
        <f t="shared" si="151"/>
        <v>959.90000000000009</v>
      </c>
      <c r="AS247" s="14">
        <f t="shared" si="170"/>
        <v>749.98</v>
      </c>
      <c r="AT247" s="14">
        <f t="shared" si="176"/>
        <v>141265.65999999992</v>
      </c>
      <c r="AU247" s="287">
        <f t="shared" si="177"/>
        <v>1666.0675076481873</v>
      </c>
      <c r="AV247" s="287">
        <f t="shared" si="178"/>
        <v>270536.31980210438</v>
      </c>
    </row>
    <row r="248" spans="1:48" x14ac:dyDescent="0.25">
      <c r="A248" s="519">
        <f t="shared" si="152"/>
        <v>51399</v>
      </c>
      <c r="B248" s="287">
        <f t="shared" si="171"/>
        <v>85493.489999999918</v>
      </c>
      <c r="C248" s="14">
        <f t="shared" si="165"/>
        <v>786.54</v>
      </c>
      <c r="D248" s="14">
        <f t="shared" si="179"/>
        <v>572.80999999999995</v>
      </c>
      <c r="E248" s="14">
        <f t="shared" si="166"/>
        <v>213.73</v>
      </c>
      <c r="F248" s="14">
        <f t="shared" si="142"/>
        <v>134.16999999999999</v>
      </c>
      <c r="G248" s="14">
        <f t="shared" si="140"/>
        <v>188.55</v>
      </c>
      <c r="H248" s="14">
        <f t="shared" si="141"/>
        <v>1109.26</v>
      </c>
      <c r="I248" s="287">
        <f t="shared" si="153"/>
        <v>102103.71999999997</v>
      </c>
      <c r="J248" s="287">
        <f t="shared" si="154"/>
        <v>82413.039999999994</v>
      </c>
      <c r="K248" s="287">
        <f t="shared" si="155"/>
        <v>84920.67999999992</v>
      </c>
      <c r="L248" s="428">
        <f t="shared" si="185"/>
        <v>15</v>
      </c>
      <c r="M248" s="428">
        <f t="shared" si="172"/>
        <v>189</v>
      </c>
      <c r="N248" s="287">
        <f t="shared" si="173"/>
        <v>165976.35</v>
      </c>
      <c r="O248" s="287">
        <f t="shared" si="156"/>
        <v>1536.52</v>
      </c>
      <c r="P248" s="287">
        <f t="shared" si="180"/>
        <v>568.31999999999994</v>
      </c>
      <c r="Q248" s="287">
        <f t="shared" si="157"/>
        <v>968.2</v>
      </c>
      <c r="R248" s="287">
        <f t="shared" si="144"/>
        <v>134.16999999999999</v>
      </c>
      <c r="S248" s="287">
        <f t="shared" si="145"/>
        <v>188.55</v>
      </c>
      <c r="T248" s="287">
        <f t="shared" si="143"/>
        <v>1859.24</v>
      </c>
      <c r="U248" s="287">
        <f t="shared" si="181"/>
        <v>65541.970000000016</v>
      </c>
      <c r="V248" s="287">
        <f t="shared" si="182"/>
        <v>226396.82999999993</v>
      </c>
      <c r="W248" s="287">
        <f t="shared" si="158"/>
        <v>165408.03</v>
      </c>
      <c r="X248" s="519">
        <f t="shared" si="174"/>
        <v>51399</v>
      </c>
      <c r="Y248" s="287">
        <f t="shared" si="159"/>
        <v>188181.94999999987</v>
      </c>
      <c r="Z248" s="511">
        <f t="shared" si="167"/>
        <v>7.0000000000000007E-2</v>
      </c>
      <c r="AA248" s="287">
        <f t="shared" si="168"/>
        <v>1746.44</v>
      </c>
      <c r="AB248" s="287">
        <f t="shared" si="160"/>
        <v>648.71</v>
      </c>
      <c r="AC248" s="287">
        <f t="shared" si="169"/>
        <v>1097.73</v>
      </c>
      <c r="AD248" s="287">
        <f t="shared" si="146"/>
        <v>134.16999999999999</v>
      </c>
      <c r="AE248" s="287">
        <f t="shared" si="147"/>
        <v>188.55</v>
      </c>
      <c r="AF248" s="287">
        <f t="shared" si="161"/>
        <v>2069.1600000000003</v>
      </c>
      <c r="AG248" s="287">
        <f t="shared" si="162"/>
        <v>88415.559999999983</v>
      </c>
      <c r="AH248" s="287">
        <f t="shared" si="163"/>
        <v>211590.03999999995</v>
      </c>
      <c r="AI248" s="530">
        <f t="shared" si="148"/>
        <v>-8066.7999999999975</v>
      </c>
      <c r="AJ248" s="530">
        <f t="shared" si="183"/>
        <v>-22125.209999999875</v>
      </c>
      <c r="AK248" s="530">
        <f t="shared" si="149"/>
        <v>-30192.009999999871</v>
      </c>
      <c r="AL248" s="287">
        <f t="shared" si="164"/>
        <v>187533.23999999987</v>
      </c>
      <c r="AM248" s="428">
        <f t="shared" si="175"/>
        <v>15</v>
      </c>
      <c r="AN248" s="14">
        <f t="shared" si="150"/>
        <v>749.98</v>
      </c>
      <c r="AO248" s="14">
        <f t="shared" si="184"/>
        <v>125952.54999999994</v>
      </c>
      <c r="AP248" s="14">
        <f t="shared" si="151"/>
        <v>959.90000000000009</v>
      </c>
      <c r="AS248" s="14">
        <f t="shared" si="170"/>
        <v>749.98</v>
      </c>
      <c r="AT248" s="14">
        <f t="shared" si="176"/>
        <v>142015.63999999993</v>
      </c>
      <c r="AU248" s="287">
        <f t="shared" si="177"/>
        <v>1671.6210660070146</v>
      </c>
      <c r="AV248" s="287">
        <f t="shared" si="178"/>
        <v>272207.94086811139</v>
      </c>
    </row>
    <row r="249" spans="1:48" x14ac:dyDescent="0.25">
      <c r="A249" s="519">
        <f t="shared" si="152"/>
        <v>51429</v>
      </c>
      <c r="B249" s="287">
        <f t="shared" si="171"/>
        <v>84920.67999999992</v>
      </c>
      <c r="C249" s="14">
        <f t="shared" si="165"/>
        <v>786.54</v>
      </c>
      <c r="D249" s="14">
        <f t="shared" si="179"/>
        <v>574.24</v>
      </c>
      <c r="E249" s="14">
        <f t="shared" si="166"/>
        <v>212.3</v>
      </c>
      <c r="F249" s="14">
        <f t="shared" si="142"/>
        <v>134.16999999999999</v>
      </c>
      <c r="G249" s="14">
        <f t="shared" si="140"/>
        <v>188.55</v>
      </c>
      <c r="H249" s="14">
        <f t="shared" si="141"/>
        <v>1109.26</v>
      </c>
      <c r="I249" s="287">
        <f t="shared" si="153"/>
        <v>102677.95999999998</v>
      </c>
      <c r="J249" s="287">
        <f t="shared" si="154"/>
        <v>82625.34</v>
      </c>
      <c r="K249" s="287">
        <f t="shared" si="155"/>
        <v>84346.439999999915</v>
      </c>
      <c r="L249" s="428">
        <f t="shared" si="185"/>
        <v>15</v>
      </c>
      <c r="M249" s="428">
        <f t="shared" si="172"/>
        <v>190</v>
      </c>
      <c r="N249" s="287">
        <f t="shared" si="173"/>
        <v>165408.03</v>
      </c>
      <c r="O249" s="287">
        <f t="shared" si="156"/>
        <v>1536.52</v>
      </c>
      <c r="P249" s="287">
        <f t="shared" si="180"/>
        <v>571.64</v>
      </c>
      <c r="Q249" s="287">
        <f t="shared" si="157"/>
        <v>964.88</v>
      </c>
      <c r="R249" s="287">
        <f t="shared" si="144"/>
        <v>134.16999999999999</v>
      </c>
      <c r="S249" s="287">
        <f t="shared" si="145"/>
        <v>188.55</v>
      </c>
      <c r="T249" s="287">
        <f t="shared" si="143"/>
        <v>1859.24</v>
      </c>
      <c r="U249" s="287">
        <f t="shared" si="181"/>
        <v>66113.610000000015</v>
      </c>
      <c r="V249" s="287">
        <f t="shared" si="182"/>
        <v>227361.70999999993</v>
      </c>
      <c r="W249" s="287">
        <f t="shared" si="158"/>
        <v>164836.38999999998</v>
      </c>
      <c r="X249" s="519">
        <f t="shared" si="174"/>
        <v>51429</v>
      </c>
      <c r="Y249" s="287">
        <f t="shared" si="159"/>
        <v>187533.23999999987</v>
      </c>
      <c r="Z249" s="511">
        <f t="shared" si="167"/>
        <v>7.0000000000000007E-2</v>
      </c>
      <c r="AA249" s="287">
        <f t="shared" si="168"/>
        <v>1746.44</v>
      </c>
      <c r="AB249" s="287">
        <f t="shared" si="160"/>
        <v>652.5</v>
      </c>
      <c r="AC249" s="287">
        <f t="shared" si="169"/>
        <v>1093.94</v>
      </c>
      <c r="AD249" s="287">
        <f t="shared" si="146"/>
        <v>134.16999999999999</v>
      </c>
      <c r="AE249" s="287">
        <f t="shared" si="147"/>
        <v>188.55</v>
      </c>
      <c r="AF249" s="287">
        <f t="shared" si="161"/>
        <v>2069.1600000000003</v>
      </c>
      <c r="AG249" s="287">
        <f t="shared" si="162"/>
        <v>89068.059999999983</v>
      </c>
      <c r="AH249" s="287">
        <f t="shared" si="163"/>
        <v>212683.97999999995</v>
      </c>
      <c r="AI249" s="530">
        <f t="shared" si="148"/>
        <v>-8276.7199999999975</v>
      </c>
      <c r="AJ249" s="530">
        <f t="shared" si="183"/>
        <v>-22044.349999999889</v>
      </c>
      <c r="AK249" s="530">
        <f t="shared" si="149"/>
        <v>-30321.069999999887</v>
      </c>
      <c r="AL249" s="287">
        <f t="shared" si="164"/>
        <v>186880.73999999987</v>
      </c>
      <c r="AM249" s="428">
        <f t="shared" si="175"/>
        <v>15</v>
      </c>
      <c r="AN249" s="14">
        <f t="shared" si="150"/>
        <v>749.98</v>
      </c>
      <c r="AO249" s="14">
        <f t="shared" si="184"/>
        <v>125955.14999999994</v>
      </c>
      <c r="AP249" s="14">
        <f t="shared" si="151"/>
        <v>959.90000000000009</v>
      </c>
      <c r="AS249" s="14">
        <f t="shared" si="170"/>
        <v>749.98</v>
      </c>
      <c r="AT249" s="14">
        <f t="shared" si="176"/>
        <v>142765.61999999994</v>
      </c>
      <c r="AU249" s="287">
        <f t="shared" si="177"/>
        <v>1677.1931362270379</v>
      </c>
      <c r="AV249" s="287">
        <f t="shared" si="178"/>
        <v>273885.13400433841</v>
      </c>
    </row>
    <row r="250" spans="1:48" x14ac:dyDescent="0.25">
      <c r="A250" s="519">
        <f t="shared" si="152"/>
        <v>51459</v>
      </c>
      <c r="B250" s="287">
        <f t="shared" si="171"/>
        <v>84346.439999999915</v>
      </c>
      <c r="C250" s="14">
        <f t="shared" si="165"/>
        <v>786.54</v>
      </c>
      <c r="D250" s="14">
        <f t="shared" si="179"/>
        <v>575.66999999999996</v>
      </c>
      <c r="E250" s="14">
        <f t="shared" si="166"/>
        <v>210.87</v>
      </c>
      <c r="F250" s="14">
        <f t="shared" si="142"/>
        <v>134.16999999999999</v>
      </c>
      <c r="G250" s="14">
        <f t="shared" ref="G250:G313" si="186">+G249</f>
        <v>188.55</v>
      </c>
      <c r="H250" s="14">
        <f t="shared" ref="H250:H313" si="187">SUM(D250:G250)</f>
        <v>1109.26</v>
      </c>
      <c r="I250" s="287">
        <f t="shared" si="153"/>
        <v>103253.62999999998</v>
      </c>
      <c r="J250" s="287">
        <f t="shared" si="154"/>
        <v>82836.209999999992</v>
      </c>
      <c r="K250" s="287">
        <f t="shared" si="155"/>
        <v>83770.769999999917</v>
      </c>
      <c r="L250" s="428">
        <f t="shared" si="185"/>
        <v>15</v>
      </c>
      <c r="M250" s="428">
        <f t="shared" si="172"/>
        <v>191</v>
      </c>
      <c r="N250" s="287">
        <f t="shared" si="173"/>
        <v>164836.38999999998</v>
      </c>
      <c r="O250" s="287">
        <f t="shared" si="156"/>
        <v>1536.52</v>
      </c>
      <c r="P250" s="287">
        <f t="shared" si="180"/>
        <v>574.97</v>
      </c>
      <c r="Q250" s="287">
        <f t="shared" si="157"/>
        <v>961.55</v>
      </c>
      <c r="R250" s="287">
        <f t="shared" si="144"/>
        <v>134.16999999999999</v>
      </c>
      <c r="S250" s="287">
        <f t="shared" si="145"/>
        <v>188.55</v>
      </c>
      <c r="T250" s="287">
        <f t="shared" si="143"/>
        <v>1859.24</v>
      </c>
      <c r="U250" s="287">
        <f t="shared" si="181"/>
        <v>66688.580000000016</v>
      </c>
      <c r="V250" s="287">
        <f t="shared" si="182"/>
        <v>228323.25999999992</v>
      </c>
      <c r="W250" s="287">
        <f t="shared" si="158"/>
        <v>164261.41999999998</v>
      </c>
      <c r="X250" s="519">
        <f t="shared" si="174"/>
        <v>51459</v>
      </c>
      <c r="Y250" s="287">
        <f t="shared" si="159"/>
        <v>186880.73999999987</v>
      </c>
      <c r="Z250" s="511">
        <f t="shared" si="167"/>
        <v>7.0000000000000007E-2</v>
      </c>
      <c r="AA250" s="287">
        <f t="shared" si="168"/>
        <v>1746.44</v>
      </c>
      <c r="AB250" s="287">
        <f t="shared" si="160"/>
        <v>656.3</v>
      </c>
      <c r="AC250" s="287">
        <f t="shared" si="169"/>
        <v>1090.1400000000001</v>
      </c>
      <c r="AD250" s="287">
        <f t="shared" si="146"/>
        <v>134.16999999999999</v>
      </c>
      <c r="AE250" s="287">
        <f t="shared" si="147"/>
        <v>188.55</v>
      </c>
      <c r="AF250" s="287">
        <f t="shared" si="161"/>
        <v>2069.1600000000003</v>
      </c>
      <c r="AG250" s="287">
        <f t="shared" si="162"/>
        <v>89724.359999999986</v>
      </c>
      <c r="AH250" s="287">
        <f t="shared" si="163"/>
        <v>213774.11999999997</v>
      </c>
      <c r="AI250" s="530">
        <f t="shared" si="148"/>
        <v>-8486.6399999999976</v>
      </c>
      <c r="AJ250" s="530">
        <f t="shared" si="183"/>
        <v>-21963.019999999902</v>
      </c>
      <c r="AK250" s="530">
        <f t="shared" si="149"/>
        <v>-30449.659999999902</v>
      </c>
      <c r="AL250" s="287">
        <f t="shared" si="164"/>
        <v>186224.43999999989</v>
      </c>
      <c r="AM250" s="428">
        <f t="shared" si="175"/>
        <v>15</v>
      </c>
      <c r="AN250" s="14">
        <f t="shared" si="150"/>
        <v>749.98</v>
      </c>
      <c r="AO250" s="14">
        <f t="shared" si="184"/>
        <v>125955.84999999995</v>
      </c>
      <c r="AP250" s="14">
        <f t="shared" si="151"/>
        <v>959.90000000000009</v>
      </c>
      <c r="AS250" s="14">
        <f t="shared" si="170"/>
        <v>749.98</v>
      </c>
      <c r="AT250" s="14">
        <f t="shared" si="176"/>
        <v>143515.59999999995</v>
      </c>
      <c r="AU250" s="287">
        <f t="shared" si="177"/>
        <v>1682.7837800144614</v>
      </c>
      <c r="AV250" s="287">
        <f t="shared" si="178"/>
        <v>275567.91778435285</v>
      </c>
    </row>
    <row r="251" spans="1:48" x14ac:dyDescent="0.25">
      <c r="A251" s="519">
        <f t="shared" si="152"/>
        <v>51489</v>
      </c>
      <c r="B251" s="287">
        <f t="shared" si="171"/>
        <v>83770.769999999917</v>
      </c>
      <c r="C251" s="14">
        <f t="shared" si="165"/>
        <v>786.54</v>
      </c>
      <c r="D251" s="14">
        <f t="shared" si="179"/>
        <v>577.1099999999999</v>
      </c>
      <c r="E251" s="14">
        <f t="shared" si="166"/>
        <v>209.43</v>
      </c>
      <c r="F251" s="14">
        <f t="shared" ref="F251:F314" si="188">+F250</f>
        <v>134.16999999999999</v>
      </c>
      <c r="G251" s="14">
        <f t="shared" si="186"/>
        <v>188.55</v>
      </c>
      <c r="H251" s="14">
        <f t="shared" si="187"/>
        <v>1109.26</v>
      </c>
      <c r="I251" s="287">
        <f t="shared" si="153"/>
        <v>103830.73999999998</v>
      </c>
      <c r="J251" s="287">
        <f t="shared" si="154"/>
        <v>83045.639999999985</v>
      </c>
      <c r="K251" s="287">
        <f t="shared" si="155"/>
        <v>83193.659999999916</v>
      </c>
      <c r="L251" s="428">
        <f t="shared" si="185"/>
        <v>16</v>
      </c>
      <c r="M251" s="428">
        <f t="shared" si="172"/>
        <v>192</v>
      </c>
      <c r="N251" s="287">
        <f t="shared" si="173"/>
        <v>164261.41999999998</v>
      </c>
      <c r="O251" s="287">
        <f t="shared" si="156"/>
        <v>1536.52</v>
      </c>
      <c r="P251" s="287">
        <f t="shared" si="180"/>
        <v>578.32999999999993</v>
      </c>
      <c r="Q251" s="287">
        <f t="shared" si="157"/>
        <v>958.19</v>
      </c>
      <c r="R251" s="287">
        <f t="shared" si="144"/>
        <v>134.16999999999999</v>
      </c>
      <c r="S251" s="287">
        <f t="shared" si="145"/>
        <v>188.55</v>
      </c>
      <c r="T251" s="287">
        <f t="shared" ref="T251:T314" si="189">SUM(P251:S251)</f>
        <v>1859.24</v>
      </c>
      <c r="U251" s="287">
        <f t="shared" si="181"/>
        <v>67266.910000000018</v>
      </c>
      <c r="V251" s="287">
        <f t="shared" si="182"/>
        <v>229281.44999999992</v>
      </c>
      <c r="W251" s="287">
        <f t="shared" si="158"/>
        <v>163683.09</v>
      </c>
      <c r="X251" s="519">
        <f t="shared" si="174"/>
        <v>51489</v>
      </c>
      <c r="Y251" s="287">
        <f t="shared" si="159"/>
        <v>186224.43999999989</v>
      </c>
      <c r="Z251" s="511">
        <f t="shared" si="167"/>
        <v>7.0000000000000007E-2</v>
      </c>
      <c r="AA251" s="287">
        <f t="shared" si="168"/>
        <v>1746.44</v>
      </c>
      <c r="AB251" s="287">
        <f t="shared" si="160"/>
        <v>660.13000000000011</v>
      </c>
      <c r="AC251" s="287">
        <f t="shared" si="169"/>
        <v>1086.31</v>
      </c>
      <c r="AD251" s="287">
        <f t="shared" si="146"/>
        <v>134.16999999999999</v>
      </c>
      <c r="AE251" s="287">
        <f t="shared" si="147"/>
        <v>188.55</v>
      </c>
      <c r="AF251" s="287">
        <f t="shared" si="161"/>
        <v>2069.1600000000003</v>
      </c>
      <c r="AG251" s="287">
        <f t="shared" si="162"/>
        <v>90384.489999999991</v>
      </c>
      <c r="AH251" s="287">
        <f t="shared" si="163"/>
        <v>214860.42999999996</v>
      </c>
      <c r="AI251" s="530">
        <f t="shared" si="148"/>
        <v>-8696.5599999999977</v>
      </c>
      <c r="AJ251" s="530">
        <f t="shared" si="183"/>
        <v>-21881.219999999885</v>
      </c>
      <c r="AK251" s="530">
        <f t="shared" si="149"/>
        <v>-30577.779999999882</v>
      </c>
      <c r="AL251" s="287">
        <f t="shared" si="164"/>
        <v>185564.30999999988</v>
      </c>
      <c r="AM251" s="428">
        <f t="shared" si="175"/>
        <v>16</v>
      </c>
      <c r="AN251" s="14">
        <f t="shared" si="150"/>
        <v>749.98</v>
      </c>
      <c r="AO251" s="14">
        <f t="shared" si="184"/>
        <v>125954.62999999996</v>
      </c>
      <c r="AP251" s="14">
        <f t="shared" si="151"/>
        <v>959.90000000000009</v>
      </c>
      <c r="AS251" s="14">
        <f t="shared" si="170"/>
        <v>749.98</v>
      </c>
      <c r="AT251" s="14">
        <f t="shared" si="176"/>
        <v>144265.57999999996</v>
      </c>
      <c r="AU251" s="287">
        <f t="shared" si="177"/>
        <v>1688.393059281176</v>
      </c>
      <c r="AV251" s="287">
        <f t="shared" si="178"/>
        <v>277256.31084363401</v>
      </c>
    </row>
    <row r="252" spans="1:48" x14ac:dyDescent="0.25">
      <c r="A252" s="519">
        <f t="shared" si="152"/>
        <v>51519</v>
      </c>
      <c r="B252" s="287">
        <f t="shared" si="171"/>
        <v>83193.659999999916</v>
      </c>
      <c r="C252" s="14">
        <f t="shared" si="165"/>
        <v>786.54</v>
      </c>
      <c r="D252" s="14">
        <f t="shared" si="179"/>
        <v>578.55999999999995</v>
      </c>
      <c r="E252" s="14">
        <f t="shared" si="166"/>
        <v>207.98</v>
      </c>
      <c r="F252" s="14">
        <f t="shared" si="188"/>
        <v>134.16999999999999</v>
      </c>
      <c r="G252" s="14">
        <f t="shared" si="186"/>
        <v>188.55</v>
      </c>
      <c r="H252" s="14">
        <f t="shared" si="187"/>
        <v>1109.26</v>
      </c>
      <c r="I252" s="287">
        <f t="shared" si="153"/>
        <v>104409.29999999997</v>
      </c>
      <c r="J252" s="287">
        <f t="shared" si="154"/>
        <v>83253.619999999981</v>
      </c>
      <c r="K252" s="287">
        <f t="shared" si="155"/>
        <v>82615.099999999919</v>
      </c>
      <c r="L252" s="428">
        <f t="shared" si="185"/>
        <v>16</v>
      </c>
      <c r="M252" s="428">
        <f t="shared" si="172"/>
        <v>193</v>
      </c>
      <c r="N252" s="287">
        <f t="shared" si="173"/>
        <v>163683.09</v>
      </c>
      <c r="O252" s="287">
        <f t="shared" si="156"/>
        <v>1536.52</v>
      </c>
      <c r="P252" s="287">
        <f t="shared" si="180"/>
        <v>581.69999999999993</v>
      </c>
      <c r="Q252" s="287">
        <f t="shared" si="157"/>
        <v>954.82</v>
      </c>
      <c r="R252" s="287">
        <f t="shared" ref="R252:R315" si="190">+R251</f>
        <v>134.16999999999999</v>
      </c>
      <c r="S252" s="287">
        <f t="shared" ref="S252:S315" si="191">+S251</f>
        <v>188.55</v>
      </c>
      <c r="T252" s="287">
        <f t="shared" si="189"/>
        <v>1859.24</v>
      </c>
      <c r="U252" s="287">
        <f t="shared" si="181"/>
        <v>67848.610000000015</v>
      </c>
      <c r="V252" s="287">
        <f t="shared" si="182"/>
        <v>230236.26999999993</v>
      </c>
      <c r="W252" s="287">
        <f t="shared" si="158"/>
        <v>163101.38999999998</v>
      </c>
      <c r="X252" s="519">
        <f t="shared" si="174"/>
        <v>51519</v>
      </c>
      <c r="Y252" s="287">
        <f t="shared" si="159"/>
        <v>185564.30999999988</v>
      </c>
      <c r="Z252" s="511">
        <f t="shared" si="167"/>
        <v>7.0000000000000007E-2</v>
      </c>
      <c r="AA252" s="287">
        <f t="shared" si="168"/>
        <v>1746.44</v>
      </c>
      <c r="AB252" s="287">
        <f t="shared" si="160"/>
        <v>663.98</v>
      </c>
      <c r="AC252" s="287">
        <f t="shared" si="169"/>
        <v>1082.46</v>
      </c>
      <c r="AD252" s="287">
        <f t="shared" ref="AD252:AD315" si="192">+AD251</f>
        <v>134.16999999999999</v>
      </c>
      <c r="AE252" s="287">
        <f t="shared" ref="AE252:AE315" si="193">+AE251</f>
        <v>188.55</v>
      </c>
      <c r="AF252" s="287">
        <f t="shared" si="161"/>
        <v>2069.1600000000003</v>
      </c>
      <c r="AG252" s="287">
        <f t="shared" si="162"/>
        <v>91048.469999999987</v>
      </c>
      <c r="AH252" s="287">
        <f t="shared" si="163"/>
        <v>215942.88999999996</v>
      </c>
      <c r="AI252" s="530">
        <f t="shared" ref="AI252:AI315" si="194">O252-AA252+AI251</f>
        <v>-8906.4799999999977</v>
      </c>
      <c r="AJ252" s="530">
        <f t="shared" si="183"/>
        <v>-21798.939999999886</v>
      </c>
      <c r="AK252" s="530">
        <f t="shared" ref="AK252:AK315" si="195">SUM(AI252:AJ252)</f>
        <v>-30705.419999999882</v>
      </c>
      <c r="AL252" s="287">
        <f t="shared" si="164"/>
        <v>184900.32999999987</v>
      </c>
      <c r="AM252" s="428">
        <f t="shared" si="175"/>
        <v>16</v>
      </c>
      <c r="AN252" s="14">
        <f t="shared" ref="AN252:AN315" si="196">IF(O252=0,0,+O252-C252)</f>
        <v>749.98</v>
      </c>
      <c r="AO252" s="14">
        <f t="shared" si="184"/>
        <v>125951.48999999996</v>
      </c>
      <c r="AP252" s="14">
        <f t="shared" ref="AP252:AP315" si="197">IF($O252=0,0,+AA252-$C252)</f>
        <v>959.90000000000009</v>
      </c>
      <c r="AS252" s="14">
        <f t="shared" si="170"/>
        <v>749.98</v>
      </c>
      <c r="AT252" s="14">
        <f t="shared" si="176"/>
        <v>145015.55999999997</v>
      </c>
      <c r="AU252" s="287">
        <f t="shared" si="177"/>
        <v>1694.0210361454467</v>
      </c>
      <c r="AV252" s="287">
        <f t="shared" si="178"/>
        <v>278950.33187977946</v>
      </c>
    </row>
    <row r="253" spans="1:48" x14ac:dyDescent="0.25">
      <c r="A253" s="519">
        <f t="shared" si="152"/>
        <v>51549</v>
      </c>
      <c r="B253" s="287">
        <f t="shared" si="171"/>
        <v>82615.099999999919</v>
      </c>
      <c r="C253" s="14">
        <f t="shared" si="165"/>
        <v>786.54</v>
      </c>
      <c r="D253" s="14">
        <f t="shared" si="179"/>
        <v>580</v>
      </c>
      <c r="E253" s="14">
        <f t="shared" si="166"/>
        <v>206.54</v>
      </c>
      <c r="F253" s="14">
        <f t="shared" si="188"/>
        <v>134.16999999999999</v>
      </c>
      <c r="G253" s="14">
        <f t="shared" si="186"/>
        <v>188.55</v>
      </c>
      <c r="H253" s="14">
        <f t="shared" si="187"/>
        <v>1109.26</v>
      </c>
      <c r="I253" s="287">
        <f t="shared" si="153"/>
        <v>104989.29999999997</v>
      </c>
      <c r="J253" s="287">
        <f t="shared" si="154"/>
        <v>83460.159999999974</v>
      </c>
      <c r="K253" s="287">
        <f t="shared" si="155"/>
        <v>82035.099999999919</v>
      </c>
      <c r="L253" s="428">
        <f t="shared" si="185"/>
        <v>16</v>
      </c>
      <c r="M253" s="428">
        <f t="shared" si="172"/>
        <v>194</v>
      </c>
      <c r="N253" s="287">
        <f t="shared" si="173"/>
        <v>163101.38999999998</v>
      </c>
      <c r="O253" s="287">
        <f t="shared" si="156"/>
        <v>1536.52</v>
      </c>
      <c r="P253" s="287">
        <f t="shared" si="180"/>
        <v>585.1</v>
      </c>
      <c r="Q253" s="287">
        <f t="shared" si="157"/>
        <v>951.42</v>
      </c>
      <c r="R253" s="287">
        <f t="shared" si="190"/>
        <v>134.16999999999999</v>
      </c>
      <c r="S253" s="287">
        <f t="shared" si="191"/>
        <v>188.55</v>
      </c>
      <c r="T253" s="287">
        <f t="shared" si="189"/>
        <v>1859.24</v>
      </c>
      <c r="U253" s="287">
        <f t="shared" si="181"/>
        <v>68433.710000000021</v>
      </c>
      <c r="V253" s="287">
        <f t="shared" si="182"/>
        <v>231187.68999999994</v>
      </c>
      <c r="W253" s="287">
        <f t="shared" si="158"/>
        <v>162516.28999999998</v>
      </c>
      <c r="X253" s="519">
        <f t="shared" si="174"/>
        <v>51549</v>
      </c>
      <c r="Y253" s="287">
        <f t="shared" si="159"/>
        <v>184900.32999999987</v>
      </c>
      <c r="Z253" s="511">
        <f t="shared" si="167"/>
        <v>7.0000000000000007E-2</v>
      </c>
      <c r="AA253" s="287">
        <f t="shared" si="168"/>
        <v>1746.44</v>
      </c>
      <c r="AB253" s="287">
        <f t="shared" si="160"/>
        <v>667.85000000000014</v>
      </c>
      <c r="AC253" s="287">
        <f t="shared" si="169"/>
        <v>1078.5899999999999</v>
      </c>
      <c r="AD253" s="287">
        <f t="shared" si="192"/>
        <v>134.16999999999999</v>
      </c>
      <c r="AE253" s="287">
        <f t="shared" si="193"/>
        <v>188.55</v>
      </c>
      <c r="AF253" s="287">
        <f t="shared" si="161"/>
        <v>2069.1600000000003</v>
      </c>
      <c r="AG253" s="287">
        <f t="shared" si="162"/>
        <v>91716.319999999992</v>
      </c>
      <c r="AH253" s="287">
        <f t="shared" si="163"/>
        <v>217021.47999999995</v>
      </c>
      <c r="AI253" s="530">
        <f t="shared" si="194"/>
        <v>-9116.3999999999978</v>
      </c>
      <c r="AJ253" s="530">
        <f t="shared" si="183"/>
        <v>-21716.189999999886</v>
      </c>
      <c r="AK253" s="530">
        <f t="shared" si="195"/>
        <v>-30832.589999999884</v>
      </c>
      <c r="AL253" s="287">
        <f t="shared" si="164"/>
        <v>184232.47999999986</v>
      </c>
      <c r="AM253" s="428">
        <f t="shared" si="175"/>
        <v>16</v>
      </c>
      <c r="AN253" s="14">
        <f t="shared" si="196"/>
        <v>749.98</v>
      </c>
      <c r="AO253" s="14">
        <f t="shared" si="184"/>
        <v>125946.38999999996</v>
      </c>
      <c r="AP253" s="14">
        <f t="shared" si="197"/>
        <v>959.90000000000009</v>
      </c>
      <c r="AS253" s="14">
        <f t="shared" si="170"/>
        <v>749.98</v>
      </c>
      <c r="AT253" s="14">
        <f t="shared" si="176"/>
        <v>145765.53999999998</v>
      </c>
      <c r="AU253" s="287">
        <f t="shared" si="177"/>
        <v>1699.6677729325984</v>
      </c>
      <c r="AV253" s="287">
        <f t="shared" si="178"/>
        <v>280649.99965271208</v>
      </c>
    </row>
    <row r="254" spans="1:48" ht="15.75" thickBot="1" x14ac:dyDescent="0.3">
      <c r="A254" s="522">
        <f t="shared" ref="A254:A314" si="198">IF(K254&lt;=0," ",+A253+30)</f>
        <v>51579</v>
      </c>
      <c r="B254" s="348">
        <f t="shared" si="171"/>
        <v>82035.099999999919</v>
      </c>
      <c r="C254" s="21">
        <f t="shared" si="165"/>
        <v>786.54</v>
      </c>
      <c r="D254" s="21">
        <f t="shared" si="179"/>
        <v>581.44999999999993</v>
      </c>
      <c r="E254" s="21">
        <f t="shared" si="166"/>
        <v>205.09</v>
      </c>
      <c r="F254" s="21">
        <f t="shared" si="188"/>
        <v>134.16999999999999</v>
      </c>
      <c r="G254" s="21">
        <f t="shared" si="186"/>
        <v>188.55</v>
      </c>
      <c r="H254" s="21">
        <f t="shared" si="187"/>
        <v>1109.26</v>
      </c>
      <c r="I254" s="348">
        <f t="shared" ref="I254:I314" si="199">$D254+$I253</f>
        <v>105570.74999999997</v>
      </c>
      <c r="J254" s="348">
        <f t="shared" ref="J254:J314" si="200">$E254+$J253</f>
        <v>83665.249999999971</v>
      </c>
      <c r="K254" s="348">
        <f t="shared" ref="K254:K314" si="201">+B254-D254</f>
        <v>81453.649999999921</v>
      </c>
      <c r="L254" s="429">
        <f t="shared" si="185"/>
        <v>16</v>
      </c>
      <c r="M254" s="429">
        <f t="shared" si="172"/>
        <v>195</v>
      </c>
      <c r="N254" s="348">
        <f t="shared" si="173"/>
        <v>162516.28999999998</v>
      </c>
      <c r="O254" s="348">
        <f t="shared" ref="O254:O317" si="202">IF($O$9&lt;=A254,IF(+$W253&lt;=0,0,$O$8),0)</f>
        <v>1536.52</v>
      </c>
      <c r="P254" s="348">
        <f t="shared" si="180"/>
        <v>588.51</v>
      </c>
      <c r="Q254" s="348">
        <f t="shared" ref="Q254:Q317" si="203">IF($O$9&lt;=A254,ROUND(N254*($O$6/12),2),0)</f>
        <v>948.01</v>
      </c>
      <c r="R254" s="348">
        <f t="shared" si="190"/>
        <v>134.16999999999999</v>
      </c>
      <c r="S254" s="348">
        <f t="shared" si="191"/>
        <v>188.55</v>
      </c>
      <c r="T254" s="348">
        <f t="shared" si="189"/>
        <v>1859.24</v>
      </c>
      <c r="U254" s="348">
        <f t="shared" si="181"/>
        <v>69022.220000000016</v>
      </c>
      <c r="V254" s="348">
        <f t="shared" si="182"/>
        <v>232135.69999999995</v>
      </c>
      <c r="W254" s="348">
        <f t="shared" ref="W254:W314" si="204">+N254-P254</f>
        <v>161927.77999999997</v>
      </c>
      <c r="X254" s="522">
        <f t="shared" si="174"/>
        <v>51579</v>
      </c>
      <c r="Y254" s="348">
        <f t="shared" ref="Y254:Y317" si="205">IF(+AL253&lt;0,0,+AL253)</f>
        <v>184232.47999999986</v>
      </c>
      <c r="Z254" s="512">
        <f t="shared" si="167"/>
        <v>7.0000000000000007E-2</v>
      </c>
      <c r="AA254" s="348">
        <f t="shared" si="168"/>
        <v>1746.44</v>
      </c>
      <c r="AB254" s="348">
        <f t="shared" ref="AB254:AB317" si="206">+AA254-AC254</f>
        <v>671.75</v>
      </c>
      <c r="AC254" s="348">
        <f t="shared" si="169"/>
        <v>1074.69</v>
      </c>
      <c r="AD254" s="348">
        <f t="shared" si="192"/>
        <v>134.16999999999999</v>
      </c>
      <c r="AE254" s="348">
        <f t="shared" si="193"/>
        <v>188.55</v>
      </c>
      <c r="AF254" s="348">
        <f t="shared" ref="AF254:AF317" si="207">SUM(AB254:AE254)</f>
        <v>2069.1600000000003</v>
      </c>
      <c r="AG254" s="348">
        <f t="shared" ref="AG254:AG317" si="208">+AB254+AG253</f>
        <v>92388.069999999992</v>
      </c>
      <c r="AH254" s="348">
        <f t="shared" ref="AH254:AH317" si="209">+AH253+AC254</f>
        <v>218096.16999999995</v>
      </c>
      <c r="AI254" s="531">
        <f t="shared" si="194"/>
        <v>-9326.3199999999979</v>
      </c>
      <c r="AJ254" s="531">
        <f t="shared" si="183"/>
        <v>-21632.949999999895</v>
      </c>
      <c r="AK254" s="530">
        <f t="shared" si="195"/>
        <v>-30959.269999999895</v>
      </c>
      <c r="AL254" s="348">
        <f t="shared" ref="AL254:AL317" si="210">+Y254-AB254</f>
        <v>183560.72999999986</v>
      </c>
      <c r="AM254" s="429">
        <f t="shared" si="175"/>
        <v>16</v>
      </c>
      <c r="AN254" s="21">
        <f t="shared" si="196"/>
        <v>749.98</v>
      </c>
      <c r="AO254" s="21">
        <f t="shared" si="184"/>
        <v>125939.32999999994</v>
      </c>
      <c r="AP254" s="21">
        <f t="shared" si="197"/>
        <v>959.90000000000009</v>
      </c>
      <c r="AQ254" s="21"/>
      <c r="AR254" s="23"/>
      <c r="AS254" s="21">
        <f t="shared" si="170"/>
        <v>749.98</v>
      </c>
      <c r="AT254" s="21">
        <f t="shared" si="176"/>
        <v>146515.51999999999</v>
      </c>
      <c r="AU254" s="348">
        <f t="shared" si="177"/>
        <v>1705.333332175707</v>
      </c>
      <c r="AV254" s="348">
        <f t="shared" si="178"/>
        <v>282355.33298488776</v>
      </c>
    </row>
    <row r="255" spans="1:48" x14ac:dyDescent="0.25">
      <c r="A255" s="519">
        <f t="shared" si="198"/>
        <v>51609</v>
      </c>
      <c r="B255" s="287">
        <f t="shared" si="171"/>
        <v>81453.649999999921</v>
      </c>
      <c r="C255" s="14">
        <f t="shared" si="165"/>
        <v>786.54</v>
      </c>
      <c r="D255" s="14">
        <f t="shared" si="179"/>
        <v>582.91</v>
      </c>
      <c r="E255" s="14">
        <f t="shared" si="166"/>
        <v>203.63</v>
      </c>
      <c r="F255" s="14">
        <f t="shared" si="188"/>
        <v>134.16999999999999</v>
      </c>
      <c r="G255" s="14">
        <f t="shared" si="186"/>
        <v>188.55</v>
      </c>
      <c r="H255" s="14">
        <f t="shared" si="187"/>
        <v>1109.26</v>
      </c>
      <c r="I255" s="287">
        <f t="shared" si="199"/>
        <v>106153.65999999997</v>
      </c>
      <c r="J255" s="287">
        <f t="shared" si="200"/>
        <v>83868.879999999976</v>
      </c>
      <c r="K255" s="287">
        <f t="shared" si="201"/>
        <v>80870.739999999918</v>
      </c>
      <c r="L255" s="428">
        <f t="shared" si="185"/>
        <v>16</v>
      </c>
      <c r="M255" s="428">
        <f t="shared" si="172"/>
        <v>196</v>
      </c>
      <c r="N255" s="287">
        <f t="shared" si="173"/>
        <v>161927.77999999997</v>
      </c>
      <c r="O255" s="287">
        <f t="shared" si="202"/>
        <v>1536.52</v>
      </c>
      <c r="P255" s="287">
        <f t="shared" si="180"/>
        <v>591.93999999999994</v>
      </c>
      <c r="Q255" s="287">
        <f t="shared" si="203"/>
        <v>944.58</v>
      </c>
      <c r="R255" s="287">
        <f t="shared" si="190"/>
        <v>134.16999999999999</v>
      </c>
      <c r="S255" s="287">
        <f t="shared" si="191"/>
        <v>188.55</v>
      </c>
      <c r="T255" s="287">
        <f t="shared" si="189"/>
        <v>1859.24</v>
      </c>
      <c r="U255" s="287">
        <f t="shared" si="181"/>
        <v>69614.160000000018</v>
      </c>
      <c r="V255" s="287">
        <f t="shared" si="182"/>
        <v>233080.27999999994</v>
      </c>
      <c r="W255" s="287">
        <f t="shared" si="204"/>
        <v>161335.83999999997</v>
      </c>
      <c r="X255" s="519">
        <f t="shared" si="174"/>
        <v>51609</v>
      </c>
      <c r="Y255" s="287">
        <f t="shared" si="205"/>
        <v>183560.72999999986</v>
      </c>
      <c r="Z255" s="511">
        <f t="shared" si="167"/>
        <v>7.0000000000000007E-2</v>
      </c>
      <c r="AA255" s="287">
        <f t="shared" si="168"/>
        <v>1746.44</v>
      </c>
      <c r="AB255" s="287">
        <f t="shared" si="206"/>
        <v>675.67000000000007</v>
      </c>
      <c r="AC255" s="287">
        <f t="shared" si="169"/>
        <v>1070.77</v>
      </c>
      <c r="AD255" s="287">
        <f t="shared" si="192"/>
        <v>134.16999999999999</v>
      </c>
      <c r="AE255" s="287">
        <f t="shared" si="193"/>
        <v>188.55</v>
      </c>
      <c r="AF255" s="287">
        <f t="shared" si="207"/>
        <v>2069.1600000000003</v>
      </c>
      <c r="AG255" s="287">
        <f t="shared" si="208"/>
        <v>93063.739999999991</v>
      </c>
      <c r="AH255" s="287">
        <f t="shared" si="209"/>
        <v>219166.93999999994</v>
      </c>
      <c r="AI255" s="530">
        <f t="shared" si="194"/>
        <v>-9536.239999999998</v>
      </c>
      <c r="AJ255" s="530">
        <f t="shared" si="183"/>
        <v>-21549.219999999885</v>
      </c>
      <c r="AK255" s="530">
        <f t="shared" si="195"/>
        <v>-31085.459999999883</v>
      </c>
      <c r="AL255" s="287">
        <f t="shared" si="210"/>
        <v>182885.05999999985</v>
      </c>
      <c r="AM255" s="428">
        <f t="shared" si="175"/>
        <v>16</v>
      </c>
      <c r="AN255" s="14">
        <f t="shared" si="196"/>
        <v>749.98</v>
      </c>
      <c r="AO255" s="14">
        <f t="shared" si="184"/>
        <v>125930.29999999994</v>
      </c>
      <c r="AP255" s="14">
        <f t="shared" si="197"/>
        <v>959.90000000000009</v>
      </c>
      <c r="AS255" s="14">
        <f t="shared" si="170"/>
        <v>749.98</v>
      </c>
      <c r="AT255" s="14">
        <f t="shared" si="176"/>
        <v>147265.5</v>
      </c>
      <c r="AU255" s="287">
        <f t="shared" si="177"/>
        <v>1711.0177766162926</v>
      </c>
      <c r="AV255" s="287">
        <f t="shared" si="178"/>
        <v>284066.35076150403</v>
      </c>
    </row>
    <row r="256" spans="1:48" x14ac:dyDescent="0.25">
      <c r="A256" s="519">
        <f t="shared" si="198"/>
        <v>51639</v>
      </c>
      <c r="B256" s="287">
        <f t="shared" si="171"/>
        <v>80870.739999999918</v>
      </c>
      <c r="C256" s="14">
        <f t="shared" si="165"/>
        <v>786.54</v>
      </c>
      <c r="D256" s="14">
        <f t="shared" si="179"/>
        <v>584.3599999999999</v>
      </c>
      <c r="E256" s="14">
        <f t="shared" si="166"/>
        <v>202.18</v>
      </c>
      <c r="F256" s="14">
        <f t="shared" si="188"/>
        <v>134.16999999999999</v>
      </c>
      <c r="G256" s="14">
        <f t="shared" si="186"/>
        <v>188.55</v>
      </c>
      <c r="H256" s="14">
        <f t="shared" si="187"/>
        <v>1109.26</v>
      </c>
      <c r="I256" s="287">
        <f t="shared" si="199"/>
        <v>106738.01999999997</v>
      </c>
      <c r="J256" s="287">
        <f t="shared" si="200"/>
        <v>84071.059999999969</v>
      </c>
      <c r="K256" s="287">
        <f t="shared" si="201"/>
        <v>80286.379999999917</v>
      </c>
      <c r="L256" s="428">
        <f t="shared" si="185"/>
        <v>16</v>
      </c>
      <c r="M256" s="428">
        <f t="shared" si="172"/>
        <v>197</v>
      </c>
      <c r="N256" s="287">
        <f t="shared" si="173"/>
        <v>161335.83999999997</v>
      </c>
      <c r="O256" s="287">
        <f t="shared" si="202"/>
        <v>1536.52</v>
      </c>
      <c r="P256" s="287">
        <f t="shared" si="180"/>
        <v>595.39</v>
      </c>
      <c r="Q256" s="287">
        <f t="shared" si="203"/>
        <v>941.13</v>
      </c>
      <c r="R256" s="287">
        <f t="shared" si="190"/>
        <v>134.16999999999999</v>
      </c>
      <c r="S256" s="287">
        <f t="shared" si="191"/>
        <v>188.55</v>
      </c>
      <c r="T256" s="287">
        <f t="shared" si="189"/>
        <v>1859.24</v>
      </c>
      <c r="U256" s="287">
        <f t="shared" si="181"/>
        <v>70209.550000000017</v>
      </c>
      <c r="V256" s="287">
        <f t="shared" si="182"/>
        <v>234021.40999999995</v>
      </c>
      <c r="W256" s="287">
        <f t="shared" si="204"/>
        <v>160740.44999999995</v>
      </c>
      <c r="X256" s="519">
        <f t="shared" si="174"/>
        <v>51639</v>
      </c>
      <c r="Y256" s="287">
        <f t="shared" si="205"/>
        <v>182885.05999999985</v>
      </c>
      <c r="Z256" s="511">
        <f t="shared" si="167"/>
        <v>7.0000000000000007E-2</v>
      </c>
      <c r="AA256" s="287">
        <f t="shared" si="168"/>
        <v>1746.44</v>
      </c>
      <c r="AB256" s="287">
        <f t="shared" si="206"/>
        <v>679.61000000000013</v>
      </c>
      <c r="AC256" s="287">
        <f t="shared" si="169"/>
        <v>1066.83</v>
      </c>
      <c r="AD256" s="287">
        <f t="shared" si="192"/>
        <v>134.16999999999999</v>
      </c>
      <c r="AE256" s="287">
        <f t="shared" si="193"/>
        <v>188.55</v>
      </c>
      <c r="AF256" s="287">
        <f t="shared" si="207"/>
        <v>2069.1600000000003</v>
      </c>
      <c r="AG256" s="287">
        <f t="shared" si="208"/>
        <v>93743.349999999991</v>
      </c>
      <c r="AH256" s="287">
        <f t="shared" si="209"/>
        <v>220233.76999999993</v>
      </c>
      <c r="AI256" s="530">
        <f t="shared" si="194"/>
        <v>-9746.159999999998</v>
      </c>
      <c r="AJ256" s="530">
        <f t="shared" si="183"/>
        <v>-21464.999999999913</v>
      </c>
      <c r="AK256" s="530">
        <f t="shared" si="195"/>
        <v>-31211.159999999909</v>
      </c>
      <c r="AL256" s="287">
        <f t="shared" si="210"/>
        <v>182205.44999999987</v>
      </c>
      <c r="AM256" s="428">
        <f t="shared" si="175"/>
        <v>16</v>
      </c>
      <c r="AN256" s="14">
        <f t="shared" si="196"/>
        <v>749.98</v>
      </c>
      <c r="AO256" s="14">
        <f t="shared" si="184"/>
        <v>125919.26999999993</v>
      </c>
      <c r="AP256" s="14">
        <f t="shared" si="197"/>
        <v>959.90000000000009</v>
      </c>
      <c r="AS256" s="14">
        <f t="shared" si="170"/>
        <v>749.98</v>
      </c>
      <c r="AT256" s="14">
        <f t="shared" si="176"/>
        <v>148015.48000000001</v>
      </c>
      <c r="AU256" s="287">
        <f t="shared" si="177"/>
        <v>1716.7211692050134</v>
      </c>
      <c r="AV256" s="287">
        <f t="shared" si="178"/>
        <v>285783.07193070906</v>
      </c>
    </row>
    <row r="257" spans="1:48" x14ac:dyDescent="0.25">
      <c r="A257" s="519">
        <f t="shared" si="198"/>
        <v>51669</v>
      </c>
      <c r="B257" s="287">
        <f t="shared" si="171"/>
        <v>80286.379999999917</v>
      </c>
      <c r="C257" s="14">
        <f t="shared" si="165"/>
        <v>786.54</v>
      </c>
      <c r="D257" s="14">
        <f t="shared" si="179"/>
        <v>585.81999999999994</v>
      </c>
      <c r="E257" s="14">
        <f t="shared" si="166"/>
        <v>200.72</v>
      </c>
      <c r="F257" s="14">
        <f t="shared" si="188"/>
        <v>134.16999999999999</v>
      </c>
      <c r="G257" s="14">
        <f t="shared" si="186"/>
        <v>188.55</v>
      </c>
      <c r="H257" s="14">
        <f t="shared" si="187"/>
        <v>1109.26</v>
      </c>
      <c r="I257" s="287">
        <f t="shared" si="199"/>
        <v>107323.83999999998</v>
      </c>
      <c r="J257" s="287">
        <f t="shared" si="200"/>
        <v>84271.77999999997</v>
      </c>
      <c r="K257" s="287">
        <f t="shared" si="201"/>
        <v>79700.55999999991</v>
      </c>
      <c r="L257" s="428">
        <f t="shared" si="185"/>
        <v>16</v>
      </c>
      <c r="M257" s="428">
        <f t="shared" si="172"/>
        <v>198</v>
      </c>
      <c r="N257" s="287">
        <f t="shared" si="173"/>
        <v>160740.44999999995</v>
      </c>
      <c r="O257" s="287">
        <f t="shared" si="202"/>
        <v>1536.52</v>
      </c>
      <c r="P257" s="287">
        <f t="shared" si="180"/>
        <v>598.87</v>
      </c>
      <c r="Q257" s="287">
        <f t="shared" si="203"/>
        <v>937.65</v>
      </c>
      <c r="R257" s="287">
        <f t="shared" si="190"/>
        <v>134.16999999999999</v>
      </c>
      <c r="S257" s="287">
        <f t="shared" si="191"/>
        <v>188.55</v>
      </c>
      <c r="T257" s="287">
        <f t="shared" si="189"/>
        <v>1859.24</v>
      </c>
      <c r="U257" s="287">
        <f t="shared" si="181"/>
        <v>70808.420000000013</v>
      </c>
      <c r="V257" s="287">
        <f t="shared" si="182"/>
        <v>234959.05999999994</v>
      </c>
      <c r="W257" s="287">
        <f t="shared" si="204"/>
        <v>160141.57999999996</v>
      </c>
      <c r="X257" s="519">
        <f t="shared" si="174"/>
        <v>51669</v>
      </c>
      <c r="Y257" s="287">
        <f t="shared" si="205"/>
        <v>182205.44999999987</v>
      </c>
      <c r="Z257" s="511">
        <f t="shared" si="167"/>
        <v>7.0000000000000007E-2</v>
      </c>
      <c r="AA257" s="287">
        <f t="shared" si="168"/>
        <v>1746.44</v>
      </c>
      <c r="AB257" s="287">
        <f t="shared" si="206"/>
        <v>683.57000000000016</v>
      </c>
      <c r="AC257" s="287">
        <f t="shared" si="169"/>
        <v>1062.8699999999999</v>
      </c>
      <c r="AD257" s="287">
        <f t="shared" si="192"/>
        <v>134.16999999999999</v>
      </c>
      <c r="AE257" s="287">
        <f t="shared" si="193"/>
        <v>188.55</v>
      </c>
      <c r="AF257" s="287">
        <f t="shared" si="207"/>
        <v>2069.1600000000003</v>
      </c>
      <c r="AG257" s="287">
        <f t="shared" si="208"/>
        <v>94426.92</v>
      </c>
      <c r="AH257" s="287">
        <f t="shared" si="209"/>
        <v>221296.63999999993</v>
      </c>
      <c r="AI257" s="530">
        <f t="shared" si="194"/>
        <v>-9956.0799999999981</v>
      </c>
      <c r="AJ257" s="530">
        <f t="shared" si="183"/>
        <v>-21380.299999999901</v>
      </c>
      <c r="AK257" s="530">
        <f t="shared" si="195"/>
        <v>-31336.379999999899</v>
      </c>
      <c r="AL257" s="287">
        <f t="shared" si="210"/>
        <v>181521.87999999986</v>
      </c>
      <c r="AM257" s="428">
        <f t="shared" si="175"/>
        <v>16</v>
      </c>
      <c r="AN257" s="14">
        <f t="shared" si="196"/>
        <v>749.98</v>
      </c>
      <c r="AO257" s="14">
        <f t="shared" si="184"/>
        <v>125906.21999999994</v>
      </c>
      <c r="AP257" s="14">
        <f t="shared" si="197"/>
        <v>959.90000000000009</v>
      </c>
      <c r="AS257" s="14">
        <f t="shared" si="170"/>
        <v>749.98</v>
      </c>
      <c r="AT257" s="14">
        <f t="shared" si="176"/>
        <v>148765.46000000002</v>
      </c>
      <c r="AU257" s="287">
        <f t="shared" si="177"/>
        <v>1722.4435731023634</v>
      </c>
      <c r="AV257" s="287">
        <f t="shared" si="178"/>
        <v>287505.51550381142</v>
      </c>
    </row>
    <row r="258" spans="1:48" x14ac:dyDescent="0.25">
      <c r="A258" s="519">
        <f t="shared" si="198"/>
        <v>51699</v>
      </c>
      <c r="B258" s="287">
        <f t="shared" si="171"/>
        <v>79700.55999999991</v>
      </c>
      <c r="C258" s="14">
        <f t="shared" si="165"/>
        <v>786.54</v>
      </c>
      <c r="D258" s="14">
        <f t="shared" si="179"/>
        <v>587.29</v>
      </c>
      <c r="E258" s="14">
        <f t="shared" si="166"/>
        <v>199.25</v>
      </c>
      <c r="F258" s="14">
        <f t="shared" si="188"/>
        <v>134.16999999999999</v>
      </c>
      <c r="G258" s="14">
        <f t="shared" si="186"/>
        <v>188.55</v>
      </c>
      <c r="H258" s="14">
        <f t="shared" si="187"/>
        <v>1109.26</v>
      </c>
      <c r="I258" s="287">
        <f t="shared" si="199"/>
        <v>107911.12999999998</v>
      </c>
      <c r="J258" s="287">
        <f t="shared" si="200"/>
        <v>84471.02999999997</v>
      </c>
      <c r="K258" s="287">
        <f t="shared" si="201"/>
        <v>79113.269999999917</v>
      </c>
      <c r="L258" s="428">
        <f t="shared" si="185"/>
        <v>16</v>
      </c>
      <c r="M258" s="428">
        <f t="shared" si="172"/>
        <v>199</v>
      </c>
      <c r="N258" s="287">
        <f t="shared" si="173"/>
        <v>160141.57999999996</v>
      </c>
      <c r="O258" s="287">
        <f t="shared" si="202"/>
        <v>1536.52</v>
      </c>
      <c r="P258" s="287">
        <f t="shared" si="180"/>
        <v>602.36</v>
      </c>
      <c r="Q258" s="287">
        <f t="shared" si="203"/>
        <v>934.16</v>
      </c>
      <c r="R258" s="287">
        <f t="shared" si="190"/>
        <v>134.16999999999999</v>
      </c>
      <c r="S258" s="287">
        <f t="shared" si="191"/>
        <v>188.55</v>
      </c>
      <c r="T258" s="287">
        <f t="shared" si="189"/>
        <v>1859.24</v>
      </c>
      <c r="U258" s="287">
        <f t="shared" si="181"/>
        <v>71410.780000000013</v>
      </c>
      <c r="V258" s="287">
        <f t="shared" si="182"/>
        <v>235893.21999999994</v>
      </c>
      <c r="W258" s="287">
        <f t="shared" si="204"/>
        <v>159539.21999999997</v>
      </c>
      <c r="X258" s="519">
        <f t="shared" si="174"/>
        <v>51699</v>
      </c>
      <c r="Y258" s="287">
        <f t="shared" si="205"/>
        <v>181521.87999999986</v>
      </c>
      <c r="Z258" s="511">
        <f t="shared" si="167"/>
        <v>7.0000000000000007E-2</v>
      </c>
      <c r="AA258" s="287">
        <f t="shared" si="168"/>
        <v>1746.44</v>
      </c>
      <c r="AB258" s="287">
        <f t="shared" si="206"/>
        <v>687.56</v>
      </c>
      <c r="AC258" s="287">
        <f t="shared" si="169"/>
        <v>1058.8800000000001</v>
      </c>
      <c r="AD258" s="287">
        <f t="shared" si="192"/>
        <v>134.16999999999999</v>
      </c>
      <c r="AE258" s="287">
        <f t="shared" si="193"/>
        <v>188.55</v>
      </c>
      <c r="AF258" s="287">
        <f t="shared" si="207"/>
        <v>2069.1600000000003</v>
      </c>
      <c r="AG258" s="287">
        <f t="shared" si="208"/>
        <v>95114.48</v>
      </c>
      <c r="AH258" s="287">
        <f t="shared" si="209"/>
        <v>222355.51999999993</v>
      </c>
      <c r="AI258" s="530">
        <f t="shared" si="194"/>
        <v>-10165.999999999998</v>
      </c>
      <c r="AJ258" s="530">
        <f t="shared" si="183"/>
        <v>-21295.099999999889</v>
      </c>
      <c r="AK258" s="530">
        <f t="shared" si="195"/>
        <v>-31461.099999999889</v>
      </c>
      <c r="AL258" s="287">
        <f t="shared" si="210"/>
        <v>180834.31999999986</v>
      </c>
      <c r="AM258" s="428">
        <f t="shared" si="175"/>
        <v>16</v>
      </c>
      <c r="AN258" s="14">
        <f t="shared" si="196"/>
        <v>749.98</v>
      </c>
      <c r="AO258" s="14">
        <f t="shared" si="184"/>
        <v>125891.14999999995</v>
      </c>
      <c r="AP258" s="14">
        <f t="shared" si="197"/>
        <v>959.90000000000009</v>
      </c>
      <c r="AS258" s="14">
        <f t="shared" si="170"/>
        <v>749.98</v>
      </c>
      <c r="AT258" s="14">
        <f t="shared" si="176"/>
        <v>149515.44000000003</v>
      </c>
      <c r="AU258" s="287">
        <f t="shared" si="177"/>
        <v>1728.1850516793713</v>
      </c>
      <c r="AV258" s="287">
        <f t="shared" si="178"/>
        <v>289233.7005554908</v>
      </c>
    </row>
    <row r="259" spans="1:48" x14ac:dyDescent="0.25">
      <c r="A259" s="519">
        <f t="shared" si="198"/>
        <v>51729</v>
      </c>
      <c r="B259" s="287">
        <f t="shared" si="171"/>
        <v>79113.269999999917</v>
      </c>
      <c r="C259" s="14">
        <f t="shared" si="165"/>
        <v>786.54</v>
      </c>
      <c r="D259" s="14">
        <f t="shared" si="179"/>
        <v>588.76</v>
      </c>
      <c r="E259" s="14">
        <f t="shared" si="166"/>
        <v>197.78</v>
      </c>
      <c r="F259" s="14">
        <f t="shared" si="188"/>
        <v>134.16999999999999</v>
      </c>
      <c r="G259" s="14">
        <f t="shared" si="186"/>
        <v>188.55</v>
      </c>
      <c r="H259" s="14">
        <f t="shared" si="187"/>
        <v>1109.26</v>
      </c>
      <c r="I259" s="287">
        <f t="shared" si="199"/>
        <v>108499.88999999997</v>
      </c>
      <c r="J259" s="287">
        <f t="shared" si="200"/>
        <v>84668.809999999969</v>
      </c>
      <c r="K259" s="287">
        <f t="shared" si="201"/>
        <v>78524.509999999922</v>
      </c>
      <c r="L259" s="428">
        <f t="shared" si="185"/>
        <v>16</v>
      </c>
      <c r="M259" s="428">
        <f t="shared" si="172"/>
        <v>200</v>
      </c>
      <c r="N259" s="287">
        <f t="shared" si="173"/>
        <v>159539.21999999997</v>
      </c>
      <c r="O259" s="287">
        <f t="shared" si="202"/>
        <v>1536.52</v>
      </c>
      <c r="P259" s="287">
        <f t="shared" si="180"/>
        <v>605.87</v>
      </c>
      <c r="Q259" s="287">
        <f t="shared" si="203"/>
        <v>930.65</v>
      </c>
      <c r="R259" s="287">
        <f t="shared" si="190"/>
        <v>134.16999999999999</v>
      </c>
      <c r="S259" s="287">
        <f t="shared" si="191"/>
        <v>188.55</v>
      </c>
      <c r="T259" s="287">
        <f t="shared" si="189"/>
        <v>1859.24</v>
      </c>
      <c r="U259" s="287">
        <f t="shared" si="181"/>
        <v>72016.650000000009</v>
      </c>
      <c r="V259" s="287">
        <f t="shared" si="182"/>
        <v>236823.86999999994</v>
      </c>
      <c r="W259" s="287">
        <f t="shared" si="204"/>
        <v>158933.34999999998</v>
      </c>
      <c r="X259" s="519">
        <f t="shared" si="174"/>
        <v>51729</v>
      </c>
      <c r="Y259" s="287">
        <f t="shared" si="205"/>
        <v>180834.31999999986</v>
      </c>
      <c r="Z259" s="511">
        <f t="shared" si="167"/>
        <v>7.0000000000000007E-2</v>
      </c>
      <c r="AA259" s="287">
        <f t="shared" si="168"/>
        <v>1746.44</v>
      </c>
      <c r="AB259" s="287">
        <f t="shared" si="206"/>
        <v>691.57000000000016</v>
      </c>
      <c r="AC259" s="287">
        <f t="shared" si="169"/>
        <v>1054.8699999999999</v>
      </c>
      <c r="AD259" s="287">
        <f t="shared" si="192"/>
        <v>134.16999999999999</v>
      </c>
      <c r="AE259" s="287">
        <f t="shared" si="193"/>
        <v>188.55</v>
      </c>
      <c r="AF259" s="287">
        <f t="shared" si="207"/>
        <v>2069.1600000000003</v>
      </c>
      <c r="AG259" s="287">
        <f t="shared" si="208"/>
        <v>95806.05</v>
      </c>
      <c r="AH259" s="287">
        <f t="shared" si="209"/>
        <v>223410.38999999993</v>
      </c>
      <c r="AI259" s="530">
        <f t="shared" si="194"/>
        <v>-10375.919999999998</v>
      </c>
      <c r="AJ259" s="530">
        <f t="shared" si="183"/>
        <v>-21209.399999999878</v>
      </c>
      <c r="AK259" s="530">
        <f t="shared" si="195"/>
        <v>-31585.319999999876</v>
      </c>
      <c r="AL259" s="287">
        <f t="shared" si="210"/>
        <v>180142.74999999985</v>
      </c>
      <c r="AM259" s="428">
        <f t="shared" si="175"/>
        <v>16</v>
      </c>
      <c r="AN259" s="14">
        <f t="shared" si="196"/>
        <v>749.98</v>
      </c>
      <c r="AO259" s="14">
        <f t="shared" si="184"/>
        <v>125874.03999999994</v>
      </c>
      <c r="AP259" s="14">
        <f t="shared" si="197"/>
        <v>959.90000000000009</v>
      </c>
      <c r="AS259" s="14">
        <f t="shared" si="170"/>
        <v>749.98</v>
      </c>
      <c r="AT259" s="14">
        <f t="shared" si="176"/>
        <v>150265.42000000004</v>
      </c>
      <c r="AU259" s="287">
        <f t="shared" si="177"/>
        <v>1733.9456685183029</v>
      </c>
      <c r="AV259" s="287">
        <f t="shared" si="178"/>
        <v>290967.64622400911</v>
      </c>
    </row>
    <row r="260" spans="1:48" x14ac:dyDescent="0.25">
      <c r="A260" s="519">
        <f t="shared" si="198"/>
        <v>51759</v>
      </c>
      <c r="B260" s="287">
        <f t="shared" si="171"/>
        <v>78524.509999999922</v>
      </c>
      <c r="C260" s="14">
        <f t="shared" si="165"/>
        <v>786.54</v>
      </c>
      <c r="D260" s="14">
        <f t="shared" si="179"/>
        <v>590.23</v>
      </c>
      <c r="E260" s="14">
        <f t="shared" si="166"/>
        <v>196.31</v>
      </c>
      <c r="F260" s="14">
        <f t="shared" si="188"/>
        <v>134.16999999999999</v>
      </c>
      <c r="G260" s="14">
        <f t="shared" si="186"/>
        <v>188.55</v>
      </c>
      <c r="H260" s="14">
        <f t="shared" si="187"/>
        <v>1109.26</v>
      </c>
      <c r="I260" s="287">
        <f t="shared" si="199"/>
        <v>109090.11999999997</v>
      </c>
      <c r="J260" s="287">
        <f t="shared" si="200"/>
        <v>84865.119999999966</v>
      </c>
      <c r="K260" s="287">
        <f t="shared" si="201"/>
        <v>77934.279999999926</v>
      </c>
      <c r="L260" s="428">
        <f t="shared" si="185"/>
        <v>16</v>
      </c>
      <c r="M260" s="428">
        <f t="shared" si="172"/>
        <v>201</v>
      </c>
      <c r="N260" s="287">
        <f t="shared" si="173"/>
        <v>158933.34999999998</v>
      </c>
      <c r="O260" s="287">
        <f t="shared" si="202"/>
        <v>1536.52</v>
      </c>
      <c r="P260" s="287">
        <f t="shared" si="180"/>
        <v>609.41</v>
      </c>
      <c r="Q260" s="287">
        <f t="shared" si="203"/>
        <v>927.11</v>
      </c>
      <c r="R260" s="287">
        <f t="shared" si="190"/>
        <v>134.16999999999999</v>
      </c>
      <c r="S260" s="287">
        <f t="shared" si="191"/>
        <v>188.55</v>
      </c>
      <c r="T260" s="287">
        <f t="shared" si="189"/>
        <v>1859.24</v>
      </c>
      <c r="U260" s="287">
        <f t="shared" si="181"/>
        <v>72626.060000000012</v>
      </c>
      <c r="V260" s="287">
        <f t="shared" si="182"/>
        <v>237750.97999999992</v>
      </c>
      <c r="W260" s="287">
        <f t="shared" si="204"/>
        <v>158323.93999999997</v>
      </c>
      <c r="X260" s="519">
        <f t="shared" si="174"/>
        <v>51759</v>
      </c>
      <c r="Y260" s="287">
        <f t="shared" si="205"/>
        <v>180142.74999999985</v>
      </c>
      <c r="Z260" s="511">
        <f t="shared" si="167"/>
        <v>7.0000000000000007E-2</v>
      </c>
      <c r="AA260" s="287">
        <f t="shared" si="168"/>
        <v>1746.44</v>
      </c>
      <c r="AB260" s="287">
        <f t="shared" si="206"/>
        <v>695.61000000000013</v>
      </c>
      <c r="AC260" s="287">
        <f t="shared" si="169"/>
        <v>1050.83</v>
      </c>
      <c r="AD260" s="287">
        <f t="shared" si="192"/>
        <v>134.16999999999999</v>
      </c>
      <c r="AE260" s="287">
        <f t="shared" si="193"/>
        <v>188.55</v>
      </c>
      <c r="AF260" s="287">
        <f t="shared" si="207"/>
        <v>2069.1600000000003</v>
      </c>
      <c r="AG260" s="287">
        <f t="shared" si="208"/>
        <v>96501.66</v>
      </c>
      <c r="AH260" s="287">
        <f t="shared" si="209"/>
        <v>224461.21999999991</v>
      </c>
      <c r="AI260" s="530">
        <f t="shared" si="194"/>
        <v>-10585.839999999998</v>
      </c>
      <c r="AJ260" s="530">
        <f t="shared" si="183"/>
        <v>-21123.199999999895</v>
      </c>
      <c r="AK260" s="530">
        <f t="shared" si="195"/>
        <v>-31709.039999999892</v>
      </c>
      <c r="AL260" s="287">
        <f t="shared" si="210"/>
        <v>179447.13999999987</v>
      </c>
      <c r="AM260" s="428">
        <f t="shared" si="175"/>
        <v>16</v>
      </c>
      <c r="AN260" s="14">
        <f t="shared" si="196"/>
        <v>749.98</v>
      </c>
      <c r="AO260" s="14">
        <f t="shared" si="184"/>
        <v>125854.85999999994</v>
      </c>
      <c r="AP260" s="14">
        <f t="shared" si="197"/>
        <v>959.90000000000009</v>
      </c>
      <c r="AS260" s="14">
        <f t="shared" si="170"/>
        <v>749.98</v>
      </c>
      <c r="AT260" s="14">
        <f t="shared" si="176"/>
        <v>151015.40000000005</v>
      </c>
      <c r="AU260" s="287">
        <f t="shared" si="177"/>
        <v>1739.7254874133639</v>
      </c>
      <c r="AV260" s="287">
        <f t="shared" si="178"/>
        <v>292707.37171142246</v>
      </c>
    </row>
    <row r="261" spans="1:48" x14ac:dyDescent="0.25">
      <c r="A261" s="519">
        <f t="shared" si="198"/>
        <v>51789</v>
      </c>
      <c r="B261" s="287">
        <f t="shared" si="171"/>
        <v>77934.279999999926</v>
      </c>
      <c r="C261" s="14">
        <f t="shared" si="165"/>
        <v>786.54</v>
      </c>
      <c r="D261" s="14">
        <f t="shared" si="179"/>
        <v>591.69999999999993</v>
      </c>
      <c r="E261" s="14">
        <f t="shared" si="166"/>
        <v>194.84</v>
      </c>
      <c r="F261" s="14">
        <f t="shared" si="188"/>
        <v>134.16999999999999</v>
      </c>
      <c r="G261" s="14">
        <f t="shared" si="186"/>
        <v>188.55</v>
      </c>
      <c r="H261" s="14">
        <f t="shared" si="187"/>
        <v>1109.26</v>
      </c>
      <c r="I261" s="287">
        <f t="shared" si="199"/>
        <v>109681.81999999996</v>
      </c>
      <c r="J261" s="287">
        <f t="shared" si="200"/>
        <v>85059.959999999963</v>
      </c>
      <c r="K261" s="287">
        <f t="shared" si="201"/>
        <v>77342.579999999929</v>
      </c>
      <c r="L261" s="428">
        <f t="shared" si="185"/>
        <v>16</v>
      </c>
      <c r="M261" s="428">
        <f t="shared" si="172"/>
        <v>202</v>
      </c>
      <c r="N261" s="287">
        <f t="shared" si="173"/>
        <v>158323.93999999997</v>
      </c>
      <c r="O261" s="287">
        <f t="shared" si="202"/>
        <v>1536.52</v>
      </c>
      <c r="P261" s="287">
        <f t="shared" si="180"/>
        <v>612.96</v>
      </c>
      <c r="Q261" s="287">
        <f t="shared" si="203"/>
        <v>923.56</v>
      </c>
      <c r="R261" s="287">
        <f t="shared" si="190"/>
        <v>134.16999999999999</v>
      </c>
      <c r="S261" s="287">
        <f t="shared" si="191"/>
        <v>188.55</v>
      </c>
      <c r="T261" s="287">
        <f t="shared" si="189"/>
        <v>1859.24</v>
      </c>
      <c r="U261" s="287">
        <f t="shared" si="181"/>
        <v>73239.020000000019</v>
      </c>
      <c r="V261" s="287">
        <f t="shared" si="182"/>
        <v>238674.53999999992</v>
      </c>
      <c r="W261" s="287">
        <f t="shared" si="204"/>
        <v>157710.97999999998</v>
      </c>
      <c r="X261" s="519">
        <f t="shared" si="174"/>
        <v>51789</v>
      </c>
      <c r="Y261" s="287">
        <f t="shared" si="205"/>
        <v>179447.13999999987</v>
      </c>
      <c r="Z261" s="511">
        <f t="shared" si="167"/>
        <v>7.0000000000000007E-2</v>
      </c>
      <c r="AA261" s="287">
        <f t="shared" si="168"/>
        <v>1746.44</v>
      </c>
      <c r="AB261" s="287">
        <f t="shared" si="206"/>
        <v>699.67000000000007</v>
      </c>
      <c r="AC261" s="287">
        <f t="shared" si="169"/>
        <v>1046.77</v>
      </c>
      <c r="AD261" s="287">
        <f t="shared" si="192"/>
        <v>134.16999999999999</v>
      </c>
      <c r="AE261" s="287">
        <f t="shared" si="193"/>
        <v>188.55</v>
      </c>
      <c r="AF261" s="287">
        <f t="shared" si="207"/>
        <v>2069.1600000000003</v>
      </c>
      <c r="AG261" s="287">
        <f t="shared" si="208"/>
        <v>97201.33</v>
      </c>
      <c r="AH261" s="287">
        <f t="shared" si="209"/>
        <v>225507.9899999999</v>
      </c>
      <c r="AI261" s="530">
        <f t="shared" si="194"/>
        <v>-10795.759999999998</v>
      </c>
      <c r="AJ261" s="530">
        <f t="shared" si="183"/>
        <v>-21036.489999999874</v>
      </c>
      <c r="AK261" s="530">
        <f t="shared" si="195"/>
        <v>-31832.249999999873</v>
      </c>
      <c r="AL261" s="287">
        <f t="shared" si="210"/>
        <v>178747.46999999986</v>
      </c>
      <c r="AM261" s="428">
        <f t="shared" si="175"/>
        <v>16</v>
      </c>
      <c r="AN261" s="14">
        <f t="shared" si="196"/>
        <v>749.98</v>
      </c>
      <c r="AO261" s="14">
        <f t="shared" si="184"/>
        <v>125833.59999999992</v>
      </c>
      <c r="AP261" s="14">
        <f t="shared" si="197"/>
        <v>959.90000000000009</v>
      </c>
      <c r="AS261" s="14">
        <f t="shared" si="170"/>
        <v>749.98</v>
      </c>
      <c r="AT261" s="14">
        <f t="shared" si="176"/>
        <v>151765.38000000006</v>
      </c>
      <c r="AU261" s="287">
        <f t="shared" si="177"/>
        <v>1745.5245723714081</v>
      </c>
      <c r="AV261" s="287">
        <f t="shared" si="178"/>
        <v>294452.89628379385</v>
      </c>
    </row>
    <row r="262" spans="1:48" x14ac:dyDescent="0.25">
      <c r="A262" s="519">
        <f t="shared" si="198"/>
        <v>51819</v>
      </c>
      <c r="B262" s="287">
        <f t="shared" si="171"/>
        <v>77342.579999999929</v>
      </c>
      <c r="C262" s="14">
        <f t="shared" si="165"/>
        <v>786.54</v>
      </c>
      <c r="D262" s="14">
        <f t="shared" si="179"/>
        <v>593.17999999999995</v>
      </c>
      <c r="E262" s="14">
        <f t="shared" si="166"/>
        <v>193.36</v>
      </c>
      <c r="F262" s="14">
        <f t="shared" si="188"/>
        <v>134.16999999999999</v>
      </c>
      <c r="G262" s="14">
        <f t="shared" si="186"/>
        <v>188.55</v>
      </c>
      <c r="H262" s="14">
        <f t="shared" si="187"/>
        <v>1109.26</v>
      </c>
      <c r="I262" s="287">
        <f t="shared" si="199"/>
        <v>110274.99999999996</v>
      </c>
      <c r="J262" s="287">
        <f t="shared" si="200"/>
        <v>85253.319999999963</v>
      </c>
      <c r="K262" s="287">
        <f t="shared" si="201"/>
        <v>76749.399999999936</v>
      </c>
      <c r="L262" s="428">
        <f t="shared" si="185"/>
        <v>16</v>
      </c>
      <c r="M262" s="428">
        <f t="shared" si="172"/>
        <v>203</v>
      </c>
      <c r="N262" s="287">
        <f t="shared" si="173"/>
        <v>157710.97999999998</v>
      </c>
      <c r="O262" s="287">
        <f t="shared" si="202"/>
        <v>1536.52</v>
      </c>
      <c r="P262" s="287">
        <f t="shared" si="180"/>
        <v>616.54</v>
      </c>
      <c r="Q262" s="287">
        <f t="shared" si="203"/>
        <v>919.98</v>
      </c>
      <c r="R262" s="287">
        <f t="shared" si="190"/>
        <v>134.16999999999999</v>
      </c>
      <c r="S262" s="287">
        <f t="shared" si="191"/>
        <v>188.55</v>
      </c>
      <c r="T262" s="287">
        <f t="shared" si="189"/>
        <v>1859.24</v>
      </c>
      <c r="U262" s="287">
        <f t="shared" si="181"/>
        <v>73855.560000000012</v>
      </c>
      <c r="V262" s="287">
        <f t="shared" si="182"/>
        <v>239594.51999999993</v>
      </c>
      <c r="W262" s="287">
        <f t="shared" si="204"/>
        <v>157094.43999999997</v>
      </c>
      <c r="X262" s="519">
        <f t="shared" si="174"/>
        <v>51819</v>
      </c>
      <c r="Y262" s="287">
        <f t="shared" si="205"/>
        <v>178747.46999999986</v>
      </c>
      <c r="Z262" s="511">
        <f t="shared" si="167"/>
        <v>7.0000000000000007E-2</v>
      </c>
      <c r="AA262" s="287">
        <f t="shared" si="168"/>
        <v>1746.44</v>
      </c>
      <c r="AB262" s="287">
        <f t="shared" si="206"/>
        <v>703.75</v>
      </c>
      <c r="AC262" s="287">
        <f t="shared" si="169"/>
        <v>1042.69</v>
      </c>
      <c r="AD262" s="287">
        <f t="shared" si="192"/>
        <v>134.16999999999999</v>
      </c>
      <c r="AE262" s="287">
        <f t="shared" si="193"/>
        <v>188.55</v>
      </c>
      <c r="AF262" s="287">
        <f t="shared" si="207"/>
        <v>2069.1600000000003</v>
      </c>
      <c r="AG262" s="287">
        <f t="shared" si="208"/>
        <v>97905.08</v>
      </c>
      <c r="AH262" s="287">
        <f t="shared" si="209"/>
        <v>226550.67999999991</v>
      </c>
      <c r="AI262" s="530">
        <f t="shared" si="194"/>
        <v>-11005.679999999998</v>
      </c>
      <c r="AJ262" s="530">
        <f t="shared" si="183"/>
        <v>-20949.279999999882</v>
      </c>
      <c r="AK262" s="530">
        <f t="shared" si="195"/>
        <v>-31954.959999999883</v>
      </c>
      <c r="AL262" s="287">
        <f t="shared" si="210"/>
        <v>178043.71999999986</v>
      </c>
      <c r="AM262" s="428">
        <f t="shared" si="175"/>
        <v>16</v>
      </c>
      <c r="AN262" s="14">
        <f t="shared" si="196"/>
        <v>749.98</v>
      </c>
      <c r="AO262" s="14">
        <f t="shared" si="184"/>
        <v>125810.23999999992</v>
      </c>
      <c r="AP262" s="14">
        <f t="shared" si="197"/>
        <v>959.90000000000009</v>
      </c>
      <c r="AS262" s="14">
        <f t="shared" si="170"/>
        <v>749.98</v>
      </c>
      <c r="AT262" s="14">
        <f t="shared" si="176"/>
        <v>152515.36000000007</v>
      </c>
      <c r="AU262" s="287">
        <f t="shared" si="177"/>
        <v>1751.3429876126463</v>
      </c>
      <c r="AV262" s="287">
        <f t="shared" si="178"/>
        <v>296204.23927140649</v>
      </c>
    </row>
    <row r="263" spans="1:48" x14ac:dyDescent="0.25">
      <c r="A263" s="519">
        <f t="shared" si="198"/>
        <v>51849</v>
      </c>
      <c r="B263" s="287">
        <f t="shared" si="171"/>
        <v>76749.399999999936</v>
      </c>
      <c r="C263" s="14">
        <f t="shared" si="165"/>
        <v>786.54</v>
      </c>
      <c r="D263" s="14">
        <f t="shared" si="179"/>
        <v>594.66999999999996</v>
      </c>
      <c r="E263" s="14">
        <f t="shared" si="166"/>
        <v>191.87</v>
      </c>
      <c r="F263" s="14">
        <f t="shared" si="188"/>
        <v>134.16999999999999</v>
      </c>
      <c r="G263" s="14">
        <f t="shared" si="186"/>
        <v>188.55</v>
      </c>
      <c r="H263" s="14">
        <f t="shared" si="187"/>
        <v>1109.26</v>
      </c>
      <c r="I263" s="287">
        <f t="shared" si="199"/>
        <v>110869.66999999995</v>
      </c>
      <c r="J263" s="287">
        <f t="shared" si="200"/>
        <v>85445.189999999959</v>
      </c>
      <c r="K263" s="287">
        <f t="shared" si="201"/>
        <v>76154.729999999938</v>
      </c>
      <c r="L263" s="428">
        <f t="shared" si="185"/>
        <v>17</v>
      </c>
      <c r="M263" s="428">
        <f t="shared" si="172"/>
        <v>204</v>
      </c>
      <c r="N263" s="287">
        <f t="shared" si="173"/>
        <v>157094.43999999997</v>
      </c>
      <c r="O263" s="287">
        <f t="shared" si="202"/>
        <v>1536.52</v>
      </c>
      <c r="P263" s="287">
        <f t="shared" si="180"/>
        <v>620.14</v>
      </c>
      <c r="Q263" s="287">
        <f t="shared" si="203"/>
        <v>916.38</v>
      </c>
      <c r="R263" s="287">
        <f t="shared" si="190"/>
        <v>134.16999999999999</v>
      </c>
      <c r="S263" s="287">
        <f t="shared" si="191"/>
        <v>188.55</v>
      </c>
      <c r="T263" s="287">
        <f t="shared" si="189"/>
        <v>1859.24</v>
      </c>
      <c r="U263" s="287">
        <f t="shared" si="181"/>
        <v>74475.700000000012</v>
      </c>
      <c r="V263" s="287">
        <f t="shared" si="182"/>
        <v>240510.89999999994</v>
      </c>
      <c r="W263" s="287">
        <f t="shared" si="204"/>
        <v>156474.29999999996</v>
      </c>
      <c r="X263" s="519">
        <f t="shared" si="174"/>
        <v>51849</v>
      </c>
      <c r="Y263" s="287">
        <f t="shared" si="205"/>
        <v>178043.71999999986</v>
      </c>
      <c r="Z263" s="511">
        <f t="shared" si="167"/>
        <v>7.0000000000000007E-2</v>
      </c>
      <c r="AA263" s="287">
        <f t="shared" si="168"/>
        <v>1746.44</v>
      </c>
      <c r="AB263" s="287">
        <f t="shared" si="206"/>
        <v>707.85000000000014</v>
      </c>
      <c r="AC263" s="287">
        <f t="shared" si="169"/>
        <v>1038.5899999999999</v>
      </c>
      <c r="AD263" s="287">
        <f t="shared" si="192"/>
        <v>134.16999999999999</v>
      </c>
      <c r="AE263" s="287">
        <f t="shared" si="193"/>
        <v>188.55</v>
      </c>
      <c r="AF263" s="287">
        <f t="shared" si="207"/>
        <v>2069.1600000000003</v>
      </c>
      <c r="AG263" s="287">
        <f t="shared" si="208"/>
        <v>98612.930000000008</v>
      </c>
      <c r="AH263" s="287">
        <f t="shared" si="209"/>
        <v>227589.2699999999</v>
      </c>
      <c r="AI263" s="530">
        <f t="shared" si="194"/>
        <v>-11215.599999999999</v>
      </c>
      <c r="AJ263" s="530">
        <f t="shared" si="183"/>
        <v>-20861.569999999891</v>
      </c>
      <c r="AK263" s="530">
        <f t="shared" si="195"/>
        <v>-32077.169999999889</v>
      </c>
      <c r="AL263" s="287">
        <f t="shared" si="210"/>
        <v>177335.86999999985</v>
      </c>
      <c r="AM263" s="428">
        <f t="shared" si="175"/>
        <v>17</v>
      </c>
      <c r="AN263" s="14">
        <f t="shared" si="196"/>
        <v>749.98</v>
      </c>
      <c r="AO263" s="14">
        <f t="shared" si="184"/>
        <v>125784.76999999993</v>
      </c>
      <c r="AP263" s="14">
        <f t="shared" si="197"/>
        <v>959.90000000000009</v>
      </c>
      <c r="AS263" s="14">
        <f t="shared" si="170"/>
        <v>749.98</v>
      </c>
      <c r="AT263" s="14">
        <f t="shared" si="176"/>
        <v>153265.34000000008</v>
      </c>
      <c r="AU263" s="287">
        <f t="shared" si="177"/>
        <v>1757.1807975713552</v>
      </c>
      <c r="AV263" s="287">
        <f t="shared" si="178"/>
        <v>297961.42006897787</v>
      </c>
    </row>
    <row r="264" spans="1:48" x14ac:dyDescent="0.25">
      <c r="A264" s="519">
        <f t="shared" si="198"/>
        <v>51879</v>
      </c>
      <c r="B264" s="287">
        <f t="shared" si="171"/>
        <v>76154.729999999938</v>
      </c>
      <c r="C264" s="14">
        <f t="shared" si="165"/>
        <v>786.54</v>
      </c>
      <c r="D264" s="14">
        <f t="shared" si="179"/>
        <v>596.15</v>
      </c>
      <c r="E264" s="14">
        <f t="shared" si="166"/>
        <v>190.39</v>
      </c>
      <c r="F264" s="14">
        <f t="shared" si="188"/>
        <v>134.16999999999999</v>
      </c>
      <c r="G264" s="14">
        <f t="shared" si="186"/>
        <v>188.55</v>
      </c>
      <c r="H264" s="14">
        <f t="shared" si="187"/>
        <v>1109.26</v>
      </c>
      <c r="I264" s="287">
        <f t="shared" si="199"/>
        <v>111465.81999999995</v>
      </c>
      <c r="J264" s="287">
        <f t="shared" si="200"/>
        <v>85635.579999999958</v>
      </c>
      <c r="K264" s="287">
        <f t="shared" si="201"/>
        <v>75558.579999999944</v>
      </c>
      <c r="L264" s="428">
        <f t="shared" si="185"/>
        <v>17</v>
      </c>
      <c r="M264" s="428">
        <f t="shared" si="172"/>
        <v>205</v>
      </c>
      <c r="N264" s="287">
        <f t="shared" si="173"/>
        <v>156474.29999999996</v>
      </c>
      <c r="O264" s="287">
        <f t="shared" si="202"/>
        <v>1536.52</v>
      </c>
      <c r="P264" s="287">
        <f t="shared" si="180"/>
        <v>623.75</v>
      </c>
      <c r="Q264" s="287">
        <f t="shared" si="203"/>
        <v>912.77</v>
      </c>
      <c r="R264" s="287">
        <f t="shared" si="190"/>
        <v>134.16999999999999</v>
      </c>
      <c r="S264" s="287">
        <f t="shared" si="191"/>
        <v>188.55</v>
      </c>
      <c r="T264" s="287">
        <f t="shared" si="189"/>
        <v>1859.24</v>
      </c>
      <c r="U264" s="287">
        <f t="shared" si="181"/>
        <v>75099.450000000012</v>
      </c>
      <c r="V264" s="287">
        <f t="shared" si="182"/>
        <v>241423.66999999993</v>
      </c>
      <c r="W264" s="287">
        <f t="shared" si="204"/>
        <v>155850.54999999996</v>
      </c>
      <c r="X264" s="519">
        <f t="shared" si="174"/>
        <v>51879</v>
      </c>
      <c r="Y264" s="287">
        <f t="shared" si="205"/>
        <v>177335.86999999985</v>
      </c>
      <c r="Z264" s="511">
        <f t="shared" si="167"/>
        <v>7.0000000000000007E-2</v>
      </c>
      <c r="AA264" s="287">
        <f t="shared" si="168"/>
        <v>1746.44</v>
      </c>
      <c r="AB264" s="287">
        <f t="shared" si="206"/>
        <v>711.98</v>
      </c>
      <c r="AC264" s="287">
        <f t="shared" si="169"/>
        <v>1034.46</v>
      </c>
      <c r="AD264" s="287">
        <f t="shared" si="192"/>
        <v>134.16999999999999</v>
      </c>
      <c r="AE264" s="287">
        <f t="shared" si="193"/>
        <v>188.55</v>
      </c>
      <c r="AF264" s="287">
        <f t="shared" si="207"/>
        <v>2069.1600000000003</v>
      </c>
      <c r="AG264" s="287">
        <f t="shared" si="208"/>
        <v>99324.91</v>
      </c>
      <c r="AH264" s="287">
        <f t="shared" si="209"/>
        <v>228623.72999999989</v>
      </c>
      <c r="AI264" s="530">
        <f t="shared" si="194"/>
        <v>-11425.519999999999</v>
      </c>
      <c r="AJ264" s="530">
        <f t="shared" si="183"/>
        <v>-20773.33999999988</v>
      </c>
      <c r="AK264" s="530">
        <f t="shared" si="195"/>
        <v>-32198.859999999877</v>
      </c>
      <c r="AL264" s="287">
        <f t="shared" si="210"/>
        <v>176623.88999999984</v>
      </c>
      <c r="AM264" s="428">
        <f t="shared" si="175"/>
        <v>17</v>
      </c>
      <c r="AN264" s="14">
        <f t="shared" si="196"/>
        <v>749.98</v>
      </c>
      <c r="AO264" s="14">
        <f t="shared" si="184"/>
        <v>125757.16999999993</v>
      </c>
      <c r="AP264" s="14">
        <f t="shared" si="197"/>
        <v>959.90000000000009</v>
      </c>
      <c r="AS264" s="14">
        <f t="shared" si="170"/>
        <v>749.98</v>
      </c>
      <c r="AT264" s="14">
        <f t="shared" si="176"/>
        <v>154015.32000000009</v>
      </c>
      <c r="AU264" s="287">
        <f t="shared" si="177"/>
        <v>1763.0380668965929</v>
      </c>
      <c r="AV264" s="287">
        <f t="shared" si="178"/>
        <v>299724.45813587448</v>
      </c>
    </row>
    <row r="265" spans="1:48" x14ac:dyDescent="0.25">
      <c r="A265" s="519">
        <f t="shared" si="198"/>
        <v>51909</v>
      </c>
      <c r="B265" s="287">
        <f t="shared" si="171"/>
        <v>75558.579999999944</v>
      </c>
      <c r="C265" s="14">
        <f t="shared" si="165"/>
        <v>786.54</v>
      </c>
      <c r="D265" s="14">
        <f t="shared" si="179"/>
        <v>597.64</v>
      </c>
      <c r="E265" s="14">
        <f t="shared" si="166"/>
        <v>188.9</v>
      </c>
      <c r="F265" s="14">
        <f t="shared" si="188"/>
        <v>134.16999999999999</v>
      </c>
      <c r="G265" s="14">
        <f t="shared" si="186"/>
        <v>188.55</v>
      </c>
      <c r="H265" s="14">
        <f t="shared" si="187"/>
        <v>1109.26</v>
      </c>
      <c r="I265" s="287">
        <f t="shared" si="199"/>
        <v>112063.45999999995</v>
      </c>
      <c r="J265" s="287">
        <f t="shared" si="200"/>
        <v>85824.479999999952</v>
      </c>
      <c r="K265" s="287">
        <f t="shared" si="201"/>
        <v>74960.939999999944</v>
      </c>
      <c r="L265" s="428">
        <f t="shared" si="185"/>
        <v>17</v>
      </c>
      <c r="M265" s="428">
        <f t="shared" si="172"/>
        <v>206</v>
      </c>
      <c r="N265" s="287">
        <f t="shared" si="173"/>
        <v>155850.54999999996</v>
      </c>
      <c r="O265" s="287">
        <f t="shared" si="202"/>
        <v>1536.52</v>
      </c>
      <c r="P265" s="287">
        <f t="shared" si="180"/>
        <v>627.39</v>
      </c>
      <c r="Q265" s="287">
        <f t="shared" si="203"/>
        <v>909.13</v>
      </c>
      <c r="R265" s="287">
        <f t="shared" si="190"/>
        <v>134.16999999999999</v>
      </c>
      <c r="S265" s="287">
        <f t="shared" si="191"/>
        <v>188.55</v>
      </c>
      <c r="T265" s="287">
        <f t="shared" si="189"/>
        <v>1859.24</v>
      </c>
      <c r="U265" s="287">
        <f t="shared" si="181"/>
        <v>75726.840000000011</v>
      </c>
      <c r="V265" s="287">
        <f t="shared" si="182"/>
        <v>242332.79999999993</v>
      </c>
      <c r="W265" s="287">
        <f t="shared" si="204"/>
        <v>155223.15999999995</v>
      </c>
      <c r="X265" s="519">
        <f t="shared" si="174"/>
        <v>51909</v>
      </c>
      <c r="Y265" s="287">
        <f t="shared" si="205"/>
        <v>176623.88999999984</v>
      </c>
      <c r="Z265" s="511">
        <f t="shared" si="167"/>
        <v>7.0000000000000007E-2</v>
      </c>
      <c r="AA265" s="287">
        <f t="shared" si="168"/>
        <v>1746.44</v>
      </c>
      <c r="AB265" s="287">
        <f t="shared" si="206"/>
        <v>716.13000000000011</v>
      </c>
      <c r="AC265" s="287">
        <f t="shared" si="169"/>
        <v>1030.31</v>
      </c>
      <c r="AD265" s="287">
        <f t="shared" si="192"/>
        <v>134.16999999999999</v>
      </c>
      <c r="AE265" s="287">
        <f t="shared" si="193"/>
        <v>188.55</v>
      </c>
      <c r="AF265" s="287">
        <f t="shared" si="207"/>
        <v>2069.1600000000003</v>
      </c>
      <c r="AG265" s="287">
        <f t="shared" si="208"/>
        <v>100041.04000000001</v>
      </c>
      <c r="AH265" s="287">
        <f t="shared" si="209"/>
        <v>229654.03999999989</v>
      </c>
      <c r="AI265" s="530">
        <f t="shared" si="194"/>
        <v>-11635.439999999999</v>
      </c>
      <c r="AJ265" s="530">
        <f t="shared" si="183"/>
        <v>-20684.599999999889</v>
      </c>
      <c r="AK265" s="530">
        <f t="shared" si="195"/>
        <v>-32320.039999999888</v>
      </c>
      <c r="AL265" s="287">
        <f t="shared" si="210"/>
        <v>175907.75999999983</v>
      </c>
      <c r="AM265" s="428">
        <f t="shared" si="175"/>
        <v>17</v>
      </c>
      <c r="AN265" s="14">
        <f t="shared" si="196"/>
        <v>749.98</v>
      </c>
      <c r="AO265" s="14">
        <f t="shared" si="184"/>
        <v>125727.41999999994</v>
      </c>
      <c r="AP265" s="14">
        <f t="shared" si="197"/>
        <v>959.90000000000009</v>
      </c>
      <c r="AS265" s="14">
        <f t="shared" si="170"/>
        <v>749.98</v>
      </c>
      <c r="AT265" s="14">
        <f t="shared" si="176"/>
        <v>154765.3000000001</v>
      </c>
      <c r="AU265" s="287">
        <f t="shared" si="177"/>
        <v>1768.9148604529148</v>
      </c>
      <c r="AV265" s="287">
        <f t="shared" si="178"/>
        <v>301493.37299632741</v>
      </c>
    </row>
    <row r="266" spans="1:48" ht="15.75" thickBot="1" x14ac:dyDescent="0.3">
      <c r="A266" s="522">
        <f t="shared" si="198"/>
        <v>51939</v>
      </c>
      <c r="B266" s="348">
        <f t="shared" si="171"/>
        <v>74960.939999999944</v>
      </c>
      <c r="C266" s="21">
        <f t="shared" si="165"/>
        <v>786.54</v>
      </c>
      <c r="D266" s="21">
        <f t="shared" si="179"/>
        <v>599.14</v>
      </c>
      <c r="E266" s="21">
        <f t="shared" si="166"/>
        <v>187.4</v>
      </c>
      <c r="F266" s="21">
        <f t="shared" si="188"/>
        <v>134.16999999999999</v>
      </c>
      <c r="G266" s="21">
        <f t="shared" si="186"/>
        <v>188.55</v>
      </c>
      <c r="H266" s="21">
        <f t="shared" si="187"/>
        <v>1109.26</v>
      </c>
      <c r="I266" s="348">
        <f t="shared" si="199"/>
        <v>112662.59999999995</v>
      </c>
      <c r="J266" s="348">
        <f t="shared" si="200"/>
        <v>86011.879999999946</v>
      </c>
      <c r="K266" s="348">
        <f t="shared" si="201"/>
        <v>74361.799999999945</v>
      </c>
      <c r="L266" s="429">
        <f t="shared" si="185"/>
        <v>17</v>
      </c>
      <c r="M266" s="429">
        <f t="shared" si="172"/>
        <v>207</v>
      </c>
      <c r="N266" s="348">
        <f t="shared" si="173"/>
        <v>155223.15999999995</v>
      </c>
      <c r="O266" s="348">
        <f t="shared" si="202"/>
        <v>1536.52</v>
      </c>
      <c r="P266" s="348">
        <f t="shared" si="180"/>
        <v>631.04999999999995</v>
      </c>
      <c r="Q266" s="348">
        <f t="shared" si="203"/>
        <v>905.47</v>
      </c>
      <c r="R266" s="348">
        <f t="shared" si="190"/>
        <v>134.16999999999999</v>
      </c>
      <c r="S266" s="348">
        <f t="shared" si="191"/>
        <v>188.55</v>
      </c>
      <c r="T266" s="348">
        <f t="shared" si="189"/>
        <v>1859.24</v>
      </c>
      <c r="U266" s="348">
        <f t="shared" si="181"/>
        <v>76357.890000000014</v>
      </c>
      <c r="V266" s="348">
        <f t="shared" si="182"/>
        <v>243238.26999999993</v>
      </c>
      <c r="W266" s="348">
        <f t="shared" si="204"/>
        <v>154592.10999999996</v>
      </c>
      <c r="X266" s="522">
        <f t="shared" si="174"/>
        <v>51939</v>
      </c>
      <c r="Y266" s="348">
        <f t="shared" si="205"/>
        <v>175907.75999999983</v>
      </c>
      <c r="Z266" s="512">
        <f t="shared" si="167"/>
        <v>7.0000000000000007E-2</v>
      </c>
      <c r="AA266" s="348">
        <f t="shared" si="168"/>
        <v>1746.44</v>
      </c>
      <c r="AB266" s="348">
        <f t="shared" si="206"/>
        <v>720.31</v>
      </c>
      <c r="AC266" s="348">
        <f t="shared" si="169"/>
        <v>1026.1300000000001</v>
      </c>
      <c r="AD266" s="348">
        <f t="shared" si="192"/>
        <v>134.16999999999999</v>
      </c>
      <c r="AE266" s="348">
        <f t="shared" si="193"/>
        <v>188.55</v>
      </c>
      <c r="AF266" s="348">
        <f t="shared" si="207"/>
        <v>2069.1600000000003</v>
      </c>
      <c r="AG266" s="348">
        <f t="shared" si="208"/>
        <v>100761.35</v>
      </c>
      <c r="AH266" s="348">
        <f t="shared" si="209"/>
        <v>230680.1699999999</v>
      </c>
      <c r="AI266" s="531">
        <f t="shared" si="194"/>
        <v>-11845.359999999999</v>
      </c>
      <c r="AJ266" s="531">
        <f t="shared" si="183"/>
        <v>-20595.33999999988</v>
      </c>
      <c r="AK266" s="530">
        <f t="shared" si="195"/>
        <v>-32440.699999999881</v>
      </c>
      <c r="AL266" s="348">
        <f t="shared" si="210"/>
        <v>175187.44999999984</v>
      </c>
      <c r="AM266" s="429">
        <f t="shared" si="175"/>
        <v>17</v>
      </c>
      <c r="AN266" s="21">
        <f t="shared" si="196"/>
        <v>749.98</v>
      </c>
      <c r="AO266" s="21">
        <f t="shared" si="184"/>
        <v>125695.50999999992</v>
      </c>
      <c r="AP266" s="21">
        <f t="shared" si="197"/>
        <v>959.90000000000009</v>
      </c>
      <c r="AQ266" s="21"/>
      <c r="AR266" s="23"/>
      <c r="AS266" s="21">
        <f t="shared" si="170"/>
        <v>749.98</v>
      </c>
      <c r="AT266" s="21">
        <f t="shared" si="176"/>
        <v>155515.28000000012</v>
      </c>
      <c r="AU266" s="348">
        <f t="shared" si="177"/>
        <v>1774.8112433210915</v>
      </c>
      <c r="AV266" s="348">
        <f t="shared" si="178"/>
        <v>303268.18423964852</v>
      </c>
    </row>
    <row r="267" spans="1:48" x14ac:dyDescent="0.25">
      <c r="A267" s="519">
        <f t="shared" si="198"/>
        <v>51969</v>
      </c>
      <c r="B267" s="287">
        <f t="shared" si="171"/>
        <v>74361.799999999945</v>
      </c>
      <c r="C267" s="14">
        <f t="shared" si="165"/>
        <v>786.54</v>
      </c>
      <c r="D267" s="14">
        <f t="shared" si="179"/>
        <v>600.64</v>
      </c>
      <c r="E267" s="14">
        <f t="shared" si="166"/>
        <v>185.9</v>
      </c>
      <c r="F267" s="14">
        <f t="shared" si="188"/>
        <v>134.16999999999999</v>
      </c>
      <c r="G267" s="14">
        <f t="shared" si="186"/>
        <v>188.55</v>
      </c>
      <c r="H267" s="14">
        <f t="shared" si="187"/>
        <v>1109.26</v>
      </c>
      <c r="I267" s="287">
        <f t="shared" si="199"/>
        <v>113263.23999999995</v>
      </c>
      <c r="J267" s="287">
        <f t="shared" si="200"/>
        <v>86197.779999999941</v>
      </c>
      <c r="K267" s="287">
        <f t="shared" si="201"/>
        <v>73761.159999999945</v>
      </c>
      <c r="L267" s="428">
        <f t="shared" si="185"/>
        <v>17</v>
      </c>
      <c r="M267" s="428">
        <f t="shared" si="172"/>
        <v>208</v>
      </c>
      <c r="N267" s="287">
        <f t="shared" si="173"/>
        <v>154592.10999999996</v>
      </c>
      <c r="O267" s="287">
        <f t="shared" si="202"/>
        <v>1536.52</v>
      </c>
      <c r="P267" s="287">
        <f t="shared" si="180"/>
        <v>634.73</v>
      </c>
      <c r="Q267" s="287">
        <f t="shared" si="203"/>
        <v>901.79</v>
      </c>
      <c r="R267" s="287">
        <f t="shared" si="190"/>
        <v>134.16999999999999</v>
      </c>
      <c r="S267" s="287">
        <f t="shared" si="191"/>
        <v>188.55</v>
      </c>
      <c r="T267" s="287">
        <f t="shared" si="189"/>
        <v>1859.24</v>
      </c>
      <c r="U267" s="287">
        <f t="shared" si="181"/>
        <v>76992.62000000001</v>
      </c>
      <c r="V267" s="287">
        <f t="shared" si="182"/>
        <v>244140.05999999994</v>
      </c>
      <c r="W267" s="287">
        <f t="shared" si="204"/>
        <v>153957.37999999995</v>
      </c>
      <c r="X267" s="519">
        <f t="shared" si="174"/>
        <v>51969</v>
      </c>
      <c r="Y267" s="287">
        <f t="shared" si="205"/>
        <v>175187.44999999984</v>
      </c>
      <c r="Z267" s="511">
        <f t="shared" si="167"/>
        <v>7.0000000000000007E-2</v>
      </c>
      <c r="AA267" s="287">
        <f t="shared" si="168"/>
        <v>1746.44</v>
      </c>
      <c r="AB267" s="287">
        <f t="shared" si="206"/>
        <v>724.5100000000001</v>
      </c>
      <c r="AC267" s="287">
        <f t="shared" si="169"/>
        <v>1021.93</v>
      </c>
      <c r="AD267" s="287">
        <f t="shared" si="192"/>
        <v>134.16999999999999</v>
      </c>
      <c r="AE267" s="287">
        <f t="shared" si="193"/>
        <v>188.55</v>
      </c>
      <c r="AF267" s="287">
        <f t="shared" si="207"/>
        <v>2069.1600000000003</v>
      </c>
      <c r="AG267" s="287">
        <f t="shared" si="208"/>
        <v>101485.86</v>
      </c>
      <c r="AH267" s="287">
        <f t="shared" si="209"/>
        <v>231702.09999999989</v>
      </c>
      <c r="AI267" s="530">
        <f t="shared" si="194"/>
        <v>-12055.279999999999</v>
      </c>
      <c r="AJ267" s="530">
        <f t="shared" si="183"/>
        <v>-20505.559999999881</v>
      </c>
      <c r="AK267" s="530">
        <f t="shared" si="195"/>
        <v>-32560.83999999988</v>
      </c>
      <c r="AL267" s="287">
        <f t="shared" si="210"/>
        <v>174462.93999999983</v>
      </c>
      <c r="AM267" s="428">
        <f t="shared" si="175"/>
        <v>17</v>
      </c>
      <c r="AN267" s="14">
        <f t="shared" si="196"/>
        <v>749.98</v>
      </c>
      <c r="AO267" s="14">
        <f t="shared" si="184"/>
        <v>125661.41999999991</v>
      </c>
      <c r="AP267" s="14">
        <f t="shared" si="197"/>
        <v>959.90000000000009</v>
      </c>
      <c r="AS267" s="14">
        <f t="shared" si="170"/>
        <v>749.98</v>
      </c>
      <c r="AT267" s="14">
        <f t="shared" si="176"/>
        <v>156265.26000000013</v>
      </c>
      <c r="AU267" s="287">
        <f t="shared" si="177"/>
        <v>1780.7272807988284</v>
      </c>
      <c r="AV267" s="287">
        <f t="shared" si="178"/>
        <v>305048.91152044735</v>
      </c>
    </row>
    <row r="268" spans="1:48" x14ac:dyDescent="0.25">
      <c r="A268" s="519">
        <f t="shared" si="198"/>
        <v>51999</v>
      </c>
      <c r="B268" s="287">
        <f t="shared" si="171"/>
        <v>73761.159999999945</v>
      </c>
      <c r="C268" s="14">
        <f t="shared" si="165"/>
        <v>786.54</v>
      </c>
      <c r="D268" s="14">
        <f t="shared" si="179"/>
        <v>602.14</v>
      </c>
      <c r="E268" s="14">
        <f t="shared" si="166"/>
        <v>184.4</v>
      </c>
      <c r="F268" s="14">
        <f t="shared" si="188"/>
        <v>134.16999999999999</v>
      </c>
      <c r="G268" s="14">
        <f t="shared" si="186"/>
        <v>188.55</v>
      </c>
      <c r="H268" s="14">
        <f t="shared" si="187"/>
        <v>1109.26</v>
      </c>
      <c r="I268" s="287">
        <f t="shared" si="199"/>
        <v>113865.37999999995</v>
      </c>
      <c r="J268" s="287">
        <f t="shared" si="200"/>
        <v>86382.179999999935</v>
      </c>
      <c r="K268" s="287">
        <f t="shared" si="201"/>
        <v>73159.019999999946</v>
      </c>
      <c r="L268" s="428">
        <f t="shared" si="185"/>
        <v>17</v>
      </c>
      <c r="M268" s="428">
        <f t="shared" si="172"/>
        <v>209</v>
      </c>
      <c r="N268" s="287">
        <f t="shared" si="173"/>
        <v>153957.37999999995</v>
      </c>
      <c r="O268" s="287">
        <f t="shared" si="202"/>
        <v>1536.52</v>
      </c>
      <c r="P268" s="287">
        <f t="shared" si="180"/>
        <v>638.43999999999994</v>
      </c>
      <c r="Q268" s="287">
        <f t="shared" si="203"/>
        <v>898.08</v>
      </c>
      <c r="R268" s="287">
        <f t="shared" si="190"/>
        <v>134.16999999999999</v>
      </c>
      <c r="S268" s="287">
        <f t="shared" si="191"/>
        <v>188.55</v>
      </c>
      <c r="T268" s="287">
        <f t="shared" si="189"/>
        <v>1859.24</v>
      </c>
      <c r="U268" s="287">
        <f t="shared" si="181"/>
        <v>77631.060000000012</v>
      </c>
      <c r="V268" s="287">
        <f t="shared" si="182"/>
        <v>245038.13999999993</v>
      </c>
      <c r="W268" s="287">
        <f t="shared" si="204"/>
        <v>153318.93999999994</v>
      </c>
      <c r="X268" s="519">
        <f t="shared" si="174"/>
        <v>51999</v>
      </c>
      <c r="Y268" s="287">
        <f t="shared" si="205"/>
        <v>174462.93999999983</v>
      </c>
      <c r="Z268" s="511">
        <f t="shared" si="167"/>
        <v>7.0000000000000007E-2</v>
      </c>
      <c r="AA268" s="287">
        <f t="shared" si="168"/>
        <v>1746.44</v>
      </c>
      <c r="AB268" s="287">
        <f t="shared" si="206"/>
        <v>728.74</v>
      </c>
      <c r="AC268" s="287">
        <f t="shared" si="169"/>
        <v>1017.7</v>
      </c>
      <c r="AD268" s="287">
        <f t="shared" si="192"/>
        <v>134.16999999999999</v>
      </c>
      <c r="AE268" s="287">
        <f t="shared" si="193"/>
        <v>188.55</v>
      </c>
      <c r="AF268" s="287">
        <f t="shared" si="207"/>
        <v>2069.1600000000003</v>
      </c>
      <c r="AG268" s="287">
        <f t="shared" si="208"/>
        <v>102214.6</v>
      </c>
      <c r="AH268" s="287">
        <f t="shared" si="209"/>
        <v>232719.7999999999</v>
      </c>
      <c r="AI268" s="530">
        <f t="shared" si="194"/>
        <v>-12265.199999999999</v>
      </c>
      <c r="AJ268" s="530">
        <f t="shared" si="183"/>
        <v>-20415.259999999893</v>
      </c>
      <c r="AK268" s="530">
        <f t="shared" si="195"/>
        <v>-32680.45999999989</v>
      </c>
      <c r="AL268" s="287">
        <f t="shared" si="210"/>
        <v>173734.19999999984</v>
      </c>
      <c r="AM268" s="428">
        <f t="shared" si="175"/>
        <v>17</v>
      </c>
      <c r="AN268" s="14">
        <f t="shared" si="196"/>
        <v>749.98</v>
      </c>
      <c r="AO268" s="14">
        <f t="shared" si="184"/>
        <v>125625.11999999992</v>
      </c>
      <c r="AP268" s="14">
        <f t="shared" si="197"/>
        <v>959.90000000000009</v>
      </c>
      <c r="AS268" s="14">
        <f t="shared" si="170"/>
        <v>749.98</v>
      </c>
      <c r="AT268" s="14">
        <f t="shared" si="176"/>
        <v>157015.24000000014</v>
      </c>
      <c r="AU268" s="287">
        <f t="shared" si="177"/>
        <v>1786.6630384014913</v>
      </c>
      <c r="AV268" s="287">
        <f t="shared" si="178"/>
        <v>306835.57455884886</v>
      </c>
    </row>
    <row r="269" spans="1:48" x14ac:dyDescent="0.25">
      <c r="A269" s="519">
        <f t="shared" si="198"/>
        <v>52029</v>
      </c>
      <c r="B269" s="287">
        <f t="shared" si="171"/>
        <v>73159.019999999946</v>
      </c>
      <c r="C269" s="14">
        <f t="shared" si="165"/>
        <v>786.54</v>
      </c>
      <c r="D269" s="14">
        <f t="shared" si="179"/>
        <v>603.64</v>
      </c>
      <c r="E269" s="14">
        <f t="shared" si="166"/>
        <v>182.9</v>
      </c>
      <c r="F269" s="14">
        <f t="shared" si="188"/>
        <v>134.16999999999999</v>
      </c>
      <c r="G269" s="14">
        <f t="shared" si="186"/>
        <v>188.55</v>
      </c>
      <c r="H269" s="14">
        <f t="shared" si="187"/>
        <v>1109.26</v>
      </c>
      <c r="I269" s="287">
        <f t="shared" si="199"/>
        <v>114469.01999999995</v>
      </c>
      <c r="J269" s="287">
        <f t="shared" si="200"/>
        <v>86565.079999999929</v>
      </c>
      <c r="K269" s="287">
        <f t="shared" si="201"/>
        <v>72555.379999999946</v>
      </c>
      <c r="L269" s="428">
        <f t="shared" si="185"/>
        <v>17</v>
      </c>
      <c r="M269" s="428">
        <f t="shared" si="172"/>
        <v>210</v>
      </c>
      <c r="N269" s="287">
        <f t="shared" si="173"/>
        <v>153318.93999999994</v>
      </c>
      <c r="O269" s="287">
        <f t="shared" si="202"/>
        <v>1536.52</v>
      </c>
      <c r="P269" s="287">
        <f t="shared" si="180"/>
        <v>642.16</v>
      </c>
      <c r="Q269" s="287">
        <f t="shared" si="203"/>
        <v>894.36</v>
      </c>
      <c r="R269" s="287">
        <f t="shared" si="190"/>
        <v>134.16999999999999</v>
      </c>
      <c r="S269" s="287">
        <f t="shared" si="191"/>
        <v>188.55</v>
      </c>
      <c r="T269" s="287">
        <f t="shared" si="189"/>
        <v>1859.24</v>
      </c>
      <c r="U269" s="287">
        <f t="shared" si="181"/>
        <v>78273.220000000016</v>
      </c>
      <c r="V269" s="287">
        <f t="shared" si="182"/>
        <v>245932.49999999991</v>
      </c>
      <c r="W269" s="287">
        <f t="shared" si="204"/>
        <v>152676.77999999994</v>
      </c>
      <c r="X269" s="519">
        <f t="shared" si="174"/>
        <v>52029</v>
      </c>
      <c r="Y269" s="287">
        <f t="shared" si="205"/>
        <v>173734.19999999984</v>
      </c>
      <c r="Z269" s="511">
        <f t="shared" si="167"/>
        <v>7.0000000000000007E-2</v>
      </c>
      <c r="AA269" s="287">
        <f t="shared" si="168"/>
        <v>1746.44</v>
      </c>
      <c r="AB269" s="287">
        <f t="shared" si="206"/>
        <v>732.99</v>
      </c>
      <c r="AC269" s="287">
        <f t="shared" si="169"/>
        <v>1013.45</v>
      </c>
      <c r="AD269" s="287">
        <f t="shared" si="192"/>
        <v>134.16999999999999</v>
      </c>
      <c r="AE269" s="287">
        <f t="shared" si="193"/>
        <v>188.55</v>
      </c>
      <c r="AF269" s="287">
        <f t="shared" si="207"/>
        <v>2069.1600000000003</v>
      </c>
      <c r="AG269" s="287">
        <f t="shared" si="208"/>
        <v>102947.59000000001</v>
      </c>
      <c r="AH269" s="287">
        <f t="shared" si="209"/>
        <v>233733.24999999991</v>
      </c>
      <c r="AI269" s="530">
        <f t="shared" si="194"/>
        <v>-12475.119999999999</v>
      </c>
      <c r="AJ269" s="530">
        <f t="shared" si="183"/>
        <v>-20324.429999999906</v>
      </c>
      <c r="AK269" s="530">
        <f t="shared" si="195"/>
        <v>-32799.549999999901</v>
      </c>
      <c r="AL269" s="287">
        <f t="shared" si="210"/>
        <v>173001.20999999985</v>
      </c>
      <c r="AM269" s="428">
        <f t="shared" si="175"/>
        <v>17</v>
      </c>
      <c r="AN269" s="14">
        <f t="shared" si="196"/>
        <v>749.98</v>
      </c>
      <c r="AO269" s="14">
        <f t="shared" si="184"/>
        <v>125586.59999999993</v>
      </c>
      <c r="AP269" s="14">
        <f t="shared" si="197"/>
        <v>959.90000000000009</v>
      </c>
      <c r="AS269" s="14">
        <f t="shared" si="170"/>
        <v>749.98</v>
      </c>
      <c r="AT269" s="14">
        <f t="shared" si="176"/>
        <v>157765.22000000015</v>
      </c>
      <c r="AU269" s="287">
        <f t="shared" si="177"/>
        <v>1792.6185818628294</v>
      </c>
      <c r="AV269" s="287">
        <f t="shared" si="178"/>
        <v>308628.19314071169</v>
      </c>
    </row>
    <row r="270" spans="1:48" x14ac:dyDescent="0.25">
      <c r="A270" s="519">
        <f t="shared" si="198"/>
        <v>52059</v>
      </c>
      <c r="B270" s="287">
        <f t="shared" si="171"/>
        <v>72555.379999999946</v>
      </c>
      <c r="C270" s="14">
        <f t="shared" si="165"/>
        <v>786.54</v>
      </c>
      <c r="D270" s="14">
        <f t="shared" si="179"/>
        <v>605.15</v>
      </c>
      <c r="E270" s="14">
        <f t="shared" si="166"/>
        <v>181.39</v>
      </c>
      <c r="F270" s="14">
        <f t="shared" si="188"/>
        <v>134.16999999999999</v>
      </c>
      <c r="G270" s="14">
        <f t="shared" si="186"/>
        <v>188.55</v>
      </c>
      <c r="H270" s="14">
        <f t="shared" si="187"/>
        <v>1109.26</v>
      </c>
      <c r="I270" s="287">
        <f t="shared" si="199"/>
        <v>115074.16999999994</v>
      </c>
      <c r="J270" s="287">
        <f t="shared" si="200"/>
        <v>86746.469999999928</v>
      </c>
      <c r="K270" s="287">
        <f t="shared" si="201"/>
        <v>71950.229999999952</v>
      </c>
      <c r="L270" s="428">
        <f t="shared" si="185"/>
        <v>17</v>
      </c>
      <c r="M270" s="428">
        <f t="shared" si="172"/>
        <v>211</v>
      </c>
      <c r="N270" s="287">
        <f t="shared" si="173"/>
        <v>152676.77999999994</v>
      </c>
      <c r="O270" s="287">
        <f t="shared" si="202"/>
        <v>1536.52</v>
      </c>
      <c r="P270" s="287">
        <f t="shared" si="180"/>
        <v>645.91</v>
      </c>
      <c r="Q270" s="287">
        <f t="shared" si="203"/>
        <v>890.61</v>
      </c>
      <c r="R270" s="287">
        <f t="shared" si="190"/>
        <v>134.16999999999999</v>
      </c>
      <c r="S270" s="287">
        <f t="shared" si="191"/>
        <v>188.55</v>
      </c>
      <c r="T270" s="287">
        <f t="shared" si="189"/>
        <v>1859.24</v>
      </c>
      <c r="U270" s="287">
        <f t="shared" si="181"/>
        <v>78919.130000000019</v>
      </c>
      <c r="V270" s="287">
        <f t="shared" si="182"/>
        <v>246823.1099999999</v>
      </c>
      <c r="W270" s="287">
        <f t="shared" si="204"/>
        <v>152030.86999999994</v>
      </c>
      <c r="X270" s="519">
        <f t="shared" si="174"/>
        <v>52059</v>
      </c>
      <c r="Y270" s="287">
        <f t="shared" si="205"/>
        <v>173001.20999999985</v>
      </c>
      <c r="Z270" s="511">
        <f t="shared" si="167"/>
        <v>7.0000000000000007E-2</v>
      </c>
      <c r="AA270" s="287">
        <f t="shared" si="168"/>
        <v>1746.44</v>
      </c>
      <c r="AB270" s="287">
        <f t="shared" si="206"/>
        <v>737.2700000000001</v>
      </c>
      <c r="AC270" s="287">
        <f t="shared" si="169"/>
        <v>1009.17</v>
      </c>
      <c r="AD270" s="287">
        <f t="shared" si="192"/>
        <v>134.16999999999999</v>
      </c>
      <c r="AE270" s="287">
        <f t="shared" si="193"/>
        <v>188.55</v>
      </c>
      <c r="AF270" s="287">
        <f t="shared" si="207"/>
        <v>2069.1600000000003</v>
      </c>
      <c r="AG270" s="287">
        <f t="shared" si="208"/>
        <v>103684.86000000002</v>
      </c>
      <c r="AH270" s="287">
        <f t="shared" si="209"/>
        <v>234742.41999999993</v>
      </c>
      <c r="AI270" s="530">
        <f t="shared" si="194"/>
        <v>-12685.039999999999</v>
      </c>
      <c r="AJ270" s="530">
        <f t="shared" si="183"/>
        <v>-20233.06999999992</v>
      </c>
      <c r="AK270" s="530">
        <f t="shared" si="195"/>
        <v>-32918.109999999921</v>
      </c>
      <c r="AL270" s="287">
        <f t="shared" si="210"/>
        <v>172263.93999999986</v>
      </c>
      <c r="AM270" s="428">
        <f t="shared" si="175"/>
        <v>17</v>
      </c>
      <c r="AN270" s="14">
        <f t="shared" si="196"/>
        <v>749.98</v>
      </c>
      <c r="AO270" s="14">
        <f t="shared" si="184"/>
        <v>125545.83999999989</v>
      </c>
      <c r="AP270" s="14">
        <f t="shared" si="197"/>
        <v>959.90000000000009</v>
      </c>
      <c r="AS270" s="14">
        <f t="shared" si="170"/>
        <v>749.98</v>
      </c>
      <c r="AT270" s="14">
        <f t="shared" si="176"/>
        <v>158515.20000000016</v>
      </c>
      <c r="AU270" s="287">
        <f t="shared" si="177"/>
        <v>1798.5939771357055</v>
      </c>
      <c r="AV270" s="287">
        <f t="shared" si="178"/>
        <v>310426.78711784742</v>
      </c>
    </row>
    <row r="271" spans="1:48" x14ac:dyDescent="0.25">
      <c r="A271" s="519">
        <f t="shared" si="198"/>
        <v>52089</v>
      </c>
      <c r="B271" s="287">
        <f t="shared" si="171"/>
        <v>71950.229999999952</v>
      </c>
      <c r="C271" s="14">
        <f t="shared" ref="C271:C334" si="211">IF(+$K270&lt;=0,0,$C$5)</f>
        <v>786.54</v>
      </c>
      <c r="D271" s="14">
        <f t="shared" si="179"/>
        <v>606.66</v>
      </c>
      <c r="E271" s="14">
        <f t="shared" ref="E271:E334" si="212">ROUND($B271*($C$3/12), 2)</f>
        <v>179.88</v>
      </c>
      <c r="F271" s="14">
        <f t="shared" si="188"/>
        <v>134.16999999999999</v>
      </c>
      <c r="G271" s="14">
        <f t="shared" si="186"/>
        <v>188.55</v>
      </c>
      <c r="H271" s="14">
        <f t="shared" si="187"/>
        <v>1109.26</v>
      </c>
      <c r="I271" s="287">
        <f t="shared" si="199"/>
        <v>115680.82999999994</v>
      </c>
      <c r="J271" s="287">
        <f t="shared" si="200"/>
        <v>86926.349999999933</v>
      </c>
      <c r="K271" s="287">
        <f t="shared" si="201"/>
        <v>71343.569999999949</v>
      </c>
      <c r="L271" s="428">
        <f t="shared" si="185"/>
        <v>17</v>
      </c>
      <c r="M271" s="428">
        <f t="shared" si="172"/>
        <v>212</v>
      </c>
      <c r="N271" s="287">
        <f t="shared" si="173"/>
        <v>152030.86999999994</v>
      </c>
      <c r="O271" s="287">
        <f t="shared" si="202"/>
        <v>1536.52</v>
      </c>
      <c r="P271" s="287">
        <f t="shared" si="180"/>
        <v>649.66999999999996</v>
      </c>
      <c r="Q271" s="287">
        <f t="shared" si="203"/>
        <v>886.85</v>
      </c>
      <c r="R271" s="287">
        <f t="shared" si="190"/>
        <v>134.16999999999999</v>
      </c>
      <c r="S271" s="287">
        <f t="shared" si="191"/>
        <v>188.55</v>
      </c>
      <c r="T271" s="287">
        <f t="shared" si="189"/>
        <v>1859.24</v>
      </c>
      <c r="U271" s="287">
        <f t="shared" si="181"/>
        <v>79568.800000000017</v>
      </c>
      <c r="V271" s="287">
        <f t="shared" si="182"/>
        <v>247709.9599999999</v>
      </c>
      <c r="W271" s="287">
        <f t="shared" si="204"/>
        <v>151381.19999999992</v>
      </c>
      <c r="X271" s="519">
        <f t="shared" si="174"/>
        <v>52089</v>
      </c>
      <c r="Y271" s="287">
        <f t="shared" si="205"/>
        <v>172263.93999999986</v>
      </c>
      <c r="Z271" s="511">
        <f t="shared" ref="Z271:Z334" si="213">IF(L271&gt;4,$AA$9,$AA$8)</f>
        <v>7.0000000000000007E-2</v>
      </c>
      <c r="AA271" s="287">
        <f t="shared" ref="AA271:AA334" si="214">IF($O$9&lt;=$A271,IF(+AL270&lt;=0,0,IF(Z271=$AA$8,$Z$8,$Z$9)),0)</f>
        <v>1746.44</v>
      </c>
      <c r="AB271" s="287">
        <f t="shared" si="206"/>
        <v>741.57</v>
      </c>
      <c r="AC271" s="287">
        <f t="shared" ref="AC271:AC334" si="215">IF($O$9&lt;=$A271,ROUND(Y271*(Z271/12),2),0)</f>
        <v>1004.87</v>
      </c>
      <c r="AD271" s="287">
        <f t="shared" si="192"/>
        <v>134.16999999999999</v>
      </c>
      <c r="AE271" s="287">
        <f t="shared" si="193"/>
        <v>188.55</v>
      </c>
      <c r="AF271" s="287">
        <f t="shared" si="207"/>
        <v>2069.1600000000003</v>
      </c>
      <c r="AG271" s="287">
        <f t="shared" si="208"/>
        <v>104426.43000000002</v>
      </c>
      <c r="AH271" s="287">
        <f t="shared" si="209"/>
        <v>235747.28999999992</v>
      </c>
      <c r="AI271" s="530">
        <f t="shared" si="194"/>
        <v>-12894.96</v>
      </c>
      <c r="AJ271" s="530">
        <f t="shared" si="183"/>
        <v>-20141.169999999925</v>
      </c>
      <c r="AK271" s="530">
        <f t="shared" si="195"/>
        <v>-33036.129999999925</v>
      </c>
      <c r="AL271" s="287">
        <f t="shared" si="210"/>
        <v>171522.36999999985</v>
      </c>
      <c r="AM271" s="428">
        <f t="shared" si="175"/>
        <v>17</v>
      </c>
      <c r="AN271" s="14">
        <f t="shared" si="196"/>
        <v>749.98</v>
      </c>
      <c r="AO271" s="14">
        <f t="shared" si="184"/>
        <v>125502.82999999993</v>
      </c>
      <c r="AP271" s="14">
        <f t="shared" si="197"/>
        <v>959.90000000000009</v>
      </c>
      <c r="AS271" s="14">
        <f t="shared" ref="AS271:AS334" si="216">+AN271-AR271</f>
        <v>749.98</v>
      </c>
      <c r="AT271" s="14">
        <f t="shared" si="176"/>
        <v>159265.18000000017</v>
      </c>
      <c r="AU271" s="287">
        <f t="shared" si="177"/>
        <v>1804.589290392825</v>
      </c>
      <c r="AV271" s="287">
        <f t="shared" si="178"/>
        <v>312231.37640824023</v>
      </c>
    </row>
    <row r="272" spans="1:48" x14ac:dyDescent="0.25">
      <c r="A272" s="519">
        <f t="shared" si="198"/>
        <v>52119</v>
      </c>
      <c r="B272" s="287">
        <f t="shared" ref="B272:B335" si="217">IF(+K271&lt;0,0,+K271)</f>
        <v>71343.569999999949</v>
      </c>
      <c r="C272" s="14">
        <f t="shared" si="211"/>
        <v>786.54</v>
      </c>
      <c r="D272" s="14">
        <f t="shared" si="179"/>
        <v>608.17999999999995</v>
      </c>
      <c r="E272" s="14">
        <f t="shared" si="212"/>
        <v>178.36</v>
      </c>
      <c r="F272" s="14">
        <f t="shared" si="188"/>
        <v>134.16999999999999</v>
      </c>
      <c r="G272" s="14">
        <f t="shared" si="186"/>
        <v>188.55</v>
      </c>
      <c r="H272" s="14">
        <f t="shared" si="187"/>
        <v>1109.26</v>
      </c>
      <c r="I272" s="287">
        <f t="shared" si="199"/>
        <v>116289.00999999994</v>
      </c>
      <c r="J272" s="287">
        <f t="shared" si="200"/>
        <v>87104.709999999934</v>
      </c>
      <c r="K272" s="287">
        <f t="shared" si="201"/>
        <v>70735.389999999956</v>
      </c>
      <c r="L272" s="428">
        <f t="shared" si="185"/>
        <v>17</v>
      </c>
      <c r="M272" s="428">
        <f t="shared" ref="M272:M335" si="218">IF(N272&lt;&gt;"",IF(N272=$O$5,0,+M271+1),0)</f>
        <v>213</v>
      </c>
      <c r="N272" s="287">
        <f t="shared" ref="N272:N335" si="219">IF(+W271&lt;0,0,+W271)</f>
        <v>151381.19999999992</v>
      </c>
      <c r="O272" s="287">
        <f t="shared" si="202"/>
        <v>1536.52</v>
      </c>
      <c r="P272" s="287">
        <f t="shared" si="180"/>
        <v>653.46</v>
      </c>
      <c r="Q272" s="287">
        <f t="shared" si="203"/>
        <v>883.06</v>
      </c>
      <c r="R272" s="287">
        <f t="shared" si="190"/>
        <v>134.16999999999999</v>
      </c>
      <c r="S272" s="287">
        <f t="shared" si="191"/>
        <v>188.55</v>
      </c>
      <c r="T272" s="287">
        <f t="shared" si="189"/>
        <v>1859.24</v>
      </c>
      <c r="U272" s="287">
        <f t="shared" si="181"/>
        <v>80222.260000000024</v>
      </c>
      <c r="V272" s="287">
        <f t="shared" si="182"/>
        <v>248593.0199999999</v>
      </c>
      <c r="W272" s="287">
        <f t="shared" si="204"/>
        <v>150727.73999999993</v>
      </c>
      <c r="X272" s="519">
        <f t="shared" ref="X272:X335" si="220">+A272</f>
        <v>52119</v>
      </c>
      <c r="Y272" s="287">
        <f t="shared" si="205"/>
        <v>171522.36999999985</v>
      </c>
      <c r="Z272" s="511">
        <f t="shared" si="213"/>
        <v>7.0000000000000007E-2</v>
      </c>
      <c r="AA272" s="287">
        <f t="shared" si="214"/>
        <v>1746.44</v>
      </c>
      <c r="AB272" s="287">
        <f t="shared" si="206"/>
        <v>745.8900000000001</v>
      </c>
      <c r="AC272" s="287">
        <f t="shared" si="215"/>
        <v>1000.55</v>
      </c>
      <c r="AD272" s="287">
        <f t="shared" si="192"/>
        <v>134.16999999999999</v>
      </c>
      <c r="AE272" s="287">
        <f t="shared" si="193"/>
        <v>188.55</v>
      </c>
      <c r="AF272" s="287">
        <f t="shared" si="207"/>
        <v>2069.1600000000003</v>
      </c>
      <c r="AG272" s="287">
        <f t="shared" si="208"/>
        <v>105172.32000000002</v>
      </c>
      <c r="AH272" s="287">
        <f t="shared" si="209"/>
        <v>236747.83999999991</v>
      </c>
      <c r="AI272" s="530">
        <f t="shared" si="194"/>
        <v>-13104.88</v>
      </c>
      <c r="AJ272" s="530">
        <f t="shared" si="183"/>
        <v>-20048.739999999903</v>
      </c>
      <c r="AK272" s="530">
        <f t="shared" si="195"/>
        <v>-33153.619999999901</v>
      </c>
      <c r="AL272" s="287">
        <f t="shared" si="210"/>
        <v>170776.47999999984</v>
      </c>
      <c r="AM272" s="428">
        <f t="shared" ref="AM272:AM335" si="221">+L272</f>
        <v>17</v>
      </c>
      <c r="AN272" s="14">
        <f t="shared" si="196"/>
        <v>749.98</v>
      </c>
      <c r="AO272" s="14">
        <f t="shared" si="184"/>
        <v>125457.54999999992</v>
      </c>
      <c r="AP272" s="14">
        <f t="shared" si="197"/>
        <v>959.90000000000009</v>
      </c>
      <c r="AS272" s="14">
        <f t="shared" si="216"/>
        <v>749.98</v>
      </c>
      <c r="AT272" s="14">
        <f t="shared" ref="AT272:AT335" si="222">IF(W272&lt;=0,0,+AS272+AT271)</f>
        <v>160015.16000000018</v>
      </c>
      <c r="AU272" s="287">
        <f t="shared" ref="AU272:AU335" si="223">IF(W272&lt;=0,0,+($O$5+AV271)*$AQ$2/12)</f>
        <v>1810.6045880274678</v>
      </c>
      <c r="AV272" s="287">
        <f t="shared" ref="AV272:AV335" si="224">IF(W272&lt;=0,0,+AV271+AU272)</f>
        <v>314041.9809962677</v>
      </c>
    </row>
    <row r="273" spans="1:48" x14ac:dyDescent="0.25">
      <c r="A273" s="519">
        <f t="shared" si="198"/>
        <v>52149</v>
      </c>
      <c r="B273" s="287">
        <f t="shared" si="217"/>
        <v>70735.389999999956</v>
      </c>
      <c r="C273" s="14">
        <f t="shared" si="211"/>
        <v>786.54</v>
      </c>
      <c r="D273" s="14">
        <f t="shared" ref="D273:D336" si="225">+C273-E273</f>
        <v>609.69999999999993</v>
      </c>
      <c r="E273" s="14">
        <f t="shared" si="212"/>
        <v>176.84</v>
      </c>
      <c r="F273" s="14">
        <f t="shared" si="188"/>
        <v>134.16999999999999</v>
      </c>
      <c r="G273" s="14">
        <f t="shared" si="186"/>
        <v>188.55</v>
      </c>
      <c r="H273" s="14">
        <f t="shared" si="187"/>
        <v>1109.26</v>
      </c>
      <c r="I273" s="287">
        <f t="shared" si="199"/>
        <v>116898.70999999993</v>
      </c>
      <c r="J273" s="287">
        <f t="shared" si="200"/>
        <v>87281.54999999993</v>
      </c>
      <c r="K273" s="287">
        <f t="shared" si="201"/>
        <v>70125.689999999959</v>
      </c>
      <c r="L273" s="428">
        <f t="shared" si="185"/>
        <v>17</v>
      </c>
      <c r="M273" s="428">
        <f t="shared" si="218"/>
        <v>214</v>
      </c>
      <c r="N273" s="287">
        <f t="shared" si="219"/>
        <v>150727.73999999993</v>
      </c>
      <c r="O273" s="287">
        <f t="shared" si="202"/>
        <v>1536.52</v>
      </c>
      <c r="P273" s="287">
        <f t="shared" ref="P273:P336" si="226">+O273-Q273</f>
        <v>657.27</v>
      </c>
      <c r="Q273" s="287">
        <f t="shared" si="203"/>
        <v>879.25</v>
      </c>
      <c r="R273" s="287">
        <f t="shared" si="190"/>
        <v>134.16999999999999</v>
      </c>
      <c r="S273" s="287">
        <f t="shared" si="191"/>
        <v>188.55</v>
      </c>
      <c r="T273" s="287">
        <f t="shared" si="189"/>
        <v>1859.24</v>
      </c>
      <c r="U273" s="287">
        <f t="shared" ref="U273:U336" si="227">+P273+U272</f>
        <v>80879.530000000028</v>
      </c>
      <c r="V273" s="287">
        <f t="shared" ref="V273:V336" si="228">+V272+Q273</f>
        <v>249472.2699999999</v>
      </c>
      <c r="W273" s="287">
        <f t="shared" si="204"/>
        <v>150070.46999999994</v>
      </c>
      <c r="X273" s="519">
        <f t="shared" si="220"/>
        <v>52149</v>
      </c>
      <c r="Y273" s="287">
        <f t="shared" si="205"/>
        <v>170776.47999999984</v>
      </c>
      <c r="Z273" s="511">
        <f t="shared" si="213"/>
        <v>7.0000000000000007E-2</v>
      </c>
      <c r="AA273" s="287">
        <f t="shared" si="214"/>
        <v>1746.44</v>
      </c>
      <c r="AB273" s="287">
        <f t="shared" si="206"/>
        <v>750.24</v>
      </c>
      <c r="AC273" s="287">
        <f t="shared" si="215"/>
        <v>996.2</v>
      </c>
      <c r="AD273" s="287">
        <f t="shared" si="192"/>
        <v>134.16999999999999</v>
      </c>
      <c r="AE273" s="287">
        <f t="shared" si="193"/>
        <v>188.55</v>
      </c>
      <c r="AF273" s="287">
        <f t="shared" si="207"/>
        <v>2069.1600000000003</v>
      </c>
      <c r="AG273" s="287">
        <f t="shared" si="208"/>
        <v>105922.56000000003</v>
      </c>
      <c r="AH273" s="287">
        <f t="shared" si="209"/>
        <v>237744.03999999992</v>
      </c>
      <c r="AI273" s="530">
        <f t="shared" si="194"/>
        <v>-13314.8</v>
      </c>
      <c r="AJ273" s="530">
        <f t="shared" si="183"/>
        <v>-19955.769999999902</v>
      </c>
      <c r="AK273" s="530">
        <f t="shared" si="195"/>
        <v>-33270.569999999905</v>
      </c>
      <c r="AL273" s="287">
        <f t="shared" si="210"/>
        <v>170026.23999999985</v>
      </c>
      <c r="AM273" s="428">
        <f t="shared" si="221"/>
        <v>17</v>
      </c>
      <c r="AN273" s="14">
        <f t="shared" si="196"/>
        <v>749.98</v>
      </c>
      <c r="AO273" s="14">
        <f t="shared" si="184"/>
        <v>125409.97999999989</v>
      </c>
      <c r="AP273" s="14">
        <f t="shared" si="197"/>
        <v>959.90000000000009</v>
      </c>
      <c r="AS273" s="14">
        <f t="shared" si="216"/>
        <v>749.98</v>
      </c>
      <c r="AT273" s="14">
        <f t="shared" si="222"/>
        <v>160765.14000000019</v>
      </c>
      <c r="AU273" s="287">
        <f t="shared" si="223"/>
        <v>1816.6399366542255</v>
      </c>
      <c r="AV273" s="287">
        <f t="shared" si="224"/>
        <v>315858.62093292194</v>
      </c>
    </row>
    <row r="274" spans="1:48" x14ac:dyDescent="0.25">
      <c r="A274" s="519">
        <f t="shared" si="198"/>
        <v>52179</v>
      </c>
      <c r="B274" s="287">
        <f t="shared" si="217"/>
        <v>70125.689999999959</v>
      </c>
      <c r="C274" s="14">
        <f t="shared" si="211"/>
        <v>786.54</v>
      </c>
      <c r="D274" s="14">
        <f t="shared" si="225"/>
        <v>611.23</v>
      </c>
      <c r="E274" s="14">
        <f t="shared" si="212"/>
        <v>175.31</v>
      </c>
      <c r="F274" s="14">
        <f t="shared" si="188"/>
        <v>134.16999999999999</v>
      </c>
      <c r="G274" s="14">
        <f t="shared" si="186"/>
        <v>188.55</v>
      </c>
      <c r="H274" s="14">
        <f t="shared" si="187"/>
        <v>1109.26</v>
      </c>
      <c r="I274" s="287">
        <f t="shared" si="199"/>
        <v>117509.93999999993</v>
      </c>
      <c r="J274" s="287">
        <f t="shared" si="200"/>
        <v>87456.859999999928</v>
      </c>
      <c r="K274" s="287">
        <f t="shared" si="201"/>
        <v>69514.459999999963</v>
      </c>
      <c r="L274" s="428">
        <f t="shared" si="185"/>
        <v>17</v>
      </c>
      <c r="M274" s="428">
        <f t="shared" si="218"/>
        <v>215</v>
      </c>
      <c r="N274" s="287">
        <f t="shared" si="219"/>
        <v>150070.46999999994</v>
      </c>
      <c r="O274" s="287">
        <f t="shared" si="202"/>
        <v>1536.52</v>
      </c>
      <c r="P274" s="287">
        <f t="shared" si="226"/>
        <v>661.11</v>
      </c>
      <c r="Q274" s="287">
        <f t="shared" si="203"/>
        <v>875.41</v>
      </c>
      <c r="R274" s="287">
        <f t="shared" si="190"/>
        <v>134.16999999999999</v>
      </c>
      <c r="S274" s="287">
        <f t="shared" si="191"/>
        <v>188.55</v>
      </c>
      <c r="T274" s="287">
        <f t="shared" si="189"/>
        <v>1859.24</v>
      </c>
      <c r="U274" s="287">
        <f t="shared" si="227"/>
        <v>81540.640000000029</v>
      </c>
      <c r="V274" s="287">
        <f t="shared" si="228"/>
        <v>250347.67999999991</v>
      </c>
      <c r="W274" s="287">
        <f t="shared" si="204"/>
        <v>149409.35999999996</v>
      </c>
      <c r="X274" s="519">
        <f t="shared" si="220"/>
        <v>52179</v>
      </c>
      <c r="Y274" s="287">
        <f t="shared" si="205"/>
        <v>170026.23999999985</v>
      </c>
      <c r="Z274" s="511">
        <f t="shared" si="213"/>
        <v>7.0000000000000007E-2</v>
      </c>
      <c r="AA274" s="287">
        <f t="shared" si="214"/>
        <v>1746.44</v>
      </c>
      <c r="AB274" s="287">
        <f t="shared" si="206"/>
        <v>754.62</v>
      </c>
      <c r="AC274" s="287">
        <f t="shared" si="215"/>
        <v>991.82</v>
      </c>
      <c r="AD274" s="287">
        <f t="shared" si="192"/>
        <v>134.16999999999999</v>
      </c>
      <c r="AE274" s="287">
        <f t="shared" si="193"/>
        <v>188.55</v>
      </c>
      <c r="AF274" s="287">
        <f t="shared" si="207"/>
        <v>2069.1600000000003</v>
      </c>
      <c r="AG274" s="287">
        <f t="shared" si="208"/>
        <v>106677.18000000002</v>
      </c>
      <c r="AH274" s="287">
        <f t="shared" si="209"/>
        <v>238735.85999999993</v>
      </c>
      <c r="AI274" s="530">
        <f t="shared" si="194"/>
        <v>-13524.72</v>
      </c>
      <c r="AJ274" s="530">
        <f t="shared" si="183"/>
        <v>-19862.259999999893</v>
      </c>
      <c r="AK274" s="530">
        <f t="shared" si="195"/>
        <v>-33386.979999999894</v>
      </c>
      <c r="AL274" s="287">
        <f t="shared" si="210"/>
        <v>169271.61999999985</v>
      </c>
      <c r="AM274" s="428">
        <f t="shared" si="221"/>
        <v>17</v>
      </c>
      <c r="AN274" s="14">
        <f t="shared" si="196"/>
        <v>749.98</v>
      </c>
      <c r="AO274" s="14">
        <f t="shared" si="184"/>
        <v>125360.0999999999</v>
      </c>
      <c r="AP274" s="14">
        <f t="shared" si="197"/>
        <v>959.90000000000009</v>
      </c>
      <c r="AS274" s="14">
        <f t="shared" si="216"/>
        <v>749.98</v>
      </c>
      <c r="AT274" s="14">
        <f t="shared" si="222"/>
        <v>161515.1200000002</v>
      </c>
      <c r="AU274" s="287">
        <f t="shared" si="223"/>
        <v>1822.69540310974</v>
      </c>
      <c r="AV274" s="287">
        <f t="shared" si="224"/>
        <v>317681.31633603165</v>
      </c>
    </row>
    <row r="275" spans="1:48" x14ac:dyDescent="0.25">
      <c r="A275" s="519">
        <f t="shared" si="198"/>
        <v>52209</v>
      </c>
      <c r="B275" s="287">
        <f t="shared" si="217"/>
        <v>69514.459999999963</v>
      </c>
      <c r="C275" s="14">
        <f t="shared" si="211"/>
        <v>786.54</v>
      </c>
      <c r="D275" s="14">
        <f t="shared" si="225"/>
        <v>612.75</v>
      </c>
      <c r="E275" s="14">
        <f t="shared" si="212"/>
        <v>173.79</v>
      </c>
      <c r="F275" s="14">
        <f t="shared" si="188"/>
        <v>134.16999999999999</v>
      </c>
      <c r="G275" s="14">
        <f t="shared" si="186"/>
        <v>188.55</v>
      </c>
      <c r="H275" s="14">
        <f t="shared" si="187"/>
        <v>1109.26</v>
      </c>
      <c r="I275" s="287">
        <f t="shared" si="199"/>
        <v>118122.68999999993</v>
      </c>
      <c r="J275" s="287">
        <f t="shared" si="200"/>
        <v>87630.649999999921</v>
      </c>
      <c r="K275" s="287">
        <f t="shared" si="201"/>
        <v>68901.709999999963</v>
      </c>
      <c r="L275" s="428">
        <f t="shared" si="185"/>
        <v>18</v>
      </c>
      <c r="M275" s="428">
        <f t="shared" si="218"/>
        <v>216</v>
      </c>
      <c r="N275" s="287">
        <f t="shared" si="219"/>
        <v>149409.35999999996</v>
      </c>
      <c r="O275" s="287">
        <f t="shared" si="202"/>
        <v>1536.52</v>
      </c>
      <c r="P275" s="287">
        <f t="shared" si="226"/>
        <v>664.97</v>
      </c>
      <c r="Q275" s="287">
        <f t="shared" si="203"/>
        <v>871.55</v>
      </c>
      <c r="R275" s="287">
        <f t="shared" si="190"/>
        <v>134.16999999999999</v>
      </c>
      <c r="S275" s="287">
        <f t="shared" si="191"/>
        <v>188.55</v>
      </c>
      <c r="T275" s="287">
        <f t="shared" si="189"/>
        <v>1859.24</v>
      </c>
      <c r="U275" s="287">
        <f t="shared" si="227"/>
        <v>82205.61000000003</v>
      </c>
      <c r="V275" s="287">
        <f t="shared" si="228"/>
        <v>251219.22999999989</v>
      </c>
      <c r="W275" s="287">
        <f t="shared" si="204"/>
        <v>148744.38999999996</v>
      </c>
      <c r="X275" s="519">
        <f t="shared" si="220"/>
        <v>52209</v>
      </c>
      <c r="Y275" s="287">
        <f t="shared" si="205"/>
        <v>169271.61999999985</v>
      </c>
      <c r="Z275" s="511">
        <f t="shared" si="213"/>
        <v>7.0000000000000007E-2</v>
      </c>
      <c r="AA275" s="287">
        <f t="shared" si="214"/>
        <v>1746.44</v>
      </c>
      <c r="AB275" s="287">
        <f t="shared" si="206"/>
        <v>759.0200000000001</v>
      </c>
      <c r="AC275" s="287">
        <f t="shared" si="215"/>
        <v>987.42</v>
      </c>
      <c r="AD275" s="287">
        <f t="shared" si="192"/>
        <v>134.16999999999999</v>
      </c>
      <c r="AE275" s="287">
        <f t="shared" si="193"/>
        <v>188.55</v>
      </c>
      <c r="AF275" s="287">
        <f t="shared" si="207"/>
        <v>2069.1600000000003</v>
      </c>
      <c r="AG275" s="287">
        <f t="shared" si="208"/>
        <v>107436.20000000003</v>
      </c>
      <c r="AH275" s="287">
        <f t="shared" si="209"/>
        <v>239723.27999999994</v>
      </c>
      <c r="AI275" s="530">
        <f t="shared" si="194"/>
        <v>-13734.64</v>
      </c>
      <c r="AJ275" s="530">
        <f t="shared" si="183"/>
        <v>-19768.209999999905</v>
      </c>
      <c r="AK275" s="530">
        <f t="shared" si="195"/>
        <v>-33502.849999999904</v>
      </c>
      <c r="AL275" s="287">
        <f t="shared" si="210"/>
        <v>168512.59999999986</v>
      </c>
      <c r="AM275" s="428">
        <f t="shared" si="221"/>
        <v>18</v>
      </c>
      <c r="AN275" s="14">
        <f t="shared" si="196"/>
        <v>749.98</v>
      </c>
      <c r="AO275" s="14">
        <f t="shared" si="184"/>
        <v>125307.8799999999</v>
      </c>
      <c r="AP275" s="14">
        <f t="shared" si="197"/>
        <v>959.90000000000009</v>
      </c>
      <c r="AS275" s="14">
        <f t="shared" si="216"/>
        <v>749.98</v>
      </c>
      <c r="AT275" s="14">
        <f t="shared" si="222"/>
        <v>162265.10000000021</v>
      </c>
      <c r="AU275" s="287">
        <f t="shared" si="223"/>
        <v>1828.7710544534391</v>
      </c>
      <c r="AV275" s="287">
        <f t="shared" si="224"/>
        <v>319510.0873904851</v>
      </c>
    </row>
    <row r="276" spans="1:48" x14ac:dyDescent="0.25">
      <c r="A276" s="519">
        <f t="shared" si="198"/>
        <v>52239</v>
      </c>
      <c r="B276" s="287">
        <f t="shared" si="217"/>
        <v>68901.709999999963</v>
      </c>
      <c r="C276" s="14">
        <f t="shared" si="211"/>
        <v>786.54</v>
      </c>
      <c r="D276" s="14">
        <f t="shared" si="225"/>
        <v>614.29</v>
      </c>
      <c r="E276" s="14">
        <f t="shared" si="212"/>
        <v>172.25</v>
      </c>
      <c r="F276" s="14">
        <f t="shared" si="188"/>
        <v>134.16999999999999</v>
      </c>
      <c r="G276" s="14">
        <f t="shared" si="186"/>
        <v>188.55</v>
      </c>
      <c r="H276" s="14">
        <f t="shared" si="187"/>
        <v>1109.26</v>
      </c>
      <c r="I276" s="287">
        <f t="shared" si="199"/>
        <v>118736.97999999992</v>
      </c>
      <c r="J276" s="287">
        <f t="shared" si="200"/>
        <v>87802.899999999921</v>
      </c>
      <c r="K276" s="287">
        <f t="shared" si="201"/>
        <v>68287.419999999969</v>
      </c>
      <c r="L276" s="428">
        <f t="shared" si="185"/>
        <v>18</v>
      </c>
      <c r="M276" s="428">
        <f t="shared" si="218"/>
        <v>217</v>
      </c>
      <c r="N276" s="287">
        <f t="shared" si="219"/>
        <v>148744.38999999996</v>
      </c>
      <c r="O276" s="287">
        <f t="shared" si="202"/>
        <v>1536.52</v>
      </c>
      <c r="P276" s="287">
        <f t="shared" si="226"/>
        <v>668.84</v>
      </c>
      <c r="Q276" s="287">
        <f t="shared" si="203"/>
        <v>867.68</v>
      </c>
      <c r="R276" s="287">
        <f t="shared" si="190"/>
        <v>134.16999999999999</v>
      </c>
      <c r="S276" s="287">
        <f t="shared" si="191"/>
        <v>188.55</v>
      </c>
      <c r="T276" s="287">
        <f t="shared" si="189"/>
        <v>1859.24</v>
      </c>
      <c r="U276" s="287">
        <f t="shared" si="227"/>
        <v>82874.450000000026</v>
      </c>
      <c r="V276" s="287">
        <f t="shared" si="228"/>
        <v>252086.90999999989</v>
      </c>
      <c r="W276" s="287">
        <f t="shared" si="204"/>
        <v>148075.54999999996</v>
      </c>
      <c r="X276" s="519">
        <f t="shared" si="220"/>
        <v>52239</v>
      </c>
      <c r="Y276" s="287">
        <f t="shared" si="205"/>
        <v>168512.59999999986</v>
      </c>
      <c r="Z276" s="511">
        <f t="shared" si="213"/>
        <v>7.0000000000000007E-2</v>
      </c>
      <c r="AA276" s="287">
        <f t="shared" si="214"/>
        <v>1746.44</v>
      </c>
      <c r="AB276" s="287">
        <f t="shared" si="206"/>
        <v>763.45</v>
      </c>
      <c r="AC276" s="287">
        <f t="shared" si="215"/>
        <v>982.99</v>
      </c>
      <c r="AD276" s="287">
        <f t="shared" si="192"/>
        <v>134.16999999999999</v>
      </c>
      <c r="AE276" s="287">
        <f t="shared" si="193"/>
        <v>188.55</v>
      </c>
      <c r="AF276" s="287">
        <f t="shared" si="207"/>
        <v>2069.1600000000003</v>
      </c>
      <c r="AG276" s="287">
        <f t="shared" si="208"/>
        <v>108199.65000000002</v>
      </c>
      <c r="AH276" s="287">
        <f t="shared" si="209"/>
        <v>240706.26999999993</v>
      </c>
      <c r="AI276" s="530">
        <f t="shared" si="194"/>
        <v>-13944.56</v>
      </c>
      <c r="AJ276" s="530">
        <f t="shared" si="183"/>
        <v>-19673.599999999889</v>
      </c>
      <c r="AK276" s="530">
        <f t="shared" si="195"/>
        <v>-33618.159999999887</v>
      </c>
      <c r="AL276" s="287">
        <f t="shared" si="210"/>
        <v>167749.14999999985</v>
      </c>
      <c r="AM276" s="428">
        <f t="shared" si="221"/>
        <v>18</v>
      </c>
      <c r="AN276" s="14">
        <f t="shared" si="196"/>
        <v>749.98</v>
      </c>
      <c r="AO276" s="14">
        <f t="shared" si="184"/>
        <v>125253.32999999989</v>
      </c>
      <c r="AP276" s="14">
        <f t="shared" si="197"/>
        <v>959.90000000000009</v>
      </c>
      <c r="AS276" s="14">
        <f t="shared" si="216"/>
        <v>749.98</v>
      </c>
      <c r="AT276" s="14">
        <f t="shared" si="222"/>
        <v>163015.08000000022</v>
      </c>
      <c r="AU276" s="287">
        <f t="shared" si="223"/>
        <v>1834.8669579682837</v>
      </c>
      <c r="AV276" s="287">
        <f t="shared" si="224"/>
        <v>321344.95434845338</v>
      </c>
    </row>
    <row r="277" spans="1:48" x14ac:dyDescent="0.25">
      <c r="A277" s="519">
        <f t="shared" si="198"/>
        <v>52269</v>
      </c>
      <c r="B277" s="287">
        <f t="shared" si="217"/>
        <v>68287.419999999969</v>
      </c>
      <c r="C277" s="14">
        <f t="shared" si="211"/>
        <v>786.54</v>
      </c>
      <c r="D277" s="14">
        <f t="shared" si="225"/>
        <v>615.81999999999994</v>
      </c>
      <c r="E277" s="14">
        <f t="shared" si="212"/>
        <v>170.72</v>
      </c>
      <c r="F277" s="14">
        <f t="shared" si="188"/>
        <v>134.16999999999999</v>
      </c>
      <c r="G277" s="14">
        <f t="shared" si="186"/>
        <v>188.55</v>
      </c>
      <c r="H277" s="14">
        <f t="shared" si="187"/>
        <v>1109.26</v>
      </c>
      <c r="I277" s="287">
        <f t="shared" si="199"/>
        <v>119352.79999999993</v>
      </c>
      <c r="J277" s="287">
        <f t="shared" si="200"/>
        <v>87973.619999999923</v>
      </c>
      <c r="K277" s="287">
        <f t="shared" si="201"/>
        <v>67671.599999999962</v>
      </c>
      <c r="L277" s="428">
        <f t="shared" si="185"/>
        <v>18</v>
      </c>
      <c r="M277" s="428">
        <f t="shared" si="218"/>
        <v>218</v>
      </c>
      <c r="N277" s="287">
        <f t="shared" si="219"/>
        <v>148075.54999999996</v>
      </c>
      <c r="O277" s="287">
        <f t="shared" si="202"/>
        <v>1536.52</v>
      </c>
      <c r="P277" s="287">
        <f t="shared" si="226"/>
        <v>672.75</v>
      </c>
      <c r="Q277" s="287">
        <f t="shared" si="203"/>
        <v>863.77</v>
      </c>
      <c r="R277" s="287">
        <f t="shared" si="190"/>
        <v>134.16999999999999</v>
      </c>
      <c r="S277" s="287">
        <f t="shared" si="191"/>
        <v>188.55</v>
      </c>
      <c r="T277" s="287">
        <f t="shared" si="189"/>
        <v>1859.24</v>
      </c>
      <c r="U277" s="287">
        <f t="shared" si="227"/>
        <v>83547.200000000026</v>
      </c>
      <c r="V277" s="287">
        <f t="shared" si="228"/>
        <v>252950.67999999988</v>
      </c>
      <c r="W277" s="287">
        <f t="shared" si="204"/>
        <v>147402.79999999996</v>
      </c>
      <c r="X277" s="519">
        <f t="shared" si="220"/>
        <v>52269</v>
      </c>
      <c r="Y277" s="287">
        <f t="shared" si="205"/>
        <v>167749.14999999985</v>
      </c>
      <c r="Z277" s="511">
        <f t="shared" si="213"/>
        <v>7.0000000000000007E-2</v>
      </c>
      <c r="AA277" s="287">
        <f t="shared" si="214"/>
        <v>1746.44</v>
      </c>
      <c r="AB277" s="287">
        <f t="shared" si="206"/>
        <v>767.90000000000009</v>
      </c>
      <c r="AC277" s="287">
        <f t="shared" si="215"/>
        <v>978.54</v>
      </c>
      <c r="AD277" s="287">
        <f t="shared" si="192"/>
        <v>134.16999999999999</v>
      </c>
      <c r="AE277" s="287">
        <f t="shared" si="193"/>
        <v>188.55</v>
      </c>
      <c r="AF277" s="287">
        <f t="shared" si="207"/>
        <v>2069.1600000000003</v>
      </c>
      <c r="AG277" s="287">
        <f t="shared" si="208"/>
        <v>108967.55000000002</v>
      </c>
      <c r="AH277" s="287">
        <f t="shared" si="209"/>
        <v>241684.80999999994</v>
      </c>
      <c r="AI277" s="530">
        <f t="shared" si="194"/>
        <v>-14154.48</v>
      </c>
      <c r="AJ277" s="530">
        <f t="shared" si="183"/>
        <v>-19578.449999999895</v>
      </c>
      <c r="AK277" s="530">
        <f t="shared" si="195"/>
        <v>-33732.929999999891</v>
      </c>
      <c r="AL277" s="287">
        <f t="shared" si="210"/>
        <v>166981.24999999985</v>
      </c>
      <c r="AM277" s="428">
        <f t="shared" si="221"/>
        <v>18</v>
      </c>
      <c r="AN277" s="14">
        <f t="shared" si="196"/>
        <v>749.98</v>
      </c>
      <c r="AO277" s="14">
        <f t="shared" si="184"/>
        <v>125196.39999999989</v>
      </c>
      <c r="AP277" s="14">
        <f t="shared" si="197"/>
        <v>959.90000000000009</v>
      </c>
      <c r="AS277" s="14">
        <f t="shared" si="216"/>
        <v>749.98</v>
      </c>
      <c r="AT277" s="14">
        <f t="shared" si="222"/>
        <v>163765.06000000023</v>
      </c>
      <c r="AU277" s="287">
        <f t="shared" si="223"/>
        <v>1840.9831811615111</v>
      </c>
      <c r="AV277" s="287">
        <f t="shared" si="224"/>
        <v>323185.93752961489</v>
      </c>
    </row>
    <row r="278" spans="1:48" ht="15.75" thickBot="1" x14ac:dyDescent="0.3">
      <c r="A278" s="522">
        <f t="shared" si="198"/>
        <v>52299</v>
      </c>
      <c r="B278" s="348">
        <f t="shared" si="217"/>
        <v>67671.599999999962</v>
      </c>
      <c r="C278" s="21">
        <f t="shared" si="211"/>
        <v>786.54</v>
      </c>
      <c r="D278" s="21">
        <f t="shared" si="225"/>
        <v>617.3599999999999</v>
      </c>
      <c r="E278" s="21">
        <f t="shared" si="212"/>
        <v>169.18</v>
      </c>
      <c r="F278" s="21">
        <f t="shared" si="188"/>
        <v>134.16999999999999</v>
      </c>
      <c r="G278" s="21">
        <f t="shared" si="186"/>
        <v>188.55</v>
      </c>
      <c r="H278" s="21">
        <f t="shared" si="187"/>
        <v>1109.26</v>
      </c>
      <c r="I278" s="348">
        <f t="shared" si="199"/>
        <v>119970.15999999993</v>
      </c>
      <c r="J278" s="348">
        <f t="shared" si="200"/>
        <v>88142.799999999916</v>
      </c>
      <c r="K278" s="348">
        <f t="shared" si="201"/>
        <v>67054.239999999962</v>
      </c>
      <c r="L278" s="429">
        <f t="shared" si="185"/>
        <v>18</v>
      </c>
      <c r="M278" s="429">
        <f t="shared" si="218"/>
        <v>219</v>
      </c>
      <c r="N278" s="348">
        <f t="shared" si="219"/>
        <v>147402.79999999996</v>
      </c>
      <c r="O278" s="348">
        <f t="shared" si="202"/>
        <v>1536.52</v>
      </c>
      <c r="P278" s="348">
        <f t="shared" si="226"/>
        <v>676.67</v>
      </c>
      <c r="Q278" s="348">
        <f t="shared" si="203"/>
        <v>859.85</v>
      </c>
      <c r="R278" s="348">
        <f t="shared" si="190"/>
        <v>134.16999999999999</v>
      </c>
      <c r="S278" s="348">
        <f t="shared" si="191"/>
        <v>188.55</v>
      </c>
      <c r="T278" s="348">
        <f t="shared" si="189"/>
        <v>1859.24</v>
      </c>
      <c r="U278" s="348">
        <f t="shared" si="227"/>
        <v>84223.870000000024</v>
      </c>
      <c r="V278" s="348">
        <f t="shared" si="228"/>
        <v>253810.52999999988</v>
      </c>
      <c r="W278" s="348">
        <f t="shared" si="204"/>
        <v>146726.12999999995</v>
      </c>
      <c r="X278" s="522">
        <f t="shared" si="220"/>
        <v>52299</v>
      </c>
      <c r="Y278" s="348">
        <f t="shared" si="205"/>
        <v>166981.24999999985</v>
      </c>
      <c r="Z278" s="512">
        <f t="shared" si="213"/>
        <v>7.0000000000000007E-2</v>
      </c>
      <c r="AA278" s="348">
        <f t="shared" si="214"/>
        <v>1746.44</v>
      </c>
      <c r="AB278" s="348">
        <f t="shared" si="206"/>
        <v>772.38000000000011</v>
      </c>
      <c r="AC278" s="348">
        <f t="shared" si="215"/>
        <v>974.06</v>
      </c>
      <c r="AD278" s="348">
        <f t="shared" si="192"/>
        <v>134.16999999999999</v>
      </c>
      <c r="AE278" s="348">
        <f t="shared" si="193"/>
        <v>188.55</v>
      </c>
      <c r="AF278" s="348">
        <f t="shared" si="207"/>
        <v>2069.1600000000003</v>
      </c>
      <c r="AG278" s="348">
        <f t="shared" si="208"/>
        <v>109739.93000000002</v>
      </c>
      <c r="AH278" s="348">
        <f t="shared" si="209"/>
        <v>242658.86999999994</v>
      </c>
      <c r="AI278" s="531">
        <f t="shared" si="194"/>
        <v>-14364.4</v>
      </c>
      <c r="AJ278" s="531">
        <f t="shared" si="183"/>
        <v>-19482.739999999903</v>
      </c>
      <c r="AK278" s="530">
        <f t="shared" si="195"/>
        <v>-33847.139999999905</v>
      </c>
      <c r="AL278" s="348">
        <f t="shared" si="210"/>
        <v>166208.86999999985</v>
      </c>
      <c r="AM278" s="429">
        <f t="shared" si="221"/>
        <v>18</v>
      </c>
      <c r="AN278" s="21">
        <f t="shared" si="196"/>
        <v>749.98</v>
      </c>
      <c r="AO278" s="21">
        <f t="shared" si="184"/>
        <v>125137.08999999988</v>
      </c>
      <c r="AP278" s="21">
        <f t="shared" si="197"/>
        <v>959.90000000000009</v>
      </c>
      <c r="AQ278" s="21"/>
      <c r="AR278" s="23"/>
      <c r="AS278" s="21">
        <f t="shared" si="216"/>
        <v>749.98</v>
      </c>
      <c r="AT278" s="21">
        <f t="shared" si="222"/>
        <v>164515.04000000024</v>
      </c>
      <c r="AU278" s="348">
        <f t="shared" si="223"/>
        <v>1847.1197917653828</v>
      </c>
      <c r="AV278" s="348">
        <f t="shared" si="224"/>
        <v>325033.0573213803</v>
      </c>
    </row>
    <row r="279" spans="1:48" x14ac:dyDescent="0.25">
      <c r="A279" s="519">
        <f t="shared" si="198"/>
        <v>52329</v>
      </c>
      <c r="B279" s="287">
        <f t="shared" si="217"/>
        <v>67054.239999999962</v>
      </c>
      <c r="C279" s="14">
        <f t="shared" si="211"/>
        <v>786.54</v>
      </c>
      <c r="D279" s="14">
        <f t="shared" si="225"/>
        <v>618.9</v>
      </c>
      <c r="E279" s="14">
        <f t="shared" si="212"/>
        <v>167.64</v>
      </c>
      <c r="F279" s="14">
        <f t="shared" si="188"/>
        <v>134.16999999999999</v>
      </c>
      <c r="G279" s="14">
        <f t="shared" si="186"/>
        <v>188.55</v>
      </c>
      <c r="H279" s="14">
        <f t="shared" si="187"/>
        <v>1109.26</v>
      </c>
      <c r="I279" s="287">
        <f t="shared" si="199"/>
        <v>120589.05999999992</v>
      </c>
      <c r="J279" s="287">
        <f t="shared" si="200"/>
        <v>88310.439999999915</v>
      </c>
      <c r="K279" s="287">
        <f t="shared" si="201"/>
        <v>66435.339999999967</v>
      </c>
      <c r="L279" s="428">
        <f t="shared" si="185"/>
        <v>18</v>
      </c>
      <c r="M279" s="428">
        <f t="shared" si="218"/>
        <v>220</v>
      </c>
      <c r="N279" s="287">
        <f t="shared" si="219"/>
        <v>146726.12999999995</v>
      </c>
      <c r="O279" s="287">
        <f t="shared" si="202"/>
        <v>1536.52</v>
      </c>
      <c r="P279" s="287">
        <f t="shared" si="226"/>
        <v>680.62</v>
      </c>
      <c r="Q279" s="287">
        <f t="shared" si="203"/>
        <v>855.9</v>
      </c>
      <c r="R279" s="287">
        <f t="shared" si="190"/>
        <v>134.16999999999999</v>
      </c>
      <c r="S279" s="287">
        <f t="shared" si="191"/>
        <v>188.55</v>
      </c>
      <c r="T279" s="287">
        <f t="shared" si="189"/>
        <v>1859.24</v>
      </c>
      <c r="U279" s="287">
        <f t="shared" si="227"/>
        <v>84904.49000000002</v>
      </c>
      <c r="V279" s="287">
        <f t="shared" si="228"/>
        <v>254666.42999999988</v>
      </c>
      <c r="W279" s="287">
        <f t="shared" si="204"/>
        <v>146045.50999999995</v>
      </c>
      <c r="X279" s="519">
        <f t="shared" si="220"/>
        <v>52329</v>
      </c>
      <c r="Y279" s="287">
        <f t="shared" si="205"/>
        <v>166208.86999999985</v>
      </c>
      <c r="Z279" s="511">
        <f t="shared" si="213"/>
        <v>7.0000000000000007E-2</v>
      </c>
      <c r="AA279" s="287">
        <f t="shared" si="214"/>
        <v>1746.44</v>
      </c>
      <c r="AB279" s="287">
        <f t="shared" si="206"/>
        <v>776.8900000000001</v>
      </c>
      <c r="AC279" s="287">
        <f t="shared" si="215"/>
        <v>969.55</v>
      </c>
      <c r="AD279" s="287">
        <f t="shared" si="192"/>
        <v>134.16999999999999</v>
      </c>
      <c r="AE279" s="287">
        <f t="shared" si="193"/>
        <v>188.55</v>
      </c>
      <c r="AF279" s="287">
        <f t="shared" si="207"/>
        <v>2069.1600000000003</v>
      </c>
      <c r="AG279" s="287">
        <f t="shared" si="208"/>
        <v>110516.82000000002</v>
      </c>
      <c r="AH279" s="287">
        <f t="shared" si="209"/>
        <v>243628.41999999993</v>
      </c>
      <c r="AI279" s="530">
        <f t="shared" si="194"/>
        <v>-14574.32</v>
      </c>
      <c r="AJ279" s="530">
        <f t="shared" si="183"/>
        <v>-19386.469999999885</v>
      </c>
      <c r="AK279" s="530">
        <f t="shared" si="195"/>
        <v>-33960.789999999884</v>
      </c>
      <c r="AL279" s="287">
        <f t="shared" si="210"/>
        <v>165431.97999999984</v>
      </c>
      <c r="AM279" s="428">
        <f t="shared" si="221"/>
        <v>18</v>
      </c>
      <c r="AN279" s="14">
        <f t="shared" si="196"/>
        <v>749.98</v>
      </c>
      <c r="AO279" s="14">
        <f t="shared" si="184"/>
        <v>125075.36999999991</v>
      </c>
      <c r="AP279" s="14">
        <f t="shared" si="197"/>
        <v>959.90000000000009</v>
      </c>
      <c r="AS279" s="14">
        <f t="shared" si="216"/>
        <v>749.98</v>
      </c>
      <c r="AT279" s="14">
        <f t="shared" si="222"/>
        <v>165265.02000000025</v>
      </c>
      <c r="AU279" s="287">
        <f t="shared" si="223"/>
        <v>1853.2768577379345</v>
      </c>
      <c r="AV279" s="287">
        <f t="shared" si="224"/>
        <v>326886.33417911822</v>
      </c>
    </row>
    <row r="280" spans="1:48" x14ac:dyDescent="0.25">
      <c r="A280" s="519">
        <f t="shared" si="198"/>
        <v>52359</v>
      </c>
      <c r="B280" s="287">
        <f t="shared" si="217"/>
        <v>66435.339999999967</v>
      </c>
      <c r="C280" s="14">
        <f t="shared" si="211"/>
        <v>786.54</v>
      </c>
      <c r="D280" s="14">
        <f t="shared" si="225"/>
        <v>620.44999999999993</v>
      </c>
      <c r="E280" s="14">
        <f t="shared" si="212"/>
        <v>166.09</v>
      </c>
      <c r="F280" s="14">
        <f t="shared" si="188"/>
        <v>134.16999999999999</v>
      </c>
      <c r="G280" s="14">
        <f t="shared" si="186"/>
        <v>188.55</v>
      </c>
      <c r="H280" s="14">
        <f t="shared" si="187"/>
        <v>1109.26</v>
      </c>
      <c r="I280" s="287">
        <f t="shared" si="199"/>
        <v>121209.50999999992</v>
      </c>
      <c r="J280" s="287">
        <f t="shared" si="200"/>
        <v>88476.529999999912</v>
      </c>
      <c r="K280" s="287">
        <f t="shared" si="201"/>
        <v>65814.88999999997</v>
      </c>
      <c r="L280" s="428">
        <f t="shared" si="185"/>
        <v>18</v>
      </c>
      <c r="M280" s="428">
        <f t="shared" si="218"/>
        <v>221</v>
      </c>
      <c r="N280" s="287">
        <f t="shared" si="219"/>
        <v>146045.50999999995</v>
      </c>
      <c r="O280" s="287">
        <f t="shared" si="202"/>
        <v>1536.52</v>
      </c>
      <c r="P280" s="287">
        <f t="shared" si="226"/>
        <v>684.59</v>
      </c>
      <c r="Q280" s="287">
        <f t="shared" si="203"/>
        <v>851.93</v>
      </c>
      <c r="R280" s="287">
        <f t="shared" si="190"/>
        <v>134.16999999999999</v>
      </c>
      <c r="S280" s="287">
        <f t="shared" si="191"/>
        <v>188.55</v>
      </c>
      <c r="T280" s="287">
        <f t="shared" si="189"/>
        <v>1859.24</v>
      </c>
      <c r="U280" s="287">
        <f t="shared" si="227"/>
        <v>85589.080000000016</v>
      </c>
      <c r="V280" s="287">
        <f t="shared" si="228"/>
        <v>255518.35999999987</v>
      </c>
      <c r="W280" s="287">
        <f t="shared" si="204"/>
        <v>145360.91999999995</v>
      </c>
      <c r="X280" s="519">
        <f t="shared" si="220"/>
        <v>52359</v>
      </c>
      <c r="Y280" s="287">
        <f t="shared" si="205"/>
        <v>165431.97999999984</v>
      </c>
      <c r="Z280" s="511">
        <f t="shared" si="213"/>
        <v>7.0000000000000007E-2</v>
      </c>
      <c r="AA280" s="287">
        <f t="shared" si="214"/>
        <v>1746.44</v>
      </c>
      <c r="AB280" s="287">
        <f t="shared" si="206"/>
        <v>781.42000000000007</v>
      </c>
      <c r="AC280" s="287">
        <f t="shared" si="215"/>
        <v>965.02</v>
      </c>
      <c r="AD280" s="287">
        <f t="shared" si="192"/>
        <v>134.16999999999999</v>
      </c>
      <c r="AE280" s="287">
        <f t="shared" si="193"/>
        <v>188.55</v>
      </c>
      <c r="AF280" s="287">
        <f t="shared" si="207"/>
        <v>2069.1600000000003</v>
      </c>
      <c r="AG280" s="287">
        <f t="shared" si="208"/>
        <v>111298.24000000002</v>
      </c>
      <c r="AH280" s="287">
        <f t="shared" si="209"/>
        <v>244593.43999999992</v>
      </c>
      <c r="AI280" s="530">
        <f t="shared" si="194"/>
        <v>-14784.24</v>
      </c>
      <c r="AJ280" s="530">
        <f t="shared" si="183"/>
        <v>-19289.639999999868</v>
      </c>
      <c r="AK280" s="530">
        <f t="shared" si="195"/>
        <v>-34073.879999999866</v>
      </c>
      <c r="AL280" s="287">
        <f t="shared" si="210"/>
        <v>164650.55999999982</v>
      </c>
      <c r="AM280" s="428">
        <f t="shared" si="221"/>
        <v>18</v>
      </c>
      <c r="AN280" s="14">
        <f t="shared" si="196"/>
        <v>749.98</v>
      </c>
      <c r="AO280" s="14">
        <f t="shared" si="184"/>
        <v>125011.22999999989</v>
      </c>
      <c r="AP280" s="14">
        <f t="shared" si="197"/>
        <v>959.90000000000009</v>
      </c>
      <c r="AS280" s="14">
        <f t="shared" si="216"/>
        <v>749.98</v>
      </c>
      <c r="AT280" s="14">
        <f t="shared" si="222"/>
        <v>166015.00000000026</v>
      </c>
      <c r="AU280" s="287">
        <f t="shared" si="223"/>
        <v>1859.4544472637278</v>
      </c>
      <c r="AV280" s="287">
        <f t="shared" si="224"/>
        <v>328745.78862638195</v>
      </c>
    </row>
    <row r="281" spans="1:48" x14ac:dyDescent="0.25">
      <c r="A281" s="519">
        <f t="shared" si="198"/>
        <v>52389</v>
      </c>
      <c r="B281" s="287">
        <f t="shared" si="217"/>
        <v>65814.88999999997</v>
      </c>
      <c r="C281" s="14">
        <f t="shared" si="211"/>
        <v>786.54</v>
      </c>
      <c r="D281" s="14">
        <f t="shared" si="225"/>
        <v>622</v>
      </c>
      <c r="E281" s="14">
        <f t="shared" si="212"/>
        <v>164.54</v>
      </c>
      <c r="F281" s="14">
        <f t="shared" si="188"/>
        <v>134.16999999999999</v>
      </c>
      <c r="G281" s="14">
        <f t="shared" si="186"/>
        <v>188.55</v>
      </c>
      <c r="H281" s="14">
        <f t="shared" si="187"/>
        <v>1109.26</v>
      </c>
      <c r="I281" s="287">
        <f t="shared" si="199"/>
        <v>121831.50999999992</v>
      </c>
      <c r="J281" s="287">
        <f t="shared" si="200"/>
        <v>88641.069999999905</v>
      </c>
      <c r="K281" s="287">
        <f t="shared" si="201"/>
        <v>65192.88999999997</v>
      </c>
      <c r="L281" s="428">
        <f t="shared" si="185"/>
        <v>18</v>
      </c>
      <c r="M281" s="428">
        <f t="shared" si="218"/>
        <v>222</v>
      </c>
      <c r="N281" s="287">
        <f t="shared" si="219"/>
        <v>145360.91999999995</v>
      </c>
      <c r="O281" s="287">
        <f t="shared" si="202"/>
        <v>1536.52</v>
      </c>
      <c r="P281" s="287">
        <f t="shared" si="226"/>
        <v>688.57999999999993</v>
      </c>
      <c r="Q281" s="287">
        <f t="shared" si="203"/>
        <v>847.94</v>
      </c>
      <c r="R281" s="287">
        <f t="shared" si="190"/>
        <v>134.16999999999999</v>
      </c>
      <c r="S281" s="287">
        <f t="shared" si="191"/>
        <v>188.55</v>
      </c>
      <c r="T281" s="287">
        <f t="shared" si="189"/>
        <v>1859.24</v>
      </c>
      <c r="U281" s="287">
        <f t="shared" si="227"/>
        <v>86277.660000000018</v>
      </c>
      <c r="V281" s="287">
        <f t="shared" si="228"/>
        <v>256366.29999999987</v>
      </c>
      <c r="W281" s="287">
        <f t="shared" si="204"/>
        <v>144672.33999999997</v>
      </c>
      <c r="X281" s="519">
        <f t="shared" si="220"/>
        <v>52389</v>
      </c>
      <c r="Y281" s="287">
        <f t="shared" si="205"/>
        <v>164650.55999999982</v>
      </c>
      <c r="Z281" s="511">
        <f t="shared" si="213"/>
        <v>7.0000000000000007E-2</v>
      </c>
      <c r="AA281" s="287">
        <f t="shared" si="214"/>
        <v>1746.44</v>
      </c>
      <c r="AB281" s="287">
        <f t="shared" si="206"/>
        <v>785.98</v>
      </c>
      <c r="AC281" s="287">
        <f t="shared" si="215"/>
        <v>960.46</v>
      </c>
      <c r="AD281" s="287">
        <f t="shared" si="192"/>
        <v>134.16999999999999</v>
      </c>
      <c r="AE281" s="287">
        <f t="shared" si="193"/>
        <v>188.55</v>
      </c>
      <c r="AF281" s="287">
        <f t="shared" si="207"/>
        <v>2069.1600000000003</v>
      </c>
      <c r="AG281" s="287">
        <f t="shared" si="208"/>
        <v>112084.22000000002</v>
      </c>
      <c r="AH281" s="287">
        <f t="shared" si="209"/>
        <v>245553.89999999991</v>
      </c>
      <c r="AI281" s="530">
        <f t="shared" si="194"/>
        <v>-14994.16</v>
      </c>
      <c r="AJ281" s="530">
        <f t="shared" si="183"/>
        <v>-19192.239999999845</v>
      </c>
      <c r="AK281" s="530">
        <f t="shared" si="195"/>
        <v>-34186.399999999849</v>
      </c>
      <c r="AL281" s="287">
        <f t="shared" si="210"/>
        <v>163864.57999999981</v>
      </c>
      <c r="AM281" s="428">
        <f t="shared" si="221"/>
        <v>18</v>
      </c>
      <c r="AN281" s="14">
        <f t="shared" si="196"/>
        <v>749.98</v>
      </c>
      <c r="AO281" s="14">
        <f t="shared" si="184"/>
        <v>124944.64999999989</v>
      </c>
      <c r="AP281" s="14">
        <f t="shared" si="197"/>
        <v>959.90000000000009</v>
      </c>
      <c r="AS281" s="14">
        <f t="shared" si="216"/>
        <v>749.98</v>
      </c>
      <c r="AT281" s="14">
        <f t="shared" si="222"/>
        <v>166764.98000000027</v>
      </c>
      <c r="AU281" s="287">
        <f t="shared" si="223"/>
        <v>1865.6526287546064</v>
      </c>
      <c r="AV281" s="287">
        <f t="shared" si="224"/>
        <v>330611.44125513657</v>
      </c>
    </row>
    <row r="282" spans="1:48" x14ac:dyDescent="0.25">
      <c r="A282" s="519">
        <f t="shared" si="198"/>
        <v>52419</v>
      </c>
      <c r="B282" s="287">
        <f t="shared" si="217"/>
        <v>65192.88999999997</v>
      </c>
      <c r="C282" s="14">
        <f t="shared" si="211"/>
        <v>786.54</v>
      </c>
      <c r="D282" s="14">
        <f t="shared" si="225"/>
        <v>623.55999999999995</v>
      </c>
      <c r="E282" s="14">
        <f t="shared" si="212"/>
        <v>162.97999999999999</v>
      </c>
      <c r="F282" s="14">
        <f t="shared" si="188"/>
        <v>134.16999999999999</v>
      </c>
      <c r="G282" s="14">
        <f t="shared" si="186"/>
        <v>188.55</v>
      </c>
      <c r="H282" s="14">
        <f t="shared" si="187"/>
        <v>1109.26</v>
      </c>
      <c r="I282" s="287">
        <f t="shared" si="199"/>
        <v>122455.06999999992</v>
      </c>
      <c r="J282" s="287">
        <f t="shared" si="200"/>
        <v>88804.049999999901</v>
      </c>
      <c r="K282" s="287">
        <f t="shared" si="201"/>
        <v>64569.329999999973</v>
      </c>
      <c r="L282" s="428">
        <f t="shared" si="185"/>
        <v>18</v>
      </c>
      <c r="M282" s="428">
        <f t="shared" si="218"/>
        <v>223</v>
      </c>
      <c r="N282" s="287">
        <f t="shared" si="219"/>
        <v>144672.33999999997</v>
      </c>
      <c r="O282" s="287">
        <f t="shared" si="202"/>
        <v>1536.52</v>
      </c>
      <c r="P282" s="287">
        <f t="shared" si="226"/>
        <v>692.6</v>
      </c>
      <c r="Q282" s="287">
        <f t="shared" si="203"/>
        <v>843.92</v>
      </c>
      <c r="R282" s="287">
        <f t="shared" si="190"/>
        <v>134.16999999999999</v>
      </c>
      <c r="S282" s="287">
        <f t="shared" si="191"/>
        <v>188.55</v>
      </c>
      <c r="T282" s="287">
        <f t="shared" si="189"/>
        <v>1859.24</v>
      </c>
      <c r="U282" s="287">
        <f t="shared" si="227"/>
        <v>86970.260000000024</v>
      </c>
      <c r="V282" s="287">
        <f t="shared" si="228"/>
        <v>257210.21999999988</v>
      </c>
      <c r="W282" s="287">
        <f t="shared" si="204"/>
        <v>143979.73999999996</v>
      </c>
      <c r="X282" s="519">
        <f t="shared" si="220"/>
        <v>52419</v>
      </c>
      <c r="Y282" s="287">
        <f t="shared" si="205"/>
        <v>163864.57999999981</v>
      </c>
      <c r="Z282" s="511">
        <f t="shared" si="213"/>
        <v>7.0000000000000007E-2</v>
      </c>
      <c r="AA282" s="287">
        <f t="shared" si="214"/>
        <v>1746.44</v>
      </c>
      <c r="AB282" s="287">
        <f t="shared" si="206"/>
        <v>790.56000000000006</v>
      </c>
      <c r="AC282" s="287">
        <f t="shared" si="215"/>
        <v>955.88</v>
      </c>
      <c r="AD282" s="287">
        <f t="shared" si="192"/>
        <v>134.16999999999999</v>
      </c>
      <c r="AE282" s="287">
        <f t="shared" si="193"/>
        <v>188.55</v>
      </c>
      <c r="AF282" s="287">
        <f t="shared" si="207"/>
        <v>2069.1600000000003</v>
      </c>
      <c r="AG282" s="287">
        <f t="shared" si="208"/>
        <v>112874.78000000001</v>
      </c>
      <c r="AH282" s="287">
        <f t="shared" si="209"/>
        <v>246509.77999999991</v>
      </c>
      <c r="AI282" s="530">
        <f t="shared" si="194"/>
        <v>-15204.08</v>
      </c>
      <c r="AJ282" s="530">
        <f t="shared" si="183"/>
        <v>-19094.279999999853</v>
      </c>
      <c r="AK282" s="530">
        <f t="shared" si="195"/>
        <v>-34298.359999999855</v>
      </c>
      <c r="AL282" s="287">
        <f t="shared" si="210"/>
        <v>163074.01999999981</v>
      </c>
      <c r="AM282" s="428">
        <f t="shared" si="221"/>
        <v>18</v>
      </c>
      <c r="AN282" s="14">
        <f t="shared" si="196"/>
        <v>749.98</v>
      </c>
      <c r="AO282" s="14">
        <f t="shared" si="184"/>
        <v>124875.60999999988</v>
      </c>
      <c r="AP282" s="14">
        <f t="shared" si="197"/>
        <v>959.90000000000009</v>
      </c>
      <c r="AS282" s="14">
        <f t="shared" si="216"/>
        <v>749.98</v>
      </c>
      <c r="AT282" s="14">
        <f t="shared" si="222"/>
        <v>167514.96000000028</v>
      </c>
      <c r="AU282" s="287">
        <f t="shared" si="223"/>
        <v>1871.8714708504556</v>
      </c>
      <c r="AV282" s="287">
        <f t="shared" si="224"/>
        <v>332483.31272598699</v>
      </c>
    </row>
    <row r="283" spans="1:48" x14ac:dyDescent="0.25">
      <c r="A283" s="519">
        <f t="shared" si="198"/>
        <v>52449</v>
      </c>
      <c r="B283" s="287">
        <f t="shared" si="217"/>
        <v>64569.329999999973</v>
      </c>
      <c r="C283" s="14">
        <f t="shared" si="211"/>
        <v>786.54</v>
      </c>
      <c r="D283" s="14">
        <f t="shared" si="225"/>
        <v>625.12</v>
      </c>
      <c r="E283" s="14">
        <f t="shared" si="212"/>
        <v>161.41999999999999</v>
      </c>
      <c r="F283" s="14">
        <f t="shared" si="188"/>
        <v>134.16999999999999</v>
      </c>
      <c r="G283" s="14">
        <f t="shared" si="186"/>
        <v>188.55</v>
      </c>
      <c r="H283" s="14">
        <f t="shared" si="187"/>
        <v>1109.26</v>
      </c>
      <c r="I283" s="287">
        <f t="shared" si="199"/>
        <v>123080.18999999992</v>
      </c>
      <c r="J283" s="287">
        <f t="shared" si="200"/>
        <v>88965.469999999899</v>
      </c>
      <c r="K283" s="287">
        <f t="shared" si="201"/>
        <v>63944.20999999997</v>
      </c>
      <c r="L283" s="428">
        <f t="shared" si="185"/>
        <v>18</v>
      </c>
      <c r="M283" s="428">
        <f t="shared" si="218"/>
        <v>224</v>
      </c>
      <c r="N283" s="287">
        <f t="shared" si="219"/>
        <v>143979.73999999996</v>
      </c>
      <c r="O283" s="287">
        <f t="shared" si="202"/>
        <v>1536.52</v>
      </c>
      <c r="P283" s="287">
        <f t="shared" si="226"/>
        <v>696.64</v>
      </c>
      <c r="Q283" s="287">
        <f t="shared" si="203"/>
        <v>839.88</v>
      </c>
      <c r="R283" s="287">
        <f t="shared" si="190"/>
        <v>134.16999999999999</v>
      </c>
      <c r="S283" s="287">
        <f t="shared" si="191"/>
        <v>188.55</v>
      </c>
      <c r="T283" s="287">
        <f t="shared" si="189"/>
        <v>1859.24</v>
      </c>
      <c r="U283" s="287">
        <f t="shared" si="227"/>
        <v>87666.900000000023</v>
      </c>
      <c r="V283" s="287">
        <f t="shared" si="228"/>
        <v>258050.09999999989</v>
      </c>
      <c r="W283" s="287">
        <f t="shared" si="204"/>
        <v>143283.09999999995</v>
      </c>
      <c r="X283" s="519">
        <f t="shared" si="220"/>
        <v>52449</v>
      </c>
      <c r="Y283" s="287">
        <f t="shared" si="205"/>
        <v>163074.01999999981</v>
      </c>
      <c r="Z283" s="511">
        <f t="shared" si="213"/>
        <v>7.0000000000000007E-2</v>
      </c>
      <c r="AA283" s="287">
        <f t="shared" si="214"/>
        <v>1746.44</v>
      </c>
      <c r="AB283" s="287">
        <f t="shared" si="206"/>
        <v>795.17000000000007</v>
      </c>
      <c r="AC283" s="287">
        <f t="shared" si="215"/>
        <v>951.27</v>
      </c>
      <c r="AD283" s="287">
        <f t="shared" si="192"/>
        <v>134.16999999999999</v>
      </c>
      <c r="AE283" s="287">
        <f t="shared" si="193"/>
        <v>188.55</v>
      </c>
      <c r="AF283" s="287">
        <f t="shared" si="207"/>
        <v>2069.1600000000003</v>
      </c>
      <c r="AG283" s="287">
        <f t="shared" si="208"/>
        <v>113669.95000000001</v>
      </c>
      <c r="AH283" s="287">
        <f t="shared" si="209"/>
        <v>247461.0499999999</v>
      </c>
      <c r="AI283" s="530">
        <f t="shared" si="194"/>
        <v>-15414</v>
      </c>
      <c r="AJ283" s="530">
        <f t="shared" ref="AJ283:AJ346" si="229">+W283-AL283</f>
        <v>-18995.749999999854</v>
      </c>
      <c r="AK283" s="530">
        <f t="shared" si="195"/>
        <v>-34409.749999999854</v>
      </c>
      <c r="AL283" s="287">
        <f t="shared" si="210"/>
        <v>162278.8499999998</v>
      </c>
      <c r="AM283" s="428">
        <f t="shared" si="221"/>
        <v>18</v>
      </c>
      <c r="AN283" s="14">
        <f t="shared" si="196"/>
        <v>749.98</v>
      </c>
      <c r="AO283" s="14">
        <f t="shared" si="184"/>
        <v>124804.08999999988</v>
      </c>
      <c r="AP283" s="14">
        <f t="shared" si="197"/>
        <v>959.90000000000009</v>
      </c>
      <c r="AS283" s="14">
        <f t="shared" si="216"/>
        <v>749.98</v>
      </c>
      <c r="AT283" s="14">
        <f t="shared" si="222"/>
        <v>168264.94000000029</v>
      </c>
      <c r="AU283" s="287">
        <f t="shared" si="223"/>
        <v>1878.1110424199569</v>
      </c>
      <c r="AV283" s="287">
        <f t="shared" si="224"/>
        <v>334361.42376840697</v>
      </c>
    </row>
    <row r="284" spans="1:48" x14ac:dyDescent="0.25">
      <c r="A284" s="519">
        <f t="shared" si="198"/>
        <v>52479</v>
      </c>
      <c r="B284" s="287">
        <f t="shared" si="217"/>
        <v>63944.20999999997</v>
      </c>
      <c r="C284" s="14">
        <f t="shared" si="211"/>
        <v>786.54</v>
      </c>
      <c r="D284" s="14">
        <f t="shared" si="225"/>
        <v>626.67999999999995</v>
      </c>
      <c r="E284" s="14">
        <f t="shared" si="212"/>
        <v>159.86000000000001</v>
      </c>
      <c r="F284" s="14">
        <f t="shared" si="188"/>
        <v>134.16999999999999</v>
      </c>
      <c r="G284" s="14">
        <f t="shared" si="186"/>
        <v>188.55</v>
      </c>
      <c r="H284" s="14">
        <f t="shared" si="187"/>
        <v>1109.26</v>
      </c>
      <c r="I284" s="287">
        <f t="shared" si="199"/>
        <v>123706.86999999991</v>
      </c>
      <c r="J284" s="287">
        <f t="shared" si="200"/>
        <v>89125.3299999999</v>
      </c>
      <c r="K284" s="287">
        <f t="shared" si="201"/>
        <v>63317.52999999997</v>
      </c>
      <c r="L284" s="428">
        <f t="shared" si="185"/>
        <v>18</v>
      </c>
      <c r="M284" s="428">
        <f t="shared" si="218"/>
        <v>225</v>
      </c>
      <c r="N284" s="287">
        <f t="shared" si="219"/>
        <v>143283.09999999995</v>
      </c>
      <c r="O284" s="287">
        <f t="shared" si="202"/>
        <v>1536.52</v>
      </c>
      <c r="P284" s="287">
        <f t="shared" si="226"/>
        <v>700.69999999999993</v>
      </c>
      <c r="Q284" s="287">
        <f t="shared" si="203"/>
        <v>835.82</v>
      </c>
      <c r="R284" s="287">
        <f t="shared" si="190"/>
        <v>134.16999999999999</v>
      </c>
      <c r="S284" s="287">
        <f t="shared" si="191"/>
        <v>188.55</v>
      </c>
      <c r="T284" s="287">
        <f t="shared" si="189"/>
        <v>1859.24</v>
      </c>
      <c r="U284" s="287">
        <f t="shared" si="227"/>
        <v>88367.60000000002</v>
      </c>
      <c r="V284" s="287">
        <f t="shared" si="228"/>
        <v>258885.9199999999</v>
      </c>
      <c r="W284" s="287">
        <f t="shared" si="204"/>
        <v>142582.39999999994</v>
      </c>
      <c r="X284" s="519">
        <f t="shared" si="220"/>
        <v>52479</v>
      </c>
      <c r="Y284" s="287">
        <f t="shared" si="205"/>
        <v>162278.8499999998</v>
      </c>
      <c r="Z284" s="511">
        <f t="shared" si="213"/>
        <v>7.0000000000000007E-2</v>
      </c>
      <c r="AA284" s="287">
        <f t="shared" si="214"/>
        <v>1746.44</v>
      </c>
      <c r="AB284" s="287">
        <f t="shared" si="206"/>
        <v>799.81000000000006</v>
      </c>
      <c r="AC284" s="287">
        <f t="shared" si="215"/>
        <v>946.63</v>
      </c>
      <c r="AD284" s="287">
        <f t="shared" si="192"/>
        <v>134.16999999999999</v>
      </c>
      <c r="AE284" s="287">
        <f t="shared" si="193"/>
        <v>188.55</v>
      </c>
      <c r="AF284" s="287">
        <f t="shared" si="207"/>
        <v>2069.1600000000003</v>
      </c>
      <c r="AG284" s="287">
        <f t="shared" si="208"/>
        <v>114469.76000000001</v>
      </c>
      <c r="AH284" s="287">
        <f t="shared" si="209"/>
        <v>248407.67999999991</v>
      </c>
      <c r="AI284" s="530">
        <f t="shared" si="194"/>
        <v>-15623.92</v>
      </c>
      <c r="AJ284" s="530">
        <f t="shared" si="229"/>
        <v>-18896.639999999868</v>
      </c>
      <c r="AK284" s="530">
        <f t="shared" si="195"/>
        <v>-34520.559999999867</v>
      </c>
      <c r="AL284" s="287">
        <f t="shared" si="210"/>
        <v>161479.0399999998</v>
      </c>
      <c r="AM284" s="428">
        <f t="shared" si="221"/>
        <v>18</v>
      </c>
      <c r="AN284" s="14">
        <f t="shared" si="196"/>
        <v>749.98</v>
      </c>
      <c r="AO284" s="14">
        <f t="shared" si="184"/>
        <v>124730.06999999988</v>
      </c>
      <c r="AP284" s="14">
        <f t="shared" si="197"/>
        <v>959.90000000000009</v>
      </c>
      <c r="AS284" s="14">
        <f t="shared" si="216"/>
        <v>749.98</v>
      </c>
      <c r="AT284" s="14">
        <f t="shared" si="222"/>
        <v>169014.9200000003</v>
      </c>
      <c r="AU284" s="287">
        <f t="shared" si="223"/>
        <v>1884.3714125613567</v>
      </c>
      <c r="AV284" s="287">
        <f t="shared" si="224"/>
        <v>336245.7951809683</v>
      </c>
    </row>
    <row r="285" spans="1:48" x14ac:dyDescent="0.25">
      <c r="A285" s="519">
        <f t="shared" si="198"/>
        <v>52509</v>
      </c>
      <c r="B285" s="287">
        <f t="shared" si="217"/>
        <v>63317.52999999997</v>
      </c>
      <c r="C285" s="14">
        <f t="shared" si="211"/>
        <v>786.54</v>
      </c>
      <c r="D285" s="14">
        <f t="shared" si="225"/>
        <v>628.25</v>
      </c>
      <c r="E285" s="14">
        <f t="shared" si="212"/>
        <v>158.29</v>
      </c>
      <c r="F285" s="14">
        <f t="shared" si="188"/>
        <v>134.16999999999999</v>
      </c>
      <c r="G285" s="14">
        <f t="shared" si="186"/>
        <v>188.55</v>
      </c>
      <c r="H285" s="14">
        <f t="shared" si="187"/>
        <v>1109.26</v>
      </c>
      <c r="I285" s="287">
        <f t="shared" si="199"/>
        <v>124335.11999999991</v>
      </c>
      <c r="J285" s="287">
        <f t="shared" si="200"/>
        <v>89283.619999999893</v>
      </c>
      <c r="K285" s="287">
        <f t="shared" si="201"/>
        <v>62689.27999999997</v>
      </c>
      <c r="L285" s="428">
        <f t="shared" si="185"/>
        <v>18</v>
      </c>
      <c r="M285" s="428">
        <f t="shared" si="218"/>
        <v>226</v>
      </c>
      <c r="N285" s="287">
        <f t="shared" si="219"/>
        <v>142582.39999999994</v>
      </c>
      <c r="O285" s="287">
        <f t="shared" si="202"/>
        <v>1536.52</v>
      </c>
      <c r="P285" s="287">
        <f t="shared" si="226"/>
        <v>704.79</v>
      </c>
      <c r="Q285" s="287">
        <f t="shared" si="203"/>
        <v>831.73</v>
      </c>
      <c r="R285" s="287">
        <f t="shared" si="190"/>
        <v>134.16999999999999</v>
      </c>
      <c r="S285" s="287">
        <f t="shared" si="191"/>
        <v>188.55</v>
      </c>
      <c r="T285" s="287">
        <f t="shared" si="189"/>
        <v>1859.24</v>
      </c>
      <c r="U285" s="287">
        <f t="shared" si="227"/>
        <v>89072.390000000014</v>
      </c>
      <c r="V285" s="287">
        <f t="shared" si="228"/>
        <v>259717.64999999991</v>
      </c>
      <c r="W285" s="287">
        <f t="shared" si="204"/>
        <v>141877.60999999993</v>
      </c>
      <c r="X285" s="519">
        <f t="shared" si="220"/>
        <v>52509</v>
      </c>
      <c r="Y285" s="287">
        <f t="shared" si="205"/>
        <v>161479.0399999998</v>
      </c>
      <c r="Z285" s="511">
        <f t="shared" si="213"/>
        <v>7.0000000000000007E-2</v>
      </c>
      <c r="AA285" s="287">
        <f t="shared" si="214"/>
        <v>1746.44</v>
      </c>
      <c r="AB285" s="287">
        <f t="shared" si="206"/>
        <v>804.48</v>
      </c>
      <c r="AC285" s="287">
        <f t="shared" si="215"/>
        <v>941.96</v>
      </c>
      <c r="AD285" s="287">
        <f t="shared" si="192"/>
        <v>134.16999999999999</v>
      </c>
      <c r="AE285" s="287">
        <f t="shared" si="193"/>
        <v>188.55</v>
      </c>
      <c r="AF285" s="287">
        <f t="shared" si="207"/>
        <v>2069.1600000000003</v>
      </c>
      <c r="AG285" s="287">
        <f t="shared" si="208"/>
        <v>115274.24000000001</v>
      </c>
      <c r="AH285" s="287">
        <f t="shared" si="209"/>
        <v>249349.6399999999</v>
      </c>
      <c r="AI285" s="530">
        <f t="shared" si="194"/>
        <v>-15833.84</v>
      </c>
      <c r="AJ285" s="530">
        <f t="shared" si="229"/>
        <v>-18796.949999999866</v>
      </c>
      <c r="AK285" s="530">
        <f t="shared" si="195"/>
        <v>-34630.789999999863</v>
      </c>
      <c r="AL285" s="287">
        <f t="shared" si="210"/>
        <v>160674.55999999979</v>
      </c>
      <c r="AM285" s="428">
        <f t="shared" si="221"/>
        <v>18</v>
      </c>
      <c r="AN285" s="14">
        <f t="shared" si="196"/>
        <v>749.98</v>
      </c>
      <c r="AO285" s="14">
        <f t="shared" si="184"/>
        <v>124653.52999999988</v>
      </c>
      <c r="AP285" s="14">
        <f t="shared" si="197"/>
        <v>959.90000000000009</v>
      </c>
      <c r="AS285" s="14">
        <f t="shared" si="216"/>
        <v>749.98</v>
      </c>
      <c r="AT285" s="14">
        <f t="shared" si="222"/>
        <v>169764.90000000031</v>
      </c>
      <c r="AU285" s="287">
        <f t="shared" si="223"/>
        <v>1890.6526506032276</v>
      </c>
      <c r="AV285" s="287">
        <f t="shared" si="224"/>
        <v>338136.44783157151</v>
      </c>
    </row>
    <row r="286" spans="1:48" x14ac:dyDescent="0.25">
      <c r="A286" s="519">
        <f t="shared" si="198"/>
        <v>52539</v>
      </c>
      <c r="B286" s="287">
        <f t="shared" si="217"/>
        <v>62689.27999999997</v>
      </c>
      <c r="C286" s="14">
        <f t="shared" si="211"/>
        <v>786.54</v>
      </c>
      <c r="D286" s="14">
        <f t="shared" si="225"/>
        <v>629.81999999999994</v>
      </c>
      <c r="E286" s="14">
        <f t="shared" si="212"/>
        <v>156.72</v>
      </c>
      <c r="F286" s="14">
        <f t="shared" si="188"/>
        <v>134.16999999999999</v>
      </c>
      <c r="G286" s="14">
        <f t="shared" si="186"/>
        <v>188.55</v>
      </c>
      <c r="H286" s="14">
        <f t="shared" si="187"/>
        <v>1109.26</v>
      </c>
      <c r="I286" s="287">
        <f t="shared" si="199"/>
        <v>124964.93999999992</v>
      </c>
      <c r="J286" s="287">
        <f t="shared" si="200"/>
        <v>89440.339999999895</v>
      </c>
      <c r="K286" s="287">
        <f t="shared" si="201"/>
        <v>62059.45999999997</v>
      </c>
      <c r="L286" s="428">
        <f t="shared" si="185"/>
        <v>18</v>
      </c>
      <c r="M286" s="428">
        <f t="shared" si="218"/>
        <v>227</v>
      </c>
      <c r="N286" s="287">
        <f t="shared" si="219"/>
        <v>141877.60999999993</v>
      </c>
      <c r="O286" s="287">
        <f t="shared" si="202"/>
        <v>1536.52</v>
      </c>
      <c r="P286" s="287">
        <f t="shared" si="226"/>
        <v>708.9</v>
      </c>
      <c r="Q286" s="287">
        <f t="shared" si="203"/>
        <v>827.62</v>
      </c>
      <c r="R286" s="287">
        <f t="shared" si="190"/>
        <v>134.16999999999999</v>
      </c>
      <c r="S286" s="287">
        <f t="shared" si="191"/>
        <v>188.55</v>
      </c>
      <c r="T286" s="287">
        <f t="shared" si="189"/>
        <v>1859.24</v>
      </c>
      <c r="U286" s="287">
        <f t="shared" si="227"/>
        <v>89781.290000000008</v>
      </c>
      <c r="V286" s="287">
        <f t="shared" si="228"/>
        <v>260545.2699999999</v>
      </c>
      <c r="W286" s="287">
        <f t="shared" si="204"/>
        <v>141168.70999999993</v>
      </c>
      <c r="X286" s="519">
        <f t="shared" si="220"/>
        <v>52539</v>
      </c>
      <c r="Y286" s="287">
        <f t="shared" si="205"/>
        <v>160674.55999999979</v>
      </c>
      <c r="Z286" s="511">
        <f t="shared" si="213"/>
        <v>7.0000000000000007E-2</v>
      </c>
      <c r="AA286" s="287">
        <f t="shared" si="214"/>
        <v>1746.44</v>
      </c>
      <c r="AB286" s="287">
        <f t="shared" si="206"/>
        <v>809.17000000000007</v>
      </c>
      <c r="AC286" s="287">
        <f t="shared" si="215"/>
        <v>937.27</v>
      </c>
      <c r="AD286" s="287">
        <f t="shared" si="192"/>
        <v>134.16999999999999</v>
      </c>
      <c r="AE286" s="287">
        <f t="shared" si="193"/>
        <v>188.55</v>
      </c>
      <c r="AF286" s="287">
        <f t="shared" si="207"/>
        <v>2069.1600000000003</v>
      </c>
      <c r="AG286" s="287">
        <f t="shared" si="208"/>
        <v>116083.41</v>
      </c>
      <c r="AH286" s="287">
        <f t="shared" si="209"/>
        <v>250286.90999999989</v>
      </c>
      <c r="AI286" s="530">
        <f t="shared" si="194"/>
        <v>-16043.76</v>
      </c>
      <c r="AJ286" s="530">
        <f t="shared" si="229"/>
        <v>-18696.679999999847</v>
      </c>
      <c r="AK286" s="530">
        <f t="shared" si="195"/>
        <v>-34740.43999999985</v>
      </c>
      <c r="AL286" s="287">
        <f t="shared" si="210"/>
        <v>159865.38999999978</v>
      </c>
      <c r="AM286" s="428">
        <f t="shared" si="221"/>
        <v>18</v>
      </c>
      <c r="AN286" s="14">
        <f t="shared" si="196"/>
        <v>749.98</v>
      </c>
      <c r="AO286" s="14">
        <f t="shared" si="184"/>
        <v>124574.4499999999</v>
      </c>
      <c r="AP286" s="14">
        <f t="shared" si="197"/>
        <v>959.90000000000009</v>
      </c>
      <c r="AS286" s="14">
        <f t="shared" si="216"/>
        <v>749.98</v>
      </c>
      <c r="AT286" s="14">
        <f t="shared" si="222"/>
        <v>170514.88000000032</v>
      </c>
      <c r="AU286" s="287">
        <f t="shared" si="223"/>
        <v>1896.9548261052387</v>
      </c>
      <c r="AV286" s="287">
        <f t="shared" si="224"/>
        <v>340033.40265767672</v>
      </c>
    </row>
    <row r="287" spans="1:48" x14ac:dyDescent="0.25">
      <c r="A287" s="519">
        <f t="shared" si="198"/>
        <v>52569</v>
      </c>
      <c r="B287" s="287">
        <f t="shared" si="217"/>
        <v>62059.45999999997</v>
      </c>
      <c r="C287" s="14">
        <f t="shared" si="211"/>
        <v>786.54</v>
      </c>
      <c r="D287" s="14">
        <f t="shared" si="225"/>
        <v>631.39</v>
      </c>
      <c r="E287" s="14">
        <f t="shared" si="212"/>
        <v>155.15</v>
      </c>
      <c r="F287" s="14">
        <f t="shared" si="188"/>
        <v>134.16999999999999</v>
      </c>
      <c r="G287" s="14">
        <f t="shared" si="186"/>
        <v>188.55</v>
      </c>
      <c r="H287" s="14">
        <f t="shared" si="187"/>
        <v>1109.26</v>
      </c>
      <c r="I287" s="287">
        <f t="shared" si="199"/>
        <v>125596.32999999991</v>
      </c>
      <c r="J287" s="287">
        <f t="shared" si="200"/>
        <v>89595.489999999889</v>
      </c>
      <c r="K287" s="287">
        <f t="shared" si="201"/>
        <v>61428.069999999971</v>
      </c>
      <c r="L287" s="428">
        <f t="shared" si="185"/>
        <v>19</v>
      </c>
      <c r="M287" s="428">
        <f t="shared" si="218"/>
        <v>228</v>
      </c>
      <c r="N287" s="287">
        <f t="shared" si="219"/>
        <v>141168.70999999993</v>
      </c>
      <c r="O287" s="287">
        <f t="shared" si="202"/>
        <v>1536.52</v>
      </c>
      <c r="P287" s="287">
        <f t="shared" si="226"/>
        <v>713.04</v>
      </c>
      <c r="Q287" s="287">
        <f t="shared" si="203"/>
        <v>823.48</v>
      </c>
      <c r="R287" s="287">
        <f t="shared" si="190"/>
        <v>134.16999999999999</v>
      </c>
      <c r="S287" s="287">
        <f t="shared" si="191"/>
        <v>188.55</v>
      </c>
      <c r="T287" s="287">
        <f t="shared" si="189"/>
        <v>1859.24</v>
      </c>
      <c r="U287" s="287">
        <f t="shared" si="227"/>
        <v>90494.33</v>
      </c>
      <c r="V287" s="287">
        <f t="shared" si="228"/>
        <v>261368.74999999991</v>
      </c>
      <c r="W287" s="287">
        <f t="shared" si="204"/>
        <v>140455.66999999993</v>
      </c>
      <c r="X287" s="519">
        <f t="shared" si="220"/>
        <v>52569</v>
      </c>
      <c r="Y287" s="287">
        <f t="shared" si="205"/>
        <v>159865.38999999978</v>
      </c>
      <c r="Z287" s="511">
        <f t="shared" si="213"/>
        <v>7.0000000000000007E-2</v>
      </c>
      <c r="AA287" s="287">
        <f t="shared" si="214"/>
        <v>1746.44</v>
      </c>
      <c r="AB287" s="287">
        <f t="shared" si="206"/>
        <v>813.8900000000001</v>
      </c>
      <c r="AC287" s="287">
        <f t="shared" si="215"/>
        <v>932.55</v>
      </c>
      <c r="AD287" s="287">
        <f t="shared" si="192"/>
        <v>134.16999999999999</v>
      </c>
      <c r="AE287" s="287">
        <f t="shared" si="193"/>
        <v>188.55</v>
      </c>
      <c r="AF287" s="287">
        <f t="shared" si="207"/>
        <v>2069.1600000000003</v>
      </c>
      <c r="AG287" s="287">
        <f t="shared" si="208"/>
        <v>116897.3</v>
      </c>
      <c r="AH287" s="287">
        <f t="shared" si="209"/>
        <v>251219.45999999988</v>
      </c>
      <c r="AI287" s="530">
        <f t="shared" si="194"/>
        <v>-16253.68</v>
      </c>
      <c r="AJ287" s="530">
        <f t="shared" si="229"/>
        <v>-18595.829999999842</v>
      </c>
      <c r="AK287" s="530">
        <f t="shared" si="195"/>
        <v>-34849.509999999842</v>
      </c>
      <c r="AL287" s="287">
        <f t="shared" si="210"/>
        <v>159051.49999999977</v>
      </c>
      <c r="AM287" s="428">
        <f t="shared" si="221"/>
        <v>19</v>
      </c>
      <c r="AN287" s="14">
        <f t="shared" si="196"/>
        <v>749.98</v>
      </c>
      <c r="AO287" s="14">
        <f t="shared" si="184"/>
        <v>124492.79999999989</v>
      </c>
      <c r="AP287" s="14">
        <f t="shared" si="197"/>
        <v>959.90000000000009</v>
      </c>
      <c r="AS287" s="14">
        <f t="shared" si="216"/>
        <v>749.98</v>
      </c>
      <c r="AT287" s="14">
        <f t="shared" si="222"/>
        <v>171264.86000000034</v>
      </c>
      <c r="AU287" s="287">
        <f t="shared" si="223"/>
        <v>1903.2780088589225</v>
      </c>
      <c r="AV287" s="287">
        <f t="shared" si="224"/>
        <v>341936.68066653563</v>
      </c>
    </row>
    <row r="288" spans="1:48" x14ac:dyDescent="0.25">
      <c r="A288" s="519">
        <f t="shared" si="198"/>
        <v>52599</v>
      </c>
      <c r="B288" s="287">
        <f t="shared" si="217"/>
        <v>61428.069999999971</v>
      </c>
      <c r="C288" s="14">
        <f t="shared" si="211"/>
        <v>786.54</v>
      </c>
      <c r="D288" s="14">
        <f t="shared" si="225"/>
        <v>632.97</v>
      </c>
      <c r="E288" s="14">
        <f t="shared" si="212"/>
        <v>153.57</v>
      </c>
      <c r="F288" s="14">
        <f t="shared" si="188"/>
        <v>134.16999999999999</v>
      </c>
      <c r="G288" s="14">
        <f t="shared" si="186"/>
        <v>188.55</v>
      </c>
      <c r="H288" s="14">
        <f t="shared" si="187"/>
        <v>1109.26</v>
      </c>
      <c r="I288" s="287">
        <f t="shared" si="199"/>
        <v>126229.29999999992</v>
      </c>
      <c r="J288" s="287">
        <f t="shared" si="200"/>
        <v>89749.059999999896</v>
      </c>
      <c r="K288" s="287">
        <f t="shared" si="201"/>
        <v>60795.099999999969</v>
      </c>
      <c r="L288" s="428">
        <f t="shared" si="185"/>
        <v>19</v>
      </c>
      <c r="M288" s="428">
        <f t="shared" si="218"/>
        <v>229</v>
      </c>
      <c r="N288" s="287">
        <f t="shared" si="219"/>
        <v>140455.66999999993</v>
      </c>
      <c r="O288" s="287">
        <f t="shared" si="202"/>
        <v>1536.52</v>
      </c>
      <c r="P288" s="287">
        <f t="shared" si="226"/>
        <v>717.19999999999993</v>
      </c>
      <c r="Q288" s="287">
        <f t="shared" si="203"/>
        <v>819.32</v>
      </c>
      <c r="R288" s="287">
        <f t="shared" si="190"/>
        <v>134.16999999999999</v>
      </c>
      <c r="S288" s="287">
        <f t="shared" si="191"/>
        <v>188.55</v>
      </c>
      <c r="T288" s="287">
        <f t="shared" si="189"/>
        <v>1859.24</v>
      </c>
      <c r="U288" s="287">
        <f t="shared" si="227"/>
        <v>91211.53</v>
      </c>
      <c r="V288" s="287">
        <f t="shared" si="228"/>
        <v>262188.06999999989</v>
      </c>
      <c r="W288" s="287">
        <f t="shared" si="204"/>
        <v>139738.46999999991</v>
      </c>
      <c r="X288" s="519">
        <f t="shared" si="220"/>
        <v>52599</v>
      </c>
      <c r="Y288" s="287">
        <f t="shared" si="205"/>
        <v>159051.49999999977</v>
      </c>
      <c r="Z288" s="511">
        <f t="shared" si="213"/>
        <v>7.0000000000000007E-2</v>
      </c>
      <c r="AA288" s="287">
        <f t="shared" si="214"/>
        <v>1746.44</v>
      </c>
      <c r="AB288" s="287">
        <f t="shared" si="206"/>
        <v>818.6400000000001</v>
      </c>
      <c r="AC288" s="287">
        <f t="shared" si="215"/>
        <v>927.8</v>
      </c>
      <c r="AD288" s="287">
        <f t="shared" si="192"/>
        <v>134.16999999999999</v>
      </c>
      <c r="AE288" s="287">
        <f t="shared" si="193"/>
        <v>188.55</v>
      </c>
      <c r="AF288" s="287">
        <f t="shared" si="207"/>
        <v>2069.1600000000003</v>
      </c>
      <c r="AG288" s="287">
        <f t="shared" si="208"/>
        <v>117715.94</v>
      </c>
      <c r="AH288" s="287">
        <f t="shared" si="209"/>
        <v>252147.25999999986</v>
      </c>
      <c r="AI288" s="530">
        <f t="shared" si="194"/>
        <v>-16463.599999999999</v>
      </c>
      <c r="AJ288" s="530">
        <f t="shared" si="229"/>
        <v>-18494.389999999839</v>
      </c>
      <c r="AK288" s="530">
        <f t="shared" si="195"/>
        <v>-34957.989999999838</v>
      </c>
      <c r="AL288" s="287">
        <f t="shared" si="210"/>
        <v>158232.85999999975</v>
      </c>
      <c r="AM288" s="428">
        <f t="shared" si="221"/>
        <v>19</v>
      </c>
      <c r="AN288" s="14">
        <f t="shared" si="196"/>
        <v>749.98</v>
      </c>
      <c r="AO288" s="14">
        <f t="shared" si="184"/>
        <v>124408.56999999992</v>
      </c>
      <c r="AP288" s="14">
        <f t="shared" si="197"/>
        <v>959.90000000000009</v>
      </c>
      <c r="AS288" s="14">
        <f t="shared" si="216"/>
        <v>749.98</v>
      </c>
      <c r="AT288" s="14">
        <f t="shared" si="222"/>
        <v>172014.84000000035</v>
      </c>
      <c r="AU288" s="287">
        <f t="shared" si="223"/>
        <v>1909.622268888452</v>
      </c>
      <c r="AV288" s="287">
        <f t="shared" si="224"/>
        <v>343846.30293542409</v>
      </c>
    </row>
    <row r="289" spans="1:48" x14ac:dyDescent="0.25">
      <c r="A289" s="519">
        <f t="shared" si="198"/>
        <v>52629</v>
      </c>
      <c r="B289" s="287">
        <f t="shared" si="217"/>
        <v>60795.099999999969</v>
      </c>
      <c r="C289" s="14">
        <f t="shared" si="211"/>
        <v>786.54</v>
      </c>
      <c r="D289" s="14">
        <f t="shared" si="225"/>
        <v>634.54999999999995</v>
      </c>
      <c r="E289" s="14">
        <f t="shared" si="212"/>
        <v>151.99</v>
      </c>
      <c r="F289" s="14">
        <f t="shared" si="188"/>
        <v>134.16999999999999</v>
      </c>
      <c r="G289" s="14">
        <f t="shared" si="186"/>
        <v>188.55</v>
      </c>
      <c r="H289" s="14">
        <f t="shared" si="187"/>
        <v>1109.26</v>
      </c>
      <c r="I289" s="287">
        <f t="shared" si="199"/>
        <v>126863.84999999992</v>
      </c>
      <c r="J289" s="287">
        <f t="shared" si="200"/>
        <v>89901.049999999901</v>
      </c>
      <c r="K289" s="287">
        <f t="shared" si="201"/>
        <v>60160.549999999967</v>
      </c>
      <c r="L289" s="428">
        <f t="shared" si="185"/>
        <v>19</v>
      </c>
      <c r="M289" s="428">
        <f t="shared" si="218"/>
        <v>230</v>
      </c>
      <c r="N289" s="287">
        <f t="shared" si="219"/>
        <v>139738.46999999991</v>
      </c>
      <c r="O289" s="287">
        <f t="shared" si="202"/>
        <v>1536.52</v>
      </c>
      <c r="P289" s="287">
        <f t="shared" si="226"/>
        <v>721.38</v>
      </c>
      <c r="Q289" s="287">
        <f t="shared" si="203"/>
        <v>815.14</v>
      </c>
      <c r="R289" s="287">
        <f t="shared" si="190"/>
        <v>134.16999999999999</v>
      </c>
      <c r="S289" s="287">
        <f t="shared" si="191"/>
        <v>188.55</v>
      </c>
      <c r="T289" s="287">
        <f t="shared" si="189"/>
        <v>1859.24</v>
      </c>
      <c r="U289" s="287">
        <f t="shared" si="227"/>
        <v>91932.91</v>
      </c>
      <c r="V289" s="287">
        <f t="shared" si="228"/>
        <v>263003.2099999999</v>
      </c>
      <c r="W289" s="287">
        <f t="shared" si="204"/>
        <v>139017.08999999991</v>
      </c>
      <c r="X289" s="519">
        <f t="shared" si="220"/>
        <v>52629</v>
      </c>
      <c r="Y289" s="287">
        <f t="shared" si="205"/>
        <v>158232.85999999975</v>
      </c>
      <c r="Z289" s="511">
        <f t="shared" si="213"/>
        <v>7.0000000000000007E-2</v>
      </c>
      <c r="AA289" s="287">
        <f t="shared" si="214"/>
        <v>1746.44</v>
      </c>
      <c r="AB289" s="287">
        <f t="shared" si="206"/>
        <v>823.41000000000008</v>
      </c>
      <c r="AC289" s="287">
        <f t="shared" si="215"/>
        <v>923.03</v>
      </c>
      <c r="AD289" s="287">
        <f t="shared" si="192"/>
        <v>134.16999999999999</v>
      </c>
      <c r="AE289" s="287">
        <f t="shared" si="193"/>
        <v>188.55</v>
      </c>
      <c r="AF289" s="287">
        <f t="shared" si="207"/>
        <v>2069.1600000000003</v>
      </c>
      <c r="AG289" s="287">
        <f t="shared" si="208"/>
        <v>118539.35</v>
      </c>
      <c r="AH289" s="287">
        <f t="shared" si="209"/>
        <v>253070.28999999986</v>
      </c>
      <c r="AI289" s="530">
        <f t="shared" si="194"/>
        <v>-16673.519999999997</v>
      </c>
      <c r="AJ289" s="530">
        <f t="shared" si="229"/>
        <v>-18392.359999999841</v>
      </c>
      <c r="AK289" s="530">
        <f t="shared" si="195"/>
        <v>-35065.879999999837</v>
      </c>
      <c r="AL289" s="287">
        <f t="shared" si="210"/>
        <v>157409.44999999975</v>
      </c>
      <c r="AM289" s="428">
        <f t="shared" si="221"/>
        <v>19</v>
      </c>
      <c r="AN289" s="14">
        <f t="shared" si="196"/>
        <v>749.98</v>
      </c>
      <c r="AO289" s="14">
        <f t="shared" si="184"/>
        <v>124321.7399999999</v>
      </c>
      <c r="AP289" s="14">
        <f t="shared" si="197"/>
        <v>959.90000000000009</v>
      </c>
      <c r="AS289" s="14">
        <f t="shared" si="216"/>
        <v>749.98</v>
      </c>
      <c r="AT289" s="14">
        <f t="shared" si="222"/>
        <v>172764.82000000036</v>
      </c>
      <c r="AU289" s="287">
        <f t="shared" si="223"/>
        <v>1915.9876764514136</v>
      </c>
      <c r="AV289" s="287">
        <f t="shared" si="224"/>
        <v>345762.29061187548</v>
      </c>
    </row>
    <row r="290" spans="1:48" ht="15.75" thickBot="1" x14ac:dyDescent="0.3">
      <c r="A290" s="522">
        <f t="shared" si="198"/>
        <v>52659</v>
      </c>
      <c r="B290" s="348">
        <f t="shared" si="217"/>
        <v>60160.549999999967</v>
      </c>
      <c r="C290" s="21">
        <f t="shared" si="211"/>
        <v>786.54</v>
      </c>
      <c r="D290" s="21">
        <f t="shared" si="225"/>
        <v>636.14</v>
      </c>
      <c r="E290" s="21">
        <f t="shared" si="212"/>
        <v>150.4</v>
      </c>
      <c r="F290" s="21">
        <f t="shared" si="188"/>
        <v>134.16999999999999</v>
      </c>
      <c r="G290" s="21">
        <f t="shared" si="186"/>
        <v>188.55</v>
      </c>
      <c r="H290" s="21">
        <f t="shared" si="187"/>
        <v>1109.26</v>
      </c>
      <c r="I290" s="348">
        <f t="shared" si="199"/>
        <v>127499.98999999992</v>
      </c>
      <c r="J290" s="348">
        <f t="shared" si="200"/>
        <v>90051.449999999895</v>
      </c>
      <c r="K290" s="348">
        <f t="shared" si="201"/>
        <v>59524.409999999967</v>
      </c>
      <c r="L290" s="429">
        <f t="shared" si="185"/>
        <v>19</v>
      </c>
      <c r="M290" s="429">
        <f t="shared" si="218"/>
        <v>231</v>
      </c>
      <c r="N290" s="348">
        <f t="shared" si="219"/>
        <v>139017.08999999991</v>
      </c>
      <c r="O290" s="348">
        <f t="shared" si="202"/>
        <v>1536.52</v>
      </c>
      <c r="P290" s="348">
        <f t="shared" si="226"/>
        <v>725.59</v>
      </c>
      <c r="Q290" s="348">
        <f t="shared" si="203"/>
        <v>810.93</v>
      </c>
      <c r="R290" s="348">
        <f t="shared" si="190"/>
        <v>134.16999999999999</v>
      </c>
      <c r="S290" s="348">
        <f t="shared" si="191"/>
        <v>188.55</v>
      </c>
      <c r="T290" s="348">
        <f t="shared" si="189"/>
        <v>1859.24</v>
      </c>
      <c r="U290" s="348">
        <f t="shared" si="227"/>
        <v>92658.5</v>
      </c>
      <c r="V290" s="348">
        <f t="shared" si="228"/>
        <v>263814.1399999999</v>
      </c>
      <c r="W290" s="348">
        <f t="shared" si="204"/>
        <v>138291.49999999991</v>
      </c>
      <c r="X290" s="522">
        <f t="shared" si="220"/>
        <v>52659</v>
      </c>
      <c r="Y290" s="348">
        <f t="shared" si="205"/>
        <v>157409.44999999975</v>
      </c>
      <c r="Z290" s="512">
        <f t="shared" si="213"/>
        <v>7.0000000000000007E-2</v>
      </c>
      <c r="AA290" s="348">
        <f t="shared" si="214"/>
        <v>1746.44</v>
      </c>
      <c r="AB290" s="348">
        <f t="shared" si="206"/>
        <v>828.22</v>
      </c>
      <c r="AC290" s="348">
        <f t="shared" si="215"/>
        <v>918.22</v>
      </c>
      <c r="AD290" s="348">
        <f t="shared" si="192"/>
        <v>134.16999999999999</v>
      </c>
      <c r="AE290" s="348">
        <f t="shared" si="193"/>
        <v>188.55</v>
      </c>
      <c r="AF290" s="348">
        <f t="shared" si="207"/>
        <v>2069.1600000000003</v>
      </c>
      <c r="AG290" s="348">
        <f t="shared" si="208"/>
        <v>119367.57</v>
      </c>
      <c r="AH290" s="348">
        <f t="shared" si="209"/>
        <v>253988.50999999986</v>
      </c>
      <c r="AI290" s="531">
        <f t="shared" si="194"/>
        <v>-16883.439999999995</v>
      </c>
      <c r="AJ290" s="531">
        <f t="shared" si="229"/>
        <v>-18289.729999999836</v>
      </c>
      <c r="AK290" s="530">
        <f t="shared" si="195"/>
        <v>-35173.169999999831</v>
      </c>
      <c r="AL290" s="348">
        <f t="shared" si="210"/>
        <v>156581.22999999975</v>
      </c>
      <c r="AM290" s="429">
        <f t="shared" si="221"/>
        <v>19</v>
      </c>
      <c r="AN290" s="21">
        <f t="shared" si="196"/>
        <v>749.98</v>
      </c>
      <c r="AO290" s="21">
        <f t="shared" si="184"/>
        <v>124232.28999999992</v>
      </c>
      <c r="AP290" s="21">
        <f t="shared" si="197"/>
        <v>959.90000000000009</v>
      </c>
      <c r="AQ290" s="21"/>
      <c r="AR290" s="23"/>
      <c r="AS290" s="21">
        <f t="shared" si="216"/>
        <v>749.98</v>
      </c>
      <c r="AT290" s="21">
        <f t="shared" si="222"/>
        <v>173514.80000000037</v>
      </c>
      <c r="AU290" s="348">
        <f t="shared" si="223"/>
        <v>1922.374302039585</v>
      </c>
      <c r="AV290" s="348">
        <f t="shared" si="224"/>
        <v>347684.66491391504</v>
      </c>
    </row>
    <row r="291" spans="1:48" x14ac:dyDescent="0.25">
      <c r="A291" s="519">
        <f t="shared" si="198"/>
        <v>52689</v>
      </c>
      <c r="B291" s="287">
        <f t="shared" si="217"/>
        <v>59524.409999999967</v>
      </c>
      <c r="C291" s="14">
        <f t="shared" si="211"/>
        <v>786.54</v>
      </c>
      <c r="D291" s="14">
        <f t="shared" si="225"/>
        <v>637.73</v>
      </c>
      <c r="E291" s="14">
        <f t="shared" si="212"/>
        <v>148.81</v>
      </c>
      <c r="F291" s="14">
        <f t="shared" si="188"/>
        <v>134.16999999999999</v>
      </c>
      <c r="G291" s="14">
        <f t="shared" si="186"/>
        <v>188.55</v>
      </c>
      <c r="H291" s="14">
        <f t="shared" si="187"/>
        <v>1109.26</v>
      </c>
      <c r="I291" s="287">
        <f t="shared" si="199"/>
        <v>128137.71999999991</v>
      </c>
      <c r="J291" s="287">
        <f t="shared" si="200"/>
        <v>90200.259999999893</v>
      </c>
      <c r="K291" s="287">
        <f t="shared" si="201"/>
        <v>58886.679999999964</v>
      </c>
      <c r="L291" s="428">
        <f t="shared" si="185"/>
        <v>19</v>
      </c>
      <c r="M291" s="428">
        <f t="shared" si="218"/>
        <v>232</v>
      </c>
      <c r="N291" s="287">
        <f t="shared" si="219"/>
        <v>138291.49999999991</v>
      </c>
      <c r="O291" s="287">
        <f t="shared" si="202"/>
        <v>1536.52</v>
      </c>
      <c r="P291" s="287">
        <f t="shared" si="226"/>
        <v>729.81999999999994</v>
      </c>
      <c r="Q291" s="287">
        <f t="shared" si="203"/>
        <v>806.7</v>
      </c>
      <c r="R291" s="287">
        <f t="shared" si="190"/>
        <v>134.16999999999999</v>
      </c>
      <c r="S291" s="287">
        <f t="shared" si="191"/>
        <v>188.55</v>
      </c>
      <c r="T291" s="287">
        <f t="shared" si="189"/>
        <v>1859.24</v>
      </c>
      <c r="U291" s="287">
        <f t="shared" si="227"/>
        <v>93388.32</v>
      </c>
      <c r="V291" s="287">
        <f t="shared" si="228"/>
        <v>264620.83999999991</v>
      </c>
      <c r="W291" s="287">
        <f t="shared" si="204"/>
        <v>137561.67999999991</v>
      </c>
      <c r="X291" s="519">
        <f t="shared" si="220"/>
        <v>52689</v>
      </c>
      <c r="Y291" s="287">
        <f t="shared" si="205"/>
        <v>156581.22999999975</v>
      </c>
      <c r="Z291" s="511">
        <f t="shared" si="213"/>
        <v>7.0000000000000007E-2</v>
      </c>
      <c r="AA291" s="287">
        <f t="shared" si="214"/>
        <v>1746.44</v>
      </c>
      <c r="AB291" s="287">
        <f t="shared" si="206"/>
        <v>833.05000000000007</v>
      </c>
      <c r="AC291" s="287">
        <f t="shared" si="215"/>
        <v>913.39</v>
      </c>
      <c r="AD291" s="287">
        <f t="shared" si="192"/>
        <v>134.16999999999999</v>
      </c>
      <c r="AE291" s="287">
        <f t="shared" si="193"/>
        <v>188.55</v>
      </c>
      <c r="AF291" s="287">
        <f t="shared" si="207"/>
        <v>2069.1600000000003</v>
      </c>
      <c r="AG291" s="287">
        <f t="shared" si="208"/>
        <v>120200.62000000001</v>
      </c>
      <c r="AH291" s="287">
        <f t="shared" si="209"/>
        <v>254901.89999999988</v>
      </c>
      <c r="AI291" s="530">
        <f t="shared" si="194"/>
        <v>-17093.359999999993</v>
      </c>
      <c r="AJ291" s="530">
        <f t="shared" si="229"/>
        <v>-18186.499999999854</v>
      </c>
      <c r="AK291" s="530">
        <f t="shared" si="195"/>
        <v>-35279.859999999848</v>
      </c>
      <c r="AL291" s="287">
        <f t="shared" si="210"/>
        <v>155748.17999999976</v>
      </c>
      <c r="AM291" s="428">
        <f t="shared" si="221"/>
        <v>19</v>
      </c>
      <c r="AN291" s="14">
        <f t="shared" si="196"/>
        <v>749.98</v>
      </c>
      <c r="AO291" s="14">
        <f t="shared" si="184"/>
        <v>124140.1999999999</v>
      </c>
      <c r="AP291" s="14">
        <f t="shared" si="197"/>
        <v>959.90000000000009</v>
      </c>
      <c r="AS291" s="14">
        <f t="shared" si="216"/>
        <v>749.98</v>
      </c>
      <c r="AT291" s="14">
        <f t="shared" si="222"/>
        <v>174264.78000000038</v>
      </c>
      <c r="AU291" s="287">
        <f t="shared" si="223"/>
        <v>1928.7822163797171</v>
      </c>
      <c r="AV291" s="287">
        <f t="shared" si="224"/>
        <v>349613.44713029475</v>
      </c>
    </row>
    <row r="292" spans="1:48" x14ac:dyDescent="0.25">
      <c r="A292" s="519">
        <f t="shared" si="198"/>
        <v>52719</v>
      </c>
      <c r="B292" s="287">
        <f t="shared" si="217"/>
        <v>58886.679999999964</v>
      </c>
      <c r="C292" s="14">
        <f t="shared" si="211"/>
        <v>786.54</v>
      </c>
      <c r="D292" s="14">
        <f t="shared" si="225"/>
        <v>639.31999999999994</v>
      </c>
      <c r="E292" s="14">
        <f t="shared" si="212"/>
        <v>147.22</v>
      </c>
      <c r="F292" s="14">
        <f t="shared" si="188"/>
        <v>134.16999999999999</v>
      </c>
      <c r="G292" s="14">
        <f t="shared" si="186"/>
        <v>188.55</v>
      </c>
      <c r="H292" s="14">
        <f t="shared" si="187"/>
        <v>1109.26</v>
      </c>
      <c r="I292" s="287">
        <f t="shared" si="199"/>
        <v>128777.03999999992</v>
      </c>
      <c r="J292" s="287">
        <f t="shared" si="200"/>
        <v>90347.479999999894</v>
      </c>
      <c r="K292" s="287">
        <f t="shared" si="201"/>
        <v>58247.359999999964</v>
      </c>
      <c r="L292" s="428">
        <f t="shared" si="185"/>
        <v>19</v>
      </c>
      <c r="M292" s="428">
        <f t="shared" si="218"/>
        <v>233</v>
      </c>
      <c r="N292" s="287">
        <f t="shared" si="219"/>
        <v>137561.67999999991</v>
      </c>
      <c r="O292" s="287">
        <f t="shared" si="202"/>
        <v>1536.52</v>
      </c>
      <c r="P292" s="287">
        <f t="shared" si="226"/>
        <v>734.07999999999993</v>
      </c>
      <c r="Q292" s="287">
        <f t="shared" si="203"/>
        <v>802.44</v>
      </c>
      <c r="R292" s="287">
        <f t="shared" si="190"/>
        <v>134.16999999999999</v>
      </c>
      <c r="S292" s="287">
        <f t="shared" si="191"/>
        <v>188.55</v>
      </c>
      <c r="T292" s="287">
        <f t="shared" si="189"/>
        <v>1859.24</v>
      </c>
      <c r="U292" s="287">
        <f t="shared" si="227"/>
        <v>94122.400000000009</v>
      </c>
      <c r="V292" s="287">
        <f t="shared" si="228"/>
        <v>265423.27999999991</v>
      </c>
      <c r="W292" s="287">
        <f t="shared" si="204"/>
        <v>136827.59999999992</v>
      </c>
      <c r="X292" s="519">
        <f t="shared" si="220"/>
        <v>52719</v>
      </c>
      <c r="Y292" s="287">
        <f t="shared" si="205"/>
        <v>155748.17999999976</v>
      </c>
      <c r="Z292" s="511">
        <f t="shared" si="213"/>
        <v>7.0000000000000007E-2</v>
      </c>
      <c r="AA292" s="287">
        <f t="shared" si="214"/>
        <v>1746.44</v>
      </c>
      <c r="AB292" s="287">
        <f t="shared" si="206"/>
        <v>837.91000000000008</v>
      </c>
      <c r="AC292" s="287">
        <f t="shared" si="215"/>
        <v>908.53</v>
      </c>
      <c r="AD292" s="287">
        <f t="shared" si="192"/>
        <v>134.16999999999999</v>
      </c>
      <c r="AE292" s="287">
        <f t="shared" si="193"/>
        <v>188.55</v>
      </c>
      <c r="AF292" s="287">
        <f t="shared" si="207"/>
        <v>2069.1600000000003</v>
      </c>
      <c r="AG292" s="287">
        <f t="shared" si="208"/>
        <v>121038.53000000001</v>
      </c>
      <c r="AH292" s="287">
        <f t="shared" si="209"/>
        <v>255810.42999999988</v>
      </c>
      <c r="AI292" s="530">
        <f t="shared" si="194"/>
        <v>-17303.279999999992</v>
      </c>
      <c r="AJ292" s="530">
        <f t="shared" si="229"/>
        <v>-18082.669999999838</v>
      </c>
      <c r="AK292" s="530">
        <f t="shared" si="195"/>
        <v>-35385.94999999983</v>
      </c>
      <c r="AL292" s="287">
        <f t="shared" si="210"/>
        <v>154910.26999999976</v>
      </c>
      <c r="AM292" s="428">
        <f t="shared" si="221"/>
        <v>19</v>
      </c>
      <c r="AN292" s="14">
        <f t="shared" si="196"/>
        <v>749.98</v>
      </c>
      <c r="AO292" s="14">
        <f t="shared" si="184"/>
        <v>124045.4399999999</v>
      </c>
      <c r="AP292" s="14">
        <f t="shared" si="197"/>
        <v>959.90000000000009</v>
      </c>
      <c r="AS292" s="14">
        <f t="shared" si="216"/>
        <v>749.98</v>
      </c>
      <c r="AT292" s="14">
        <f t="shared" si="222"/>
        <v>175014.76000000039</v>
      </c>
      <c r="AU292" s="287">
        <f t="shared" si="223"/>
        <v>1935.2114904343159</v>
      </c>
      <c r="AV292" s="287">
        <f t="shared" si="224"/>
        <v>351548.65862072905</v>
      </c>
    </row>
    <row r="293" spans="1:48" x14ac:dyDescent="0.25">
      <c r="A293" s="519">
        <f t="shared" si="198"/>
        <v>52749</v>
      </c>
      <c r="B293" s="287">
        <f t="shared" si="217"/>
        <v>58247.359999999964</v>
      </c>
      <c r="C293" s="14">
        <f t="shared" si="211"/>
        <v>786.54</v>
      </c>
      <c r="D293" s="14">
        <f t="shared" si="225"/>
        <v>640.91999999999996</v>
      </c>
      <c r="E293" s="14">
        <f t="shared" si="212"/>
        <v>145.62</v>
      </c>
      <c r="F293" s="14">
        <f t="shared" si="188"/>
        <v>134.16999999999999</v>
      </c>
      <c r="G293" s="14">
        <f t="shared" si="186"/>
        <v>188.55</v>
      </c>
      <c r="H293" s="14">
        <f t="shared" si="187"/>
        <v>1109.26</v>
      </c>
      <c r="I293" s="287">
        <f t="shared" si="199"/>
        <v>129417.95999999992</v>
      </c>
      <c r="J293" s="287">
        <f t="shared" si="200"/>
        <v>90493.099999999889</v>
      </c>
      <c r="K293" s="287">
        <f t="shared" si="201"/>
        <v>57606.439999999966</v>
      </c>
      <c r="L293" s="428">
        <f t="shared" si="185"/>
        <v>19</v>
      </c>
      <c r="M293" s="428">
        <f t="shared" si="218"/>
        <v>234</v>
      </c>
      <c r="N293" s="287">
        <f t="shared" si="219"/>
        <v>136827.59999999992</v>
      </c>
      <c r="O293" s="287">
        <f t="shared" si="202"/>
        <v>1536.52</v>
      </c>
      <c r="P293" s="287">
        <f t="shared" si="226"/>
        <v>738.36</v>
      </c>
      <c r="Q293" s="287">
        <f t="shared" si="203"/>
        <v>798.16</v>
      </c>
      <c r="R293" s="287">
        <f t="shared" si="190"/>
        <v>134.16999999999999</v>
      </c>
      <c r="S293" s="287">
        <f t="shared" si="191"/>
        <v>188.55</v>
      </c>
      <c r="T293" s="287">
        <f t="shared" si="189"/>
        <v>1859.24</v>
      </c>
      <c r="U293" s="287">
        <f t="shared" si="227"/>
        <v>94860.760000000009</v>
      </c>
      <c r="V293" s="287">
        <f t="shared" si="228"/>
        <v>266221.43999999989</v>
      </c>
      <c r="W293" s="287">
        <f t="shared" si="204"/>
        <v>136089.23999999993</v>
      </c>
      <c r="X293" s="519">
        <f t="shared" si="220"/>
        <v>52749</v>
      </c>
      <c r="Y293" s="287">
        <f t="shared" si="205"/>
        <v>154910.26999999976</v>
      </c>
      <c r="Z293" s="511">
        <f t="shared" si="213"/>
        <v>7.0000000000000007E-2</v>
      </c>
      <c r="AA293" s="287">
        <f t="shared" si="214"/>
        <v>1746.44</v>
      </c>
      <c r="AB293" s="287">
        <f t="shared" si="206"/>
        <v>842.80000000000007</v>
      </c>
      <c r="AC293" s="287">
        <f t="shared" si="215"/>
        <v>903.64</v>
      </c>
      <c r="AD293" s="287">
        <f t="shared" si="192"/>
        <v>134.16999999999999</v>
      </c>
      <c r="AE293" s="287">
        <f t="shared" si="193"/>
        <v>188.55</v>
      </c>
      <c r="AF293" s="287">
        <f t="shared" si="207"/>
        <v>2069.1600000000003</v>
      </c>
      <c r="AG293" s="287">
        <f t="shared" si="208"/>
        <v>121881.33000000002</v>
      </c>
      <c r="AH293" s="287">
        <f t="shared" si="209"/>
        <v>256714.06999999989</v>
      </c>
      <c r="AI293" s="530">
        <f t="shared" si="194"/>
        <v>-17513.19999999999</v>
      </c>
      <c r="AJ293" s="530">
        <f t="shared" si="229"/>
        <v>-17978.229999999836</v>
      </c>
      <c r="AK293" s="530">
        <f t="shared" si="195"/>
        <v>-35491.429999999826</v>
      </c>
      <c r="AL293" s="287">
        <f t="shared" si="210"/>
        <v>154067.46999999977</v>
      </c>
      <c r="AM293" s="428">
        <f t="shared" si="221"/>
        <v>19</v>
      </c>
      <c r="AN293" s="14">
        <f t="shared" si="196"/>
        <v>749.98</v>
      </c>
      <c r="AO293" s="14">
        <f t="shared" si="184"/>
        <v>123947.99999999988</v>
      </c>
      <c r="AP293" s="14">
        <f t="shared" si="197"/>
        <v>959.90000000000009</v>
      </c>
      <c r="AS293" s="14">
        <f t="shared" si="216"/>
        <v>749.98</v>
      </c>
      <c r="AT293" s="14">
        <f t="shared" si="222"/>
        <v>175764.7400000004</v>
      </c>
      <c r="AU293" s="287">
        <f t="shared" si="223"/>
        <v>1941.6621954024304</v>
      </c>
      <c r="AV293" s="287">
        <f t="shared" si="224"/>
        <v>353490.32081613148</v>
      </c>
    </row>
    <row r="294" spans="1:48" x14ac:dyDescent="0.25">
      <c r="A294" s="519">
        <f t="shared" si="198"/>
        <v>52779</v>
      </c>
      <c r="B294" s="287">
        <f t="shared" si="217"/>
        <v>57606.439999999966</v>
      </c>
      <c r="C294" s="14">
        <f t="shared" si="211"/>
        <v>786.54</v>
      </c>
      <c r="D294" s="14">
        <f t="shared" si="225"/>
        <v>642.52</v>
      </c>
      <c r="E294" s="14">
        <f t="shared" si="212"/>
        <v>144.02000000000001</v>
      </c>
      <c r="F294" s="14">
        <f t="shared" si="188"/>
        <v>134.16999999999999</v>
      </c>
      <c r="G294" s="14">
        <f t="shared" si="186"/>
        <v>188.55</v>
      </c>
      <c r="H294" s="14">
        <f t="shared" si="187"/>
        <v>1109.26</v>
      </c>
      <c r="I294" s="287">
        <f t="shared" si="199"/>
        <v>130060.47999999992</v>
      </c>
      <c r="J294" s="287">
        <f t="shared" si="200"/>
        <v>90637.119999999893</v>
      </c>
      <c r="K294" s="287">
        <f t="shared" si="201"/>
        <v>56963.919999999969</v>
      </c>
      <c r="L294" s="428">
        <f t="shared" si="185"/>
        <v>19</v>
      </c>
      <c r="M294" s="428">
        <f t="shared" si="218"/>
        <v>235</v>
      </c>
      <c r="N294" s="287">
        <f t="shared" si="219"/>
        <v>136089.23999999993</v>
      </c>
      <c r="O294" s="287">
        <f t="shared" si="202"/>
        <v>1536.52</v>
      </c>
      <c r="P294" s="287">
        <f t="shared" si="226"/>
        <v>742.67</v>
      </c>
      <c r="Q294" s="287">
        <f t="shared" si="203"/>
        <v>793.85</v>
      </c>
      <c r="R294" s="287">
        <f t="shared" si="190"/>
        <v>134.16999999999999</v>
      </c>
      <c r="S294" s="287">
        <f t="shared" si="191"/>
        <v>188.55</v>
      </c>
      <c r="T294" s="287">
        <f t="shared" si="189"/>
        <v>1859.24</v>
      </c>
      <c r="U294" s="287">
        <f t="shared" si="227"/>
        <v>95603.430000000008</v>
      </c>
      <c r="V294" s="287">
        <f t="shared" si="228"/>
        <v>267015.28999999986</v>
      </c>
      <c r="W294" s="287">
        <f t="shared" si="204"/>
        <v>135346.56999999992</v>
      </c>
      <c r="X294" s="519">
        <f t="shared" si="220"/>
        <v>52779</v>
      </c>
      <c r="Y294" s="287">
        <f t="shared" si="205"/>
        <v>154067.46999999977</v>
      </c>
      <c r="Z294" s="511">
        <f t="shared" si="213"/>
        <v>7.0000000000000007E-2</v>
      </c>
      <c r="AA294" s="287">
        <f t="shared" si="214"/>
        <v>1746.44</v>
      </c>
      <c r="AB294" s="287">
        <f t="shared" si="206"/>
        <v>847.71</v>
      </c>
      <c r="AC294" s="287">
        <f t="shared" si="215"/>
        <v>898.73</v>
      </c>
      <c r="AD294" s="287">
        <f t="shared" si="192"/>
        <v>134.16999999999999</v>
      </c>
      <c r="AE294" s="287">
        <f t="shared" si="193"/>
        <v>188.55</v>
      </c>
      <c r="AF294" s="287">
        <f t="shared" si="207"/>
        <v>2069.1600000000003</v>
      </c>
      <c r="AG294" s="287">
        <f t="shared" si="208"/>
        <v>122729.04000000002</v>
      </c>
      <c r="AH294" s="287">
        <f t="shared" si="209"/>
        <v>257612.7999999999</v>
      </c>
      <c r="AI294" s="530">
        <f t="shared" si="194"/>
        <v>-17723.119999999988</v>
      </c>
      <c r="AJ294" s="530">
        <f t="shared" si="229"/>
        <v>-17873.189999999857</v>
      </c>
      <c r="AK294" s="530">
        <f t="shared" si="195"/>
        <v>-35596.309999999845</v>
      </c>
      <c r="AL294" s="287">
        <f t="shared" si="210"/>
        <v>153219.75999999978</v>
      </c>
      <c r="AM294" s="428">
        <f t="shared" si="221"/>
        <v>19</v>
      </c>
      <c r="AN294" s="14">
        <f t="shared" si="196"/>
        <v>749.98</v>
      </c>
      <c r="AO294" s="14">
        <f t="shared" si="184"/>
        <v>123847.8499999999</v>
      </c>
      <c r="AP294" s="14">
        <f t="shared" si="197"/>
        <v>959.90000000000009</v>
      </c>
      <c r="AS294" s="14">
        <f t="shared" si="216"/>
        <v>749.98</v>
      </c>
      <c r="AT294" s="14">
        <f t="shared" si="222"/>
        <v>176514.72000000041</v>
      </c>
      <c r="AU294" s="287">
        <f t="shared" si="223"/>
        <v>1948.1344027204386</v>
      </c>
      <c r="AV294" s="287">
        <f t="shared" si="224"/>
        <v>355438.45521885192</v>
      </c>
    </row>
    <row r="295" spans="1:48" x14ac:dyDescent="0.25">
      <c r="A295" s="519">
        <f t="shared" si="198"/>
        <v>52809</v>
      </c>
      <c r="B295" s="287">
        <f t="shared" si="217"/>
        <v>56963.919999999969</v>
      </c>
      <c r="C295" s="14">
        <f t="shared" si="211"/>
        <v>786.54</v>
      </c>
      <c r="D295" s="14">
        <f t="shared" si="225"/>
        <v>644.13</v>
      </c>
      <c r="E295" s="14">
        <f t="shared" si="212"/>
        <v>142.41</v>
      </c>
      <c r="F295" s="14">
        <f t="shared" si="188"/>
        <v>134.16999999999999</v>
      </c>
      <c r="G295" s="14">
        <f t="shared" si="186"/>
        <v>188.55</v>
      </c>
      <c r="H295" s="14">
        <f t="shared" si="187"/>
        <v>1109.26</v>
      </c>
      <c r="I295" s="287">
        <f t="shared" si="199"/>
        <v>130704.60999999993</v>
      </c>
      <c r="J295" s="287">
        <f t="shared" si="200"/>
        <v>90779.529999999897</v>
      </c>
      <c r="K295" s="287">
        <f t="shared" si="201"/>
        <v>56319.789999999972</v>
      </c>
      <c r="L295" s="428">
        <f t="shared" si="185"/>
        <v>19</v>
      </c>
      <c r="M295" s="428">
        <f t="shared" si="218"/>
        <v>236</v>
      </c>
      <c r="N295" s="287">
        <f t="shared" si="219"/>
        <v>135346.56999999992</v>
      </c>
      <c r="O295" s="287">
        <f t="shared" si="202"/>
        <v>1536.52</v>
      </c>
      <c r="P295" s="287">
        <f t="shared" si="226"/>
        <v>747</v>
      </c>
      <c r="Q295" s="287">
        <f t="shared" si="203"/>
        <v>789.52</v>
      </c>
      <c r="R295" s="287">
        <f t="shared" si="190"/>
        <v>134.16999999999999</v>
      </c>
      <c r="S295" s="287">
        <f t="shared" si="191"/>
        <v>188.55</v>
      </c>
      <c r="T295" s="287">
        <f t="shared" si="189"/>
        <v>1859.24</v>
      </c>
      <c r="U295" s="287">
        <f t="shared" si="227"/>
        <v>96350.430000000008</v>
      </c>
      <c r="V295" s="287">
        <f t="shared" si="228"/>
        <v>267804.80999999988</v>
      </c>
      <c r="W295" s="287">
        <f t="shared" si="204"/>
        <v>134599.56999999992</v>
      </c>
      <c r="X295" s="519">
        <f t="shared" si="220"/>
        <v>52809</v>
      </c>
      <c r="Y295" s="287">
        <f t="shared" si="205"/>
        <v>153219.75999999978</v>
      </c>
      <c r="Z295" s="511">
        <f t="shared" si="213"/>
        <v>7.0000000000000007E-2</v>
      </c>
      <c r="AA295" s="287">
        <f t="shared" si="214"/>
        <v>1746.44</v>
      </c>
      <c r="AB295" s="287">
        <f t="shared" si="206"/>
        <v>852.66000000000008</v>
      </c>
      <c r="AC295" s="287">
        <f t="shared" si="215"/>
        <v>893.78</v>
      </c>
      <c r="AD295" s="287">
        <f t="shared" si="192"/>
        <v>134.16999999999999</v>
      </c>
      <c r="AE295" s="287">
        <f t="shared" si="193"/>
        <v>188.55</v>
      </c>
      <c r="AF295" s="287">
        <f t="shared" si="207"/>
        <v>2069.1600000000003</v>
      </c>
      <c r="AG295" s="287">
        <f t="shared" si="208"/>
        <v>123581.70000000003</v>
      </c>
      <c r="AH295" s="287">
        <f t="shared" si="209"/>
        <v>258506.5799999999</v>
      </c>
      <c r="AI295" s="530">
        <f t="shared" si="194"/>
        <v>-17933.039999999986</v>
      </c>
      <c r="AJ295" s="530">
        <f t="shared" si="229"/>
        <v>-17767.529999999853</v>
      </c>
      <c r="AK295" s="530">
        <f t="shared" si="195"/>
        <v>-35700.56999999984</v>
      </c>
      <c r="AL295" s="287">
        <f t="shared" si="210"/>
        <v>152367.09999999977</v>
      </c>
      <c r="AM295" s="428">
        <f t="shared" si="221"/>
        <v>19</v>
      </c>
      <c r="AN295" s="14">
        <f t="shared" si="196"/>
        <v>749.98</v>
      </c>
      <c r="AO295" s="14">
        <f t="shared" si="184"/>
        <v>123744.97999999991</v>
      </c>
      <c r="AP295" s="14">
        <f t="shared" si="197"/>
        <v>959.90000000000009</v>
      </c>
      <c r="AS295" s="14">
        <f t="shared" si="216"/>
        <v>749.98</v>
      </c>
      <c r="AT295" s="14">
        <f t="shared" si="222"/>
        <v>177264.70000000042</v>
      </c>
      <c r="AU295" s="287">
        <f t="shared" si="223"/>
        <v>1954.6281840628399</v>
      </c>
      <c r="AV295" s="287">
        <f t="shared" si="224"/>
        <v>357393.08340291475</v>
      </c>
    </row>
    <row r="296" spans="1:48" x14ac:dyDescent="0.25">
      <c r="A296" s="519">
        <f t="shared" si="198"/>
        <v>52839</v>
      </c>
      <c r="B296" s="287">
        <f t="shared" si="217"/>
        <v>56319.789999999972</v>
      </c>
      <c r="C296" s="14">
        <f t="shared" si="211"/>
        <v>786.54</v>
      </c>
      <c r="D296" s="14">
        <f t="shared" si="225"/>
        <v>645.74</v>
      </c>
      <c r="E296" s="14">
        <f t="shared" si="212"/>
        <v>140.80000000000001</v>
      </c>
      <c r="F296" s="14">
        <f t="shared" si="188"/>
        <v>134.16999999999999</v>
      </c>
      <c r="G296" s="14">
        <f t="shared" si="186"/>
        <v>188.55</v>
      </c>
      <c r="H296" s="14">
        <f t="shared" si="187"/>
        <v>1109.26</v>
      </c>
      <c r="I296" s="287">
        <f t="shared" si="199"/>
        <v>131350.34999999992</v>
      </c>
      <c r="J296" s="287">
        <f t="shared" si="200"/>
        <v>90920.3299999999</v>
      </c>
      <c r="K296" s="287">
        <f t="shared" si="201"/>
        <v>55674.049999999974</v>
      </c>
      <c r="L296" s="428">
        <f t="shared" si="185"/>
        <v>19</v>
      </c>
      <c r="M296" s="428">
        <f t="shared" si="218"/>
        <v>237</v>
      </c>
      <c r="N296" s="287">
        <f t="shared" si="219"/>
        <v>134599.56999999992</v>
      </c>
      <c r="O296" s="287">
        <f t="shared" si="202"/>
        <v>1536.52</v>
      </c>
      <c r="P296" s="287">
        <f t="shared" si="226"/>
        <v>751.36</v>
      </c>
      <c r="Q296" s="287">
        <f t="shared" si="203"/>
        <v>785.16</v>
      </c>
      <c r="R296" s="287">
        <f t="shared" si="190"/>
        <v>134.16999999999999</v>
      </c>
      <c r="S296" s="287">
        <f t="shared" si="191"/>
        <v>188.55</v>
      </c>
      <c r="T296" s="287">
        <f t="shared" si="189"/>
        <v>1859.24</v>
      </c>
      <c r="U296" s="287">
        <f t="shared" si="227"/>
        <v>97101.790000000008</v>
      </c>
      <c r="V296" s="287">
        <f t="shared" si="228"/>
        <v>268589.96999999986</v>
      </c>
      <c r="W296" s="287">
        <f t="shared" si="204"/>
        <v>133848.20999999993</v>
      </c>
      <c r="X296" s="519">
        <f t="shared" si="220"/>
        <v>52839</v>
      </c>
      <c r="Y296" s="287">
        <f t="shared" si="205"/>
        <v>152367.09999999977</v>
      </c>
      <c r="Z296" s="511">
        <f t="shared" si="213"/>
        <v>7.0000000000000007E-2</v>
      </c>
      <c r="AA296" s="287">
        <f t="shared" si="214"/>
        <v>1746.44</v>
      </c>
      <c r="AB296" s="287">
        <f t="shared" si="206"/>
        <v>857.63000000000011</v>
      </c>
      <c r="AC296" s="287">
        <f t="shared" si="215"/>
        <v>888.81</v>
      </c>
      <c r="AD296" s="287">
        <f t="shared" si="192"/>
        <v>134.16999999999999</v>
      </c>
      <c r="AE296" s="287">
        <f t="shared" si="193"/>
        <v>188.55</v>
      </c>
      <c r="AF296" s="287">
        <f t="shared" si="207"/>
        <v>2069.1600000000003</v>
      </c>
      <c r="AG296" s="287">
        <f t="shared" si="208"/>
        <v>124439.33000000003</v>
      </c>
      <c r="AH296" s="287">
        <f t="shared" si="209"/>
        <v>259395.3899999999</v>
      </c>
      <c r="AI296" s="530">
        <f t="shared" si="194"/>
        <v>-18142.959999999985</v>
      </c>
      <c r="AJ296" s="530">
        <f t="shared" si="229"/>
        <v>-17661.259999999835</v>
      </c>
      <c r="AK296" s="530">
        <f t="shared" si="195"/>
        <v>-35804.219999999819</v>
      </c>
      <c r="AL296" s="287">
        <f t="shared" si="210"/>
        <v>151509.46999999977</v>
      </c>
      <c r="AM296" s="428">
        <f t="shared" si="221"/>
        <v>19</v>
      </c>
      <c r="AN296" s="14">
        <f t="shared" si="196"/>
        <v>749.98</v>
      </c>
      <c r="AO296" s="14">
        <f t="shared" si="184"/>
        <v>123639.3599999999</v>
      </c>
      <c r="AP296" s="14">
        <f t="shared" si="197"/>
        <v>959.90000000000009</v>
      </c>
      <c r="AS296" s="14">
        <f t="shared" si="216"/>
        <v>749.98</v>
      </c>
      <c r="AT296" s="14">
        <f t="shared" si="222"/>
        <v>178014.68000000043</v>
      </c>
      <c r="AU296" s="287">
        <f t="shared" si="223"/>
        <v>1961.1436113430491</v>
      </c>
      <c r="AV296" s="287">
        <f t="shared" si="224"/>
        <v>359354.22701425781</v>
      </c>
    </row>
    <row r="297" spans="1:48" x14ac:dyDescent="0.25">
      <c r="A297" s="519">
        <f t="shared" si="198"/>
        <v>52869</v>
      </c>
      <c r="B297" s="287">
        <f t="shared" si="217"/>
        <v>55674.049999999974</v>
      </c>
      <c r="C297" s="14">
        <f t="shared" si="211"/>
        <v>786.54</v>
      </c>
      <c r="D297" s="14">
        <f t="shared" si="225"/>
        <v>647.34999999999991</v>
      </c>
      <c r="E297" s="14">
        <f t="shared" si="212"/>
        <v>139.19</v>
      </c>
      <c r="F297" s="14">
        <f t="shared" si="188"/>
        <v>134.16999999999999</v>
      </c>
      <c r="G297" s="14">
        <f t="shared" si="186"/>
        <v>188.55</v>
      </c>
      <c r="H297" s="14">
        <f t="shared" si="187"/>
        <v>1109.26</v>
      </c>
      <c r="I297" s="287">
        <f t="shared" si="199"/>
        <v>131997.69999999992</v>
      </c>
      <c r="J297" s="287">
        <f t="shared" si="200"/>
        <v>91059.519999999902</v>
      </c>
      <c r="K297" s="287">
        <f t="shared" si="201"/>
        <v>55026.699999999975</v>
      </c>
      <c r="L297" s="428">
        <f t="shared" si="185"/>
        <v>19</v>
      </c>
      <c r="M297" s="428">
        <f t="shared" si="218"/>
        <v>238</v>
      </c>
      <c r="N297" s="287">
        <f t="shared" si="219"/>
        <v>133848.20999999993</v>
      </c>
      <c r="O297" s="287">
        <f t="shared" si="202"/>
        <v>1536.52</v>
      </c>
      <c r="P297" s="287">
        <f t="shared" si="226"/>
        <v>755.74</v>
      </c>
      <c r="Q297" s="287">
        <f t="shared" si="203"/>
        <v>780.78</v>
      </c>
      <c r="R297" s="287">
        <f t="shared" si="190"/>
        <v>134.16999999999999</v>
      </c>
      <c r="S297" s="287">
        <f t="shared" si="191"/>
        <v>188.55</v>
      </c>
      <c r="T297" s="287">
        <f t="shared" si="189"/>
        <v>1859.24</v>
      </c>
      <c r="U297" s="287">
        <f t="shared" si="227"/>
        <v>97857.530000000013</v>
      </c>
      <c r="V297" s="287">
        <f t="shared" si="228"/>
        <v>269370.74999999988</v>
      </c>
      <c r="W297" s="287">
        <f t="shared" si="204"/>
        <v>133092.46999999994</v>
      </c>
      <c r="X297" s="519">
        <f t="shared" si="220"/>
        <v>52869</v>
      </c>
      <c r="Y297" s="287">
        <f t="shared" si="205"/>
        <v>151509.46999999977</v>
      </c>
      <c r="Z297" s="511">
        <f t="shared" si="213"/>
        <v>7.0000000000000007E-2</v>
      </c>
      <c r="AA297" s="287">
        <f t="shared" si="214"/>
        <v>1746.44</v>
      </c>
      <c r="AB297" s="287">
        <f t="shared" si="206"/>
        <v>862.63000000000011</v>
      </c>
      <c r="AC297" s="287">
        <f t="shared" si="215"/>
        <v>883.81</v>
      </c>
      <c r="AD297" s="287">
        <f t="shared" si="192"/>
        <v>134.16999999999999</v>
      </c>
      <c r="AE297" s="287">
        <f t="shared" si="193"/>
        <v>188.55</v>
      </c>
      <c r="AF297" s="287">
        <f t="shared" si="207"/>
        <v>2069.1600000000003</v>
      </c>
      <c r="AG297" s="287">
        <f t="shared" si="208"/>
        <v>125301.96000000004</v>
      </c>
      <c r="AH297" s="287">
        <f t="shared" si="209"/>
        <v>260279.1999999999</v>
      </c>
      <c r="AI297" s="530">
        <f t="shared" si="194"/>
        <v>-18352.879999999983</v>
      </c>
      <c r="AJ297" s="530">
        <f t="shared" si="229"/>
        <v>-17554.369999999821</v>
      </c>
      <c r="AK297" s="530">
        <f t="shared" si="195"/>
        <v>-35907.249999999804</v>
      </c>
      <c r="AL297" s="287">
        <f t="shared" si="210"/>
        <v>150646.83999999976</v>
      </c>
      <c r="AM297" s="428">
        <f t="shared" si="221"/>
        <v>19</v>
      </c>
      <c r="AN297" s="14">
        <f t="shared" si="196"/>
        <v>749.98</v>
      </c>
      <c r="AO297" s="14">
        <f t="shared" si="184"/>
        <v>123530.9699999999</v>
      </c>
      <c r="AP297" s="14">
        <f t="shared" si="197"/>
        <v>959.90000000000009</v>
      </c>
      <c r="AS297" s="14">
        <f t="shared" si="216"/>
        <v>749.98</v>
      </c>
      <c r="AT297" s="14">
        <f t="shared" si="222"/>
        <v>178764.66000000044</v>
      </c>
      <c r="AU297" s="287">
        <f t="shared" si="223"/>
        <v>1967.6807567141925</v>
      </c>
      <c r="AV297" s="287">
        <f t="shared" si="224"/>
        <v>361321.907770972</v>
      </c>
    </row>
    <row r="298" spans="1:48" x14ac:dyDescent="0.25">
      <c r="A298" s="519">
        <f t="shared" si="198"/>
        <v>52899</v>
      </c>
      <c r="B298" s="287">
        <f t="shared" si="217"/>
        <v>55026.699999999975</v>
      </c>
      <c r="C298" s="14">
        <f t="shared" si="211"/>
        <v>786.54</v>
      </c>
      <c r="D298" s="14">
        <f t="shared" si="225"/>
        <v>648.97</v>
      </c>
      <c r="E298" s="14">
        <f t="shared" si="212"/>
        <v>137.57</v>
      </c>
      <c r="F298" s="14">
        <f t="shared" si="188"/>
        <v>134.16999999999999</v>
      </c>
      <c r="G298" s="14">
        <f t="shared" si="186"/>
        <v>188.55</v>
      </c>
      <c r="H298" s="14">
        <f t="shared" si="187"/>
        <v>1109.26</v>
      </c>
      <c r="I298" s="287">
        <f t="shared" si="199"/>
        <v>132646.66999999993</v>
      </c>
      <c r="J298" s="287">
        <f t="shared" si="200"/>
        <v>91197.089999999909</v>
      </c>
      <c r="K298" s="287">
        <f t="shared" si="201"/>
        <v>54377.729999999974</v>
      </c>
      <c r="L298" s="428">
        <f t="shared" si="185"/>
        <v>19</v>
      </c>
      <c r="M298" s="428">
        <f t="shared" si="218"/>
        <v>239</v>
      </c>
      <c r="N298" s="287">
        <f t="shared" si="219"/>
        <v>133092.46999999994</v>
      </c>
      <c r="O298" s="287">
        <f t="shared" si="202"/>
        <v>1536.52</v>
      </c>
      <c r="P298" s="287">
        <f t="shared" si="226"/>
        <v>760.15</v>
      </c>
      <c r="Q298" s="287">
        <f t="shared" si="203"/>
        <v>776.37</v>
      </c>
      <c r="R298" s="287">
        <f t="shared" si="190"/>
        <v>134.16999999999999</v>
      </c>
      <c r="S298" s="287">
        <f t="shared" si="191"/>
        <v>188.55</v>
      </c>
      <c r="T298" s="287">
        <f t="shared" si="189"/>
        <v>1859.24</v>
      </c>
      <c r="U298" s="287">
        <f t="shared" si="227"/>
        <v>98617.680000000008</v>
      </c>
      <c r="V298" s="287">
        <f t="shared" si="228"/>
        <v>270147.11999999988</v>
      </c>
      <c r="W298" s="287">
        <f t="shared" si="204"/>
        <v>132332.31999999995</v>
      </c>
      <c r="X298" s="519">
        <f t="shared" si="220"/>
        <v>52899</v>
      </c>
      <c r="Y298" s="287">
        <f t="shared" si="205"/>
        <v>150646.83999999976</v>
      </c>
      <c r="Z298" s="511">
        <f t="shared" si="213"/>
        <v>7.0000000000000007E-2</v>
      </c>
      <c r="AA298" s="287">
        <f t="shared" si="214"/>
        <v>1746.44</v>
      </c>
      <c r="AB298" s="287">
        <f t="shared" si="206"/>
        <v>867.67000000000007</v>
      </c>
      <c r="AC298" s="287">
        <f t="shared" si="215"/>
        <v>878.77</v>
      </c>
      <c r="AD298" s="287">
        <f t="shared" si="192"/>
        <v>134.16999999999999</v>
      </c>
      <c r="AE298" s="287">
        <f t="shared" si="193"/>
        <v>188.55</v>
      </c>
      <c r="AF298" s="287">
        <f t="shared" si="207"/>
        <v>2069.1600000000003</v>
      </c>
      <c r="AG298" s="287">
        <f t="shared" si="208"/>
        <v>126169.63000000003</v>
      </c>
      <c r="AH298" s="287">
        <f t="shared" si="209"/>
        <v>261157.96999999988</v>
      </c>
      <c r="AI298" s="530">
        <f t="shared" si="194"/>
        <v>-18562.799999999981</v>
      </c>
      <c r="AJ298" s="530">
        <f t="shared" si="229"/>
        <v>-17446.849999999802</v>
      </c>
      <c r="AK298" s="530">
        <f t="shared" si="195"/>
        <v>-36009.649999999783</v>
      </c>
      <c r="AL298" s="287">
        <f t="shared" si="210"/>
        <v>149779.16999999975</v>
      </c>
      <c r="AM298" s="428">
        <f t="shared" si="221"/>
        <v>19</v>
      </c>
      <c r="AN298" s="14">
        <f t="shared" si="196"/>
        <v>749.98</v>
      </c>
      <c r="AO298" s="14">
        <f t="shared" si="184"/>
        <v>123419.78999999991</v>
      </c>
      <c r="AP298" s="14">
        <f t="shared" si="197"/>
        <v>959.90000000000009</v>
      </c>
      <c r="AS298" s="14">
        <f t="shared" si="216"/>
        <v>749.98</v>
      </c>
      <c r="AT298" s="14">
        <f t="shared" si="222"/>
        <v>179514.64000000045</v>
      </c>
      <c r="AU298" s="287">
        <f t="shared" si="223"/>
        <v>1974.2396925699068</v>
      </c>
      <c r="AV298" s="287">
        <f t="shared" si="224"/>
        <v>363296.14746354189</v>
      </c>
    </row>
    <row r="299" spans="1:48" x14ac:dyDescent="0.25">
      <c r="A299" s="519">
        <f t="shared" si="198"/>
        <v>52929</v>
      </c>
      <c r="B299" s="287">
        <f t="shared" si="217"/>
        <v>54377.729999999974</v>
      </c>
      <c r="C299" s="14">
        <f t="shared" si="211"/>
        <v>786.54</v>
      </c>
      <c r="D299" s="14">
        <f t="shared" si="225"/>
        <v>650.59999999999991</v>
      </c>
      <c r="E299" s="14">
        <f t="shared" si="212"/>
        <v>135.94</v>
      </c>
      <c r="F299" s="14">
        <f t="shared" si="188"/>
        <v>134.16999999999999</v>
      </c>
      <c r="G299" s="14">
        <f t="shared" si="186"/>
        <v>188.55</v>
      </c>
      <c r="H299" s="14">
        <f t="shared" si="187"/>
        <v>1109.26</v>
      </c>
      <c r="I299" s="287">
        <f t="shared" si="199"/>
        <v>133297.26999999993</v>
      </c>
      <c r="J299" s="287">
        <f t="shared" si="200"/>
        <v>91333.029999999912</v>
      </c>
      <c r="K299" s="287">
        <f t="shared" si="201"/>
        <v>53727.129999999976</v>
      </c>
      <c r="L299" s="428">
        <f t="shared" si="185"/>
        <v>20</v>
      </c>
      <c r="M299" s="428">
        <f t="shared" si="218"/>
        <v>240</v>
      </c>
      <c r="N299" s="287">
        <f t="shared" si="219"/>
        <v>132332.31999999995</v>
      </c>
      <c r="O299" s="287">
        <f t="shared" si="202"/>
        <v>1536.52</v>
      </c>
      <c r="P299" s="287">
        <f t="shared" si="226"/>
        <v>764.57999999999993</v>
      </c>
      <c r="Q299" s="287">
        <f t="shared" si="203"/>
        <v>771.94</v>
      </c>
      <c r="R299" s="287">
        <f t="shared" si="190"/>
        <v>134.16999999999999</v>
      </c>
      <c r="S299" s="287">
        <f t="shared" si="191"/>
        <v>188.55</v>
      </c>
      <c r="T299" s="287">
        <f t="shared" si="189"/>
        <v>1859.24</v>
      </c>
      <c r="U299" s="287">
        <f t="shared" si="227"/>
        <v>99382.260000000009</v>
      </c>
      <c r="V299" s="287">
        <f t="shared" si="228"/>
        <v>270919.05999999988</v>
      </c>
      <c r="W299" s="287">
        <f t="shared" si="204"/>
        <v>131567.73999999996</v>
      </c>
      <c r="X299" s="519">
        <f t="shared" si="220"/>
        <v>52929</v>
      </c>
      <c r="Y299" s="287">
        <f t="shared" si="205"/>
        <v>149779.16999999975</v>
      </c>
      <c r="Z299" s="511">
        <f t="shared" si="213"/>
        <v>7.0000000000000007E-2</v>
      </c>
      <c r="AA299" s="287">
        <f t="shared" si="214"/>
        <v>1746.44</v>
      </c>
      <c r="AB299" s="287">
        <f t="shared" si="206"/>
        <v>872.73</v>
      </c>
      <c r="AC299" s="287">
        <f t="shared" si="215"/>
        <v>873.71</v>
      </c>
      <c r="AD299" s="287">
        <f t="shared" si="192"/>
        <v>134.16999999999999</v>
      </c>
      <c r="AE299" s="287">
        <f t="shared" si="193"/>
        <v>188.55</v>
      </c>
      <c r="AF299" s="287">
        <f t="shared" si="207"/>
        <v>2069.1600000000003</v>
      </c>
      <c r="AG299" s="287">
        <f t="shared" si="208"/>
        <v>127042.36000000003</v>
      </c>
      <c r="AH299" s="287">
        <f t="shared" si="209"/>
        <v>262031.67999999988</v>
      </c>
      <c r="AI299" s="530">
        <f t="shared" si="194"/>
        <v>-18772.719999999979</v>
      </c>
      <c r="AJ299" s="530">
        <f t="shared" si="229"/>
        <v>-17338.699999999779</v>
      </c>
      <c r="AK299" s="530">
        <f t="shared" si="195"/>
        <v>-36111.419999999758</v>
      </c>
      <c r="AL299" s="287">
        <f t="shared" si="210"/>
        <v>148906.43999999974</v>
      </c>
      <c r="AM299" s="428">
        <f t="shared" si="221"/>
        <v>20</v>
      </c>
      <c r="AN299" s="14">
        <f t="shared" si="196"/>
        <v>749.98</v>
      </c>
      <c r="AO299" s="14">
        <f t="shared" si="184"/>
        <v>123305.80999999991</v>
      </c>
      <c r="AP299" s="14">
        <f t="shared" si="197"/>
        <v>959.90000000000009</v>
      </c>
      <c r="AS299" s="14">
        <f t="shared" si="216"/>
        <v>749.98</v>
      </c>
      <c r="AT299" s="14">
        <f t="shared" si="222"/>
        <v>180264.62000000046</v>
      </c>
      <c r="AU299" s="287">
        <f t="shared" si="223"/>
        <v>1980.8204915451397</v>
      </c>
      <c r="AV299" s="287">
        <f t="shared" si="224"/>
        <v>365276.96795508702</v>
      </c>
    </row>
    <row r="300" spans="1:48" x14ac:dyDescent="0.25">
      <c r="A300" s="519">
        <f t="shared" si="198"/>
        <v>52959</v>
      </c>
      <c r="B300" s="287">
        <f t="shared" si="217"/>
        <v>53727.129999999976</v>
      </c>
      <c r="C300" s="14">
        <f t="shared" si="211"/>
        <v>786.54</v>
      </c>
      <c r="D300" s="14">
        <f t="shared" si="225"/>
        <v>652.22</v>
      </c>
      <c r="E300" s="14">
        <f t="shared" si="212"/>
        <v>134.32</v>
      </c>
      <c r="F300" s="14">
        <f t="shared" si="188"/>
        <v>134.16999999999999</v>
      </c>
      <c r="G300" s="14">
        <f t="shared" si="186"/>
        <v>188.55</v>
      </c>
      <c r="H300" s="14">
        <f t="shared" si="187"/>
        <v>1109.26</v>
      </c>
      <c r="I300" s="287">
        <f t="shared" si="199"/>
        <v>133949.48999999993</v>
      </c>
      <c r="J300" s="287">
        <f t="shared" si="200"/>
        <v>91467.349999999919</v>
      </c>
      <c r="K300" s="287">
        <f t="shared" si="201"/>
        <v>53074.909999999974</v>
      </c>
      <c r="L300" s="428">
        <f t="shared" si="185"/>
        <v>20</v>
      </c>
      <c r="M300" s="428">
        <f t="shared" si="218"/>
        <v>241</v>
      </c>
      <c r="N300" s="287">
        <f t="shared" si="219"/>
        <v>131567.73999999996</v>
      </c>
      <c r="O300" s="287">
        <f t="shared" si="202"/>
        <v>1536.52</v>
      </c>
      <c r="P300" s="287">
        <f t="shared" si="226"/>
        <v>769.04</v>
      </c>
      <c r="Q300" s="287">
        <f t="shared" si="203"/>
        <v>767.48</v>
      </c>
      <c r="R300" s="287">
        <f t="shared" si="190"/>
        <v>134.16999999999999</v>
      </c>
      <c r="S300" s="287">
        <f t="shared" si="191"/>
        <v>188.55</v>
      </c>
      <c r="T300" s="287">
        <f t="shared" si="189"/>
        <v>1859.24</v>
      </c>
      <c r="U300" s="287">
        <f t="shared" si="227"/>
        <v>100151.3</v>
      </c>
      <c r="V300" s="287">
        <f t="shared" si="228"/>
        <v>271686.53999999986</v>
      </c>
      <c r="W300" s="287">
        <f t="shared" si="204"/>
        <v>130798.69999999997</v>
      </c>
      <c r="X300" s="519">
        <f t="shared" si="220"/>
        <v>52959</v>
      </c>
      <c r="Y300" s="287">
        <f t="shared" si="205"/>
        <v>148906.43999999974</v>
      </c>
      <c r="Z300" s="511">
        <f t="shared" si="213"/>
        <v>7.0000000000000007E-2</v>
      </c>
      <c r="AA300" s="287">
        <f t="shared" si="214"/>
        <v>1746.44</v>
      </c>
      <c r="AB300" s="287">
        <f t="shared" si="206"/>
        <v>877.82</v>
      </c>
      <c r="AC300" s="287">
        <f t="shared" si="215"/>
        <v>868.62</v>
      </c>
      <c r="AD300" s="287">
        <f t="shared" si="192"/>
        <v>134.16999999999999</v>
      </c>
      <c r="AE300" s="287">
        <f t="shared" si="193"/>
        <v>188.55</v>
      </c>
      <c r="AF300" s="287">
        <f t="shared" si="207"/>
        <v>2069.1600000000003</v>
      </c>
      <c r="AG300" s="287">
        <f t="shared" si="208"/>
        <v>127920.18000000004</v>
      </c>
      <c r="AH300" s="287">
        <f t="shared" si="209"/>
        <v>262900.29999999987</v>
      </c>
      <c r="AI300" s="530">
        <f t="shared" si="194"/>
        <v>-18982.639999999978</v>
      </c>
      <c r="AJ300" s="530">
        <f t="shared" si="229"/>
        <v>-17229.919999999765</v>
      </c>
      <c r="AK300" s="530">
        <f t="shared" si="195"/>
        <v>-36212.559999999743</v>
      </c>
      <c r="AL300" s="287">
        <f t="shared" si="210"/>
        <v>148028.61999999973</v>
      </c>
      <c r="AM300" s="428">
        <f t="shared" si="221"/>
        <v>20</v>
      </c>
      <c r="AN300" s="14">
        <f t="shared" si="196"/>
        <v>749.98</v>
      </c>
      <c r="AO300" s="14">
        <f t="shared" si="184"/>
        <v>123188.98999999992</v>
      </c>
      <c r="AP300" s="14">
        <f t="shared" si="197"/>
        <v>959.90000000000009</v>
      </c>
      <c r="AS300" s="14">
        <f t="shared" si="216"/>
        <v>749.98</v>
      </c>
      <c r="AT300" s="14">
        <f t="shared" si="222"/>
        <v>181014.60000000047</v>
      </c>
      <c r="AU300" s="287">
        <f t="shared" si="223"/>
        <v>1987.4232265169569</v>
      </c>
      <c r="AV300" s="287">
        <f t="shared" si="224"/>
        <v>367264.39118160401</v>
      </c>
    </row>
    <row r="301" spans="1:48" x14ac:dyDescent="0.25">
      <c r="A301" s="519">
        <f t="shared" si="198"/>
        <v>52989</v>
      </c>
      <c r="B301" s="287">
        <f t="shared" si="217"/>
        <v>53074.909999999974</v>
      </c>
      <c r="C301" s="14">
        <f t="shared" si="211"/>
        <v>786.54</v>
      </c>
      <c r="D301" s="14">
        <f t="shared" si="225"/>
        <v>653.84999999999991</v>
      </c>
      <c r="E301" s="14">
        <f t="shared" si="212"/>
        <v>132.69</v>
      </c>
      <c r="F301" s="14">
        <f t="shared" si="188"/>
        <v>134.16999999999999</v>
      </c>
      <c r="G301" s="14">
        <f t="shared" si="186"/>
        <v>188.55</v>
      </c>
      <c r="H301" s="14">
        <f t="shared" si="187"/>
        <v>1109.26</v>
      </c>
      <c r="I301" s="287">
        <f t="shared" si="199"/>
        <v>134603.33999999994</v>
      </c>
      <c r="J301" s="287">
        <f t="shared" si="200"/>
        <v>91600.039999999921</v>
      </c>
      <c r="K301" s="287">
        <f t="shared" si="201"/>
        <v>52421.059999999976</v>
      </c>
      <c r="L301" s="428">
        <f t="shared" si="185"/>
        <v>20</v>
      </c>
      <c r="M301" s="428">
        <f t="shared" si="218"/>
        <v>242</v>
      </c>
      <c r="N301" s="287">
        <f t="shared" si="219"/>
        <v>130798.69999999997</v>
      </c>
      <c r="O301" s="287">
        <f t="shared" si="202"/>
        <v>1536.52</v>
      </c>
      <c r="P301" s="287">
        <f t="shared" si="226"/>
        <v>773.53</v>
      </c>
      <c r="Q301" s="287">
        <f t="shared" si="203"/>
        <v>762.99</v>
      </c>
      <c r="R301" s="287">
        <f t="shared" si="190"/>
        <v>134.16999999999999</v>
      </c>
      <c r="S301" s="287">
        <f t="shared" si="191"/>
        <v>188.55</v>
      </c>
      <c r="T301" s="287">
        <f t="shared" si="189"/>
        <v>1859.24</v>
      </c>
      <c r="U301" s="287">
        <f t="shared" si="227"/>
        <v>100924.83</v>
      </c>
      <c r="V301" s="287">
        <f t="shared" si="228"/>
        <v>272449.52999999985</v>
      </c>
      <c r="W301" s="287">
        <f t="shared" si="204"/>
        <v>130025.16999999997</v>
      </c>
      <c r="X301" s="519">
        <f t="shared" si="220"/>
        <v>52989</v>
      </c>
      <c r="Y301" s="287">
        <f t="shared" si="205"/>
        <v>148028.61999999973</v>
      </c>
      <c r="Z301" s="511">
        <f t="shared" si="213"/>
        <v>7.0000000000000007E-2</v>
      </c>
      <c r="AA301" s="287">
        <f t="shared" si="214"/>
        <v>1746.44</v>
      </c>
      <c r="AB301" s="287">
        <f t="shared" si="206"/>
        <v>882.94</v>
      </c>
      <c r="AC301" s="287">
        <f t="shared" si="215"/>
        <v>863.5</v>
      </c>
      <c r="AD301" s="287">
        <f t="shared" si="192"/>
        <v>134.16999999999999</v>
      </c>
      <c r="AE301" s="287">
        <f t="shared" si="193"/>
        <v>188.55</v>
      </c>
      <c r="AF301" s="287">
        <f t="shared" si="207"/>
        <v>2069.1600000000003</v>
      </c>
      <c r="AG301" s="287">
        <f t="shared" si="208"/>
        <v>128803.12000000004</v>
      </c>
      <c r="AH301" s="287">
        <f t="shared" si="209"/>
        <v>263763.79999999987</v>
      </c>
      <c r="AI301" s="530">
        <f t="shared" si="194"/>
        <v>-19192.559999999976</v>
      </c>
      <c r="AJ301" s="530">
        <f t="shared" si="229"/>
        <v>-17120.509999999762</v>
      </c>
      <c r="AK301" s="530">
        <f t="shared" si="195"/>
        <v>-36313.069999999738</v>
      </c>
      <c r="AL301" s="287">
        <f t="shared" si="210"/>
        <v>147145.67999999973</v>
      </c>
      <c r="AM301" s="428">
        <f t="shared" si="221"/>
        <v>20</v>
      </c>
      <c r="AN301" s="14">
        <f t="shared" si="196"/>
        <v>749.98</v>
      </c>
      <c r="AO301" s="14">
        <f t="shared" ref="AO301:AO364" si="230">IF(W301&lt;=0,0,+$AA$5-$C$2+I301-U301)</f>
        <v>123069.30999999992</v>
      </c>
      <c r="AP301" s="14">
        <f t="shared" si="197"/>
        <v>959.90000000000009</v>
      </c>
      <c r="AS301" s="14">
        <f t="shared" si="216"/>
        <v>749.98</v>
      </c>
      <c r="AT301" s="14">
        <f t="shared" si="222"/>
        <v>181764.58000000048</v>
      </c>
      <c r="AU301" s="287">
        <f t="shared" si="223"/>
        <v>1994.0479706053468</v>
      </c>
      <c r="AV301" s="287">
        <f t="shared" si="224"/>
        <v>369258.43915220938</v>
      </c>
    </row>
    <row r="302" spans="1:48" ht="15.75" thickBot="1" x14ac:dyDescent="0.3">
      <c r="A302" s="522">
        <f t="shared" si="198"/>
        <v>53019</v>
      </c>
      <c r="B302" s="348">
        <f t="shared" si="217"/>
        <v>52421.059999999976</v>
      </c>
      <c r="C302" s="21">
        <f t="shared" si="211"/>
        <v>786.54</v>
      </c>
      <c r="D302" s="21">
        <f t="shared" si="225"/>
        <v>655.49</v>
      </c>
      <c r="E302" s="21">
        <f t="shared" si="212"/>
        <v>131.05000000000001</v>
      </c>
      <c r="F302" s="21">
        <f t="shared" si="188"/>
        <v>134.16999999999999</v>
      </c>
      <c r="G302" s="21">
        <f t="shared" si="186"/>
        <v>188.55</v>
      </c>
      <c r="H302" s="21">
        <f t="shared" si="187"/>
        <v>1109.26</v>
      </c>
      <c r="I302" s="348">
        <f t="shared" si="199"/>
        <v>135258.82999999993</v>
      </c>
      <c r="J302" s="348">
        <f t="shared" si="200"/>
        <v>91731.089999999924</v>
      </c>
      <c r="K302" s="348">
        <f t="shared" si="201"/>
        <v>51765.569999999978</v>
      </c>
      <c r="L302" s="429">
        <f t="shared" si="185"/>
        <v>20</v>
      </c>
      <c r="M302" s="429">
        <f t="shared" si="218"/>
        <v>243</v>
      </c>
      <c r="N302" s="348">
        <f t="shared" si="219"/>
        <v>130025.16999999997</v>
      </c>
      <c r="O302" s="348">
        <f t="shared" si="202"/>
        <v>1536.52</v>
      </c>
      <c r="P302" s="348">
        <f t="shared" si="226"/>
        <v>778.04</v>
      </c>
      <c r="Q302" s="348">
        <f t="shared" si="203"/>
        <v>758.48</v>
      </c>
      <c r="R302" s="348">
        <f t="shared" si="190"/>
        <v>134.16999999999999</v>
      </c>
      <c r="S302" s="348">
        <f t="shared" si="191"/>
        <v>188.55</v>
      </c>
      <c r="T302" s="348">
        <f t="shared" si="189"/>
        <v>1859.24</v>
      </c>
      <c r="U302" s="348">
        <f t="shared" si="227"/>
        <v>101702.87</v>
      </c>
      <c r="V302" s="348">
        <f t="shared" si="228"/>
        <v>273208.00999999983</v>
      </c>
      <c r="W302" s="348">
        <f t="shared" si="204"/>
        <v>129247.12999999998</v>
      </c>
      <c r="X302" s="522">
        <f t="shared" si="220"/>
        <v>53019</v>
      </c>
      <c r="Y302" s="348">
        <f t="shared" si="205"/>
        <v>147145.67999999973</v>
      </c>
      <c r="Z302" s="512">
        <f t="shared" si="213"/>
        <v>7.0000000000000007E-2</v>
      </c>
      <c r="AA302" s="348">
        <f t="shared" si="214"/>
        <v>1746.44</v>
      </c>
      <c r="AB302" s="348">
        <f t="shared" si="206"/>
        <v>888.09</v>
      </c>
      <c r="AC302" s="348">
        <f t="shared" si="215"/>
        <v>858.35</v>
      </c>
      <c r="AD302" s="348">
        <f t="shared" si="192"/>
        <v>134.16999999999999</v>
      </c>
      <c r="AE302" s="348">
        <f t="shared" si="193"/>
        <v>188.55</v>
      </c>
      <c r="AF302" s="348">
        <f t="shared" si="207"/>
        <v>2069.1600000000003</v>
      </c>
      <c r="AG302" s="348">
        <f t="shared" si="208"/>
        <v>129691.21000000004</v>
      </c>
      <c r="AH302" s="348">
        <f t="shared" si="209"/>
        <v>264622.14999999985</v>
      </c>
      <c r="AI302" s="531">
        <f t="shared" si="194"/>
        <v>-19402.479999999974</v>
      </c>
      <c r="AJ302" s="531">
        <f t="shared" si="229"/>
        <v>-17010.459999999759</v>
      </c>
      <c r="AK302" s="530">
        <f t="shared" si="195"/>
        <v>-36412.939999999733</v>
      </c>
      <c r="AL302" s="348">
        <f t="shared" si="210"/>
        <v>146257.58999999973</v>
      </c>
      <c r="AM302" s="429">
        <f t="shared" si="221"/>
        <v>20</v>
      </c>
      <c r="AN302" s="21">
        <f t="shared" si="196"/>
        <v>749.98</v>
      </c>
      <c r="AO302" s="21">
        <f t="shared" si="230"/>
        <v>122946.75999999992</v>
      </c>
      <c r="AP302" s="21">
        <f t="shared" si="197"/>
        <v>959.90000000000009</v>
      </c>
      <c r="AQ302" s="21"/>
      <c r="AR302" s="23"/>
      <c r="AS302" s="21">
        <f t="shared" si="216"/>
        <v>749.98</v>
      </c>
      <c r="AT302" s="21">
        <f t="shared" si="222"/>
        <v>182514.56000000049</v>
      </c>
      <c r="AU302" s="348">
        <f t="shared" si="223"/>
        <v>2000.694797174031</v>
      </c>
      <c r="AV302" s="348">
        <f t="shared" si="224"/>
        <v>371259.13394938339</v>
      </c>
    </row>
    <row r="303" spans="1:48" x14ac:dyDescent="0.25">
      <c r="A303" s="519">
        <f t="shared" si="198"/>
        <v>53049</v>
      </c>
      <c r="B303" s="287">
        <f t="shared" si="217"/>
        <v>51765.569999999978</v>
      </c>
      <c r="C303" s="14">
        <f t="shared" si="211"/>
        <v>786.54</v>
      </c>
      <c r="D303" s="14">
        <f t="shared" si="225"/>
        <v>657.13</v>
      </c>
      <c r="E303" s="14">
        <f t="shared" si="212"/>
        <v>129.41</v>
      </c>
      <c r="F303" s="14">
        <f t="shared" si="188"/>
        <v>134.16999999999999</v>
      </c>
      <c r="G303" s="14">
        <f t="shared" si="186"/>
        <v>188.55</v>
      </c>
      <c r="H303" s="14">
        <f t="shared" si="187"/>
        <v>1109.26</v>
      </c>
      <c r="I303" s="287">
        <f t="shared" si="199"/>
        <v>135915.95999999993</v>
      </c>
      <c r="J303" s="287">
        <f t="shared" si="200"/>
        <v>91860.499999999927</v>
      </c>
      <c r="K303" s="287">
        <f t="shared" si="201"/>
        <v>51108.439999999981</v>
      </c>
      <c r="L303" s="428">
        <f t="shared" ref="L303:L366" si="231">IF(MOD(M303,12)=0,M303/12,L302)</f>
        <v>20</v>
      </c>
      <c r="M303" s="428">
        <f t="shared" si="218"/>
        <v>244</v>
      </c>
      <c r="N303" s="287">
        <f t="shared" si="219"/>
        <v>129247.12999999998</v>
      </c>
      <c r="O303" s="287">
        <f t="shared" si="202"/>
        <v>1536.52</v>
      </c>
      <c r="P303" s="287">
        <f t="shared" si="226"/>
        <v>782.57999999999993</v>
      </c>
      <c r="Q303" s="287">
        <f t="shared" si="203"/>
        <v>753.94</v>
      </c>
      <c r="R303" s="287">
        <f t="shared" si="190"/>
        <v>134.16999999999999</v>
      </c>
      <c r="S303" s="287">
        <f t="shared" si="191"/>
        <v>188.55</v>
      </c>
      <c r="T303" s="287">
        <f t="shared" si="189"/>
        <v>1859.24</v>
      </c>
      <c r="U303" s="287">
        <f t="shared" si="227"/>
        <v>102485.45</v>
      </c>
      <c r="V303" s="287">
        <f t="shared" si="228"/>
        <v>273961.94999999984</v>
      </c>
      <c r="W303" s="287">
        <f t="shared" si="204"/>
        <v>128464.54999999997</v>
      </c>
      <c r="X303" s="519">
        <f t="shared" si="220"/>
        <v>53049</v>
      </c>
      <c r="Y303" s="287">
        <f t="shared" si="205"/>
        <v>146257.58999999973</v>
      </c>
      <c r="Z303" s="511">
        <f t="shared" si="213"/>
        <v>7.0000000000000007E-2</v>
      </c>
      <c r="AA303" s="287">
        <f t="shared" si="214"/>
        <v>1746.44</v>
      </c>
      <c r="AB303" s="287">
        <f t="shared" si="206"/>
        <v>893.2700000000001</v>
      </c>
      <c r="AC303" s="287">
        <f t="shared" si="215"/>
        <v>853.17</v>
      </c>
      <c r="AD303" s="287">
        <f t="shared" si="192"/>
        <v>134.16999999999999</v>
      </c>
      <c r="AE303" s="287">
        <f t="shared" si="193"/>
        <v>188.55</v>
      </c>
      <c r="AF303" s="287">
        <f t="shared" si="207"/>
        <v>2069.1600000000003</v>
      </c>
      <c r="AG303" s="287">
        <f t="shared" si="208"/>
        <v>130584.48000000004</v>
      </c>
      <c r="AH303" s="287">
        <f t="shared" si="209"/>
        <v>265475.31999999983</v>
      </c>
      <c r="AI303" s="530">
        <f t="shared" si="194"/>
        <v>-19612.399999999972</v>
      </c>
      <c r="AJ303" s="530">
        <f t="shared" si="229"/>
        <v>-16899.769999999771</v>
      </c>
      <c r="AK303" s="530">
        <f t="shared" si="195"/>
        <v>-36512.169999999744</v>
      </c>
      <c r="AL303" s="287">
        <f t="shared" si="210"/>
        <v>145364.31999999975</v>
      </c>
      <c r="AM303" s="428">
        <f t="shared" si="221"/>
        <v>20</v>
      </c>
      <c r="AN303" s="14">
        <f t="shared" si="196"/>
        <v>749.98</v>
      </c>
      <c r="AO303" s="14">
        <f t="shared" si="230"/>
        <v>122821.30999999992</v>
      </c>
      <c r="AP303" s="14">
        <f t="shared" si="197"/>
        <v>959.90000000000009</v>
      </c>
      <c r="AS303" s="14">
        <f t="shared" si="216"/>
        <v>749.98</v>
      </c>
      <c r="AT303" s="14">
        <f t="shared" si="222"/>
        <v>183264.5400000005</v>
      </c>
      <c r="AU303" s="287">
        <f t="shared" si="223"/>
        <v>2007.3637798312782</v>
      </c>
      <c r="AV303" s="287">
        <f t="shared" si="224"/>
        <v>373266.49772921467</v>
      </c>
    </row>
    <row r="304" spans="1:48" x14ac:dyDescent="0.25">
      <c r="A304" s="519">
        <f t="shared" si="198"/>
        <v>53079</v>
      </c>
      <c r="B304" s="287">
        <f t="shared" si="217"/>
        <v>51108.439999999981</v>
      </c>
      <c r="C304" s="14">
        <f t="shared" si="211"/>
        <v>786.54</v>
      </c>
      <c r="D304" s="14">
        <f t="shared" si="225"/>
        <v>658.77</v>
      </c>
      <c r="E304" s="14">
        <f t="shared" si="212"/>
        <v>127.77</v>
      </c>
      <c r="F304" s="14">
        <f t="shared" si="188"/>
        <v>134.16999999999999</v>
      </c>
      <c r="G304" s="14">
        <f t="shared" si="186"/>
        <v>188.55</v>
      </c>
      <c r="H304" s="14">
        <f t="shared" si="187"/>
        <v>1109.26</v>
      </c>
      <c r="I304" s="287">
        <f t="shared" si="199"/>
        <v>136574.72999999992</v>
      </c>
      <c r="J304" s="287">
        <f t="shared" si="200"/>
        <v>91988.269999999931</v>
      </c>
      <c r="K304" s="287">
        <f t="shared" si="201"/>
        <v>50449.669999999984</v>
      </c>
      <c r="L304" s="428">
        <f t="shared" si="231"/>
        <v>20</v>
      </c>
      <c r="M304" s="428">
        <f t="shared" si="218"/>
        <v>245</v>
      </c>
      <c r="N304" s="287">
        <f t="shared" si="219"/>
        <v>128464.54999999997</v>
      </c>
      <c r="O304" s="287">
        <f t="shared" si="202"/>
        <v>1536.52</v>
      </c>
      <c r="P304" s="287">
        <f t="shared" si="226"/>
        <v>787.14</v>
      </c>
      <c r="Q304" s="287">
        <f t="shared" si="203"/>
        <v>749.38</v>
      </c>
      <c r="R304" s="287">
        <f t="shared" si="190"/>
        <v>134.16999999999999</v>
      </c>
      <c r="S304" s="287">
        <f t="shared" si="191"/>
        <v>188.55</v>
      </c>
      <c r="T304" s="287">
        <f t="shared" si="189"/>
        <v>1859.24</v>
      </c>
      <c r="U304" s="287">
        <f t="shared" si="227"/>
        <v>103272.59</v>
      </c>
      <c r="V304" s="287">
        <f t="shared" si="228"/>
        <v>274711.32999999984</v>
      </c>
      <c r="W304" s="287">
        <f t="shared" si="204"/>
        <v>127677.40999999997</v>
      </c>
      <c r="X304" s="519">
        <f t="shared" si="220"/>
        <v>53079</v>
      </c>
      <c r="Y304" s="287">
        <f t="shared" si="205"/>
        <v>145364.31999999975</v>
      </c>
      <c r="Z304" s="511">
        <f t="shared" si="213"/>
        <v>7.0000000000000007E-2</v>
      </c>
      <c r="AA304" s="287">
        <f t="shared" si="214"/>
        <v>1746.44</v>
      </c>
      <c r="AB304" s="287">
        <f t="shared" si="206"/>
        <v>898.48</v>
      </c>
      <c r="AC304" s="287">
        <f t="shared" si="215"/>
        <v>847.96</v>
      </c>
      <c r="AD304" s="287">
        <f t="shared" si="192"/>
        <v>134.16999999999999</v>
      </c>
      <c r="AE304" s="287">
        <f t="shared" si="193"/>
        <v>188.55</v>
      </c>
      <c r="AF304" s="287">
        <f t="shared" si="207"/>
        <v>2069.1600000000003</v>
      </c>
      <c r="AG304" s="287">
        <f t="shared" si="208"/>
        <v>131482.96000000005</v>
      </c>
      <c r="AH304" s="287">
        <f t="shared" si="209"/>
        <v>266323.27999999985</v>
      </c>
      <c r="AI304" s="530">
        <f t="shared" si="194"/>
        <v>-19822.319999999971</v>
      </c>
      <c r="AJ304" s="530">
        <f t="shared" si="229"/>
        <v>-16788.42999999976</v>
      </c>
      <c r="AK304" s="530">
        <f t="shared" si="195"/>
        <v>-36610.749999999731</v>
      </c>
      <c r="AL304" s="287">
        <f t="shared" si="210"/>
        <v>144465.83999999973</v>
      </c>
      <c r="AM304" s="428">
        <f t="shared" si="221"/>
        <v>20</v>
      </c>
      <c r="AN304" s="14">
        <f t="shared" si="196"/>
        <v>749.98</v>
      </c>
      <c r="AO304" s="14">
        <f t="shared" si="230"/>
        <v>122692.93999999992</v>
      </c>
      <c r="AP304" s="14">
        <f t="shared" si="197"/>
        <v>959.90000000000009</v>
      </c>
      <c r="AS304" s="14">
        <f t="shared" si="216"/>
        <v>749.98</v>
      </c>
      <c r="AT304" s="14">
        <f t="shared" si="222"/>
        <v>184014.52000000051</v>
      </c>
      <c r="AU304" s="287">
        <f t="shared" si="223"/>
        <v>2014.0549924307154</v>
      </c>
      <c r="AV304" s="287">
        <f t="shared" si="224"/>
        <v>375280.55272164539</v>
      </c>
    </row>
    <row r="305" spans="1:48" x14ac:dyDescent="0.25">
      <c r="A305" s="519">
        <f t="shared" si="198"/>
        <v>53109</v>
      </c>
      <c r="B305" s="287">
        <f t="shared" si="217"/>
        <v>50449.669999999984</v>
      </c>
      <c r="C305" s="14">
        <f t="shared" si="211"/>
        <v>786.54</v>
      </c>
      <c r="D305" s="14">
        <f t="shared" si="225"/>
        <v>660.42</v>
      </c>
      <c r="E305" s="14">
        <f t="shared" si="212"/>
        <v>126.12</v>
      </c>
      <c r="F305" s="14">
        <f t="shared" si="188"/>
        <v>134.16999999999999</v>
      </c>
      <c r="G305" s="14">
        <f t="shared" si="186"/>
        <v>188.55</v>
      </c>
      <c r="H305" s="14">
        <f t="shared" si="187"/>
        <v>1109.26</v>
      </c>
      <c r="I305" s="287">
        <f t="shared" si="199"/>
        <v>137235.14999999994</v>
      </c>
      <c r="J305" s="287">
        <f t="shared" si="200"/>
        <v>92114.389999999927</v>
      </c>
      <c r="K305" s="287">
        <f t="shared" si="201"/>
        <v>49789.249999999985</v>
      </c>
      <c r="L305" s="428">
        <f t="shared" si="231"/>
        <v>20</v>
      </c>
      <c r="M305" s="428">
        <f t="shared" si="218"/>
        <v>246</v>
      </c>
      <c r="N305" s="287">
        <f t="shared" si="219"/>
        <v>127677.40999999997</v>
      </c>
      <c r="O305" s="287">
        <f t="shared" si="202"/>
        <v>1536.52</v>
      </c>
      <c r="P305" s="287">
        <f t="shared" si="226"/>
        <v>791.74</v>
      </c>
      <c r="Q305" s="287">
        <f t="shared" si="203"/>
        <v>744.78</v>
      </c>
      <c r="R305" s="287">
        <f t="shared" si="190"/>
        <v>134.16999999999999</v>
      </c>
      <c r="S305" s="287">
        <f t="shared" si="191"/>
        <v>188.55</v>
      </c>
      <c r="T305" s="287">
        <f t="shared" si="189"/>
        <v>1859.24</v>
      </c>
      <c r="U305" s="287">
        <f t="shared" si="227"/>
        <v>104064.33</v>
      </c>
      <c r="V305" s="287">
        <f t="shared" si="228"/>
        <v>275456.10999999987</v>
      </c>
      <c r="W305" s="287">
        <f t="shared" si="204"/>
        <v>126885.66999999997</v>
      </c>
      <c r="X305" s="519">
        <f t="shared" si="220"/>
        <v>53109</v>
      </c>
      <c r="Y305" s="287">
        <f t="shared" si="205"/>
        <v>144465.83999999973</v>
      </c>
      <c r="Z305" s="511">
        <f t="shared" si="213"/>
        <v>7.0000000000000007E-2</v>
      </c>
      <c r="AA305" s="287">
        <f t="shared" si="214"/>
        <v>1746.44</v>
      </c>
      <c r="AB305" s="287">
        <f t="shared" si="206"/>
        <v>903.72</v>
      </c>
      <c r="AC305" s="287">
        <f t="shared" si="215"/>
        <v>842.72</v>
      </c>
      <c r="AD305" s="287">
        <f t="shared" si="192"/>
        <v>134.16999999999999</v>
      </c>
      <c r="AE305" s="287">
        <f t="shared" si="193"/>
        <v>188.55</v>
      </c>
      <c r="AF305" s="287">
        <f t="shared" si="207"/>
        <v>2069.1600000000003</v>
      </c>
      <c r="AG305" s="287">
        <f t="shared" si="208"/>
        <v>132386.68000000005</v>
      </c>
      <c r="AH305" s="287">
        <f t="shared" si="209"/>
        <v>267165.99999999983</v>
      </c>
      <c r="AI305" s="530">
        <f t="shared" si="194"/>
        <v>-20032.239999999969</v>
      </c>
      <c r="AJ305" s="530">
        <f t="shared" si="229"/>
        <v>-16676.449999999764</v>
      </c>
      <c r="AK305" s="530">
        <f t="shared" si="195"/>
        <v>-36708.689999999733</v>
      </c>
      <c r="AL305" s="287">
        <f t="shared" si="210"/>
        <v>143562.11999999973</v>
      </c>
      <c r="AM305" s="428">
        <f t="shared" si="221"/>
        <v>20</v>
      </c>
      <c r="AN305" s="14">
        <f t="shared" si="196"/>
        <v>749.98</v>
      </c>
      <c r="AO305" s="14">
        <f t="shared" si="230"/>
        <v>122561.61999999992</v>
      </c>
      <c r="AP305" s="14">
        <f t="shared" si="197"/>
        <v>959.90000000000009</v>
      </c>
      <c r="AS305" s="14">
        <f t="shared" si="216"/>
        <v>749.98</v>
      </c>
      <c r="AT305" s="14">
        <f t="shared" si="222"/>
        <v>184764.50000000052</v>
      </c>
      <c r="AU305" s="287">
        <f t="shared" si="223"/>
        <v>2020.7685090721516</v>
      </c>
      <c r="AV305" s="287">
        <f t="shared" si="224"/>
        <v>377301.32123071753</v>
      </c>
    </row>
    <row r="306" spans="1:48" x14ac:dyDescent="0.25">
      <c r="A306" s="519">
        <f t="shared" si="198"/>
        <v>53139</v>
      </c>
      <c r="B306" s="287">
        <f t="shared" si="217"/>
        <v>49789.249999999985</v>
      </c>
      <c r="C306" s="14">
        <f t="shared" si="211"/>
        <v>786.54</v>
      </c>
      <c r="D306" s="14">
        <f t="shared" si="225"/>
        <v>662.06999999999994</v>
      </c>
      <c r="E306" s="14">
        <f t="shared" si="212"/>
        <v>124.47</v>
      </c>
      <c r="F306" s="14">
        <f t="shared" si="188"/>
        <v>134.16999999999999</v>
      </c>
      <c r="G306" s="14">
        <f t="shared" si="186"/>
        <v>188.55</v>
      </c>
      <c r="H306" s="14">
        <f t="shared" si="187"/>
        <v>1109.26</v>
      </c>
      <c r="I306" s="287">
        <f t="shared" si="199"/>
        <v>137897.21999999994</v>
      </c>
      <c r="J306" s="287">
        <f t="shared" si="200"/>
        <v>92238.859999999928</v>
      </c>
      <c r="K306" s="287">
        <f t="shared" si="201"/>
        <v>49127.179999999986</v>
      </c>
      <c r="L306" s="428">
        <f t="shared" si="231"/>
        <v>20</v>
      </c>
      <c r="M306" s="428">
        <f t="shared" si="218"/>
        <v>247</v>
      </c>
      <c r="N306" s="287">
        <f t="shared" si="219"/>
        <v>126885.66999999997</v>
      </c>
      <c r="O306" s="287">
        <f t="shared" si="202"/>
        <v>1536.52</v>
      </c>
      <c r="P306" s="287">
        <f t="shared" si="226"/>
        <v>796.35</v>
      </c>
      <c r="Q306" s="287">
        <f t="shared" si="203"/>
        <v>740.17</v>
      </c>
      <c r="R306" s="287">
        <f t="shared" si="190"/>
        <v>134.16999999999999</v>
      </c>
      <c r="S306" s="287">
        <f t="shared" si="191"/>
        <v>188.55</v>
      </c>
      <c r="T306" s="287">
        <f t="shared" si="189"/>
        <v>1859.24</v>
      </c>
      <c r="U306" s="287">
        <f t="shared" si="227"/>
        <v>104860.68000000001</v>
      </c>
      <c r="V306" s="287">
        <f t="shared" si="228"/>
        <v>276196.27999999985</v>
      </c>
      <c r="W306" s="287">
        <f t="shared" si="204"/>
        <v>126089.31999999996</v>
      </c>
      <c r="X306" s="519">
        <f t="shared" si="220"/>
        <v>53139</v>
      </c>
      <c r="Y306" s="287">
        <f t="shared" si="205"/>
        <v>143562.11999999973</v>
      </c>
      <c r="Z306" s="511">
        <f t="shared" si="213"/>
        <v>7.0000000000000007E-2</v>
      </c>
      <c r="AA306" s="287">
        <f t="shared" si="214"/>
        <v>1746.44</v>
      </c>
      <c r="AB306" s="287">
        <f t="shared" si="206"/>
        <v>908.99</v>
      </c>
      <c r="AC306" s="287">
        <f t="shared" si="215"/>
        <v>837.45</v>
      </c>
      <c r="AD306" s="287">
        <f t="shared" si="192"/>
        <v>134.16999999999999</v>
      </c>
      <c r="AE306" s="287">
        <f t="shared" si="193"/>
        <v>188.55</v>
      </c>
      <c r="AF306" s="287">
        <f t="shared" si="207"/>
        <v>2069.1600000000003</v>
      </c>
      <c r="AG306" s="287">
        <f t="shared" si="208"/>
        <v>133295.67000000004</v>
      </c>
      <c r="AH306" s="287">
        <f t="shared" si="209"/>
        <v>268003.44999999984</v>
      </c>
      <c r="AI306" s="530">
        <f t="shared" si="194"/>
        <v>-20242.159999999967</v>
      </c>
      <c r="AJ306" s="530">
        <f t="shared" si="229"/>
        <v>-16563.809999999779</v>
      </c>
      <c r="AK306" s="530">
        <f t="shared" si="195"/>
        <v>-36805.969999999747</v>
      </c>
      <c r="AL306" s="287">
        <f t="shared" si="210"/>
        <v>142653.12999999974</v>
      </c>
      <c r="AM306" s="428">
        <f t="shared" si="221"/>
        <v>20</v>
      </c>
      <c r="AN306" s="14">
        <f t="shared" si="196"/>
        <v>749.98</v>
      </c>
      <c r="AO306" s="14">
        <f t="shared" si="230"/>
        <v>122427.33999999992</v>
      </c>
      <c r="AP306" s="14">
        <f t="shared" si="197"/>
        <v>959.90000000000009</v>
      </c>
      <c r="AS306" s="14">
        <f t="shared" si="216"/>
        <v>749.98</v>
      </c>
      <c r="AT306" s="14">
        <f t="shared" si="222"/>
        <v>185514.48000000053</v>
      </c>
      <c r="AU306" s="287">
        <f t="shared" si="223"/>
        <v>2027.5044041023914</v>
      </c>
      <c r="AV306" s="287">
        <f t="shared" si="224"/>
        <v>379328.82563481992</v>
      </c>
    </row>
    <row r="307" spans="1:48" x14ac:dyDescent="0.25">
      <c r="A307" s="519">
        <f t="shared" si="198"/>
        <v>53169</v>
      </c>
      <c r="B307" s="287">
        <f t="shared" si="217"/>
        <v>49127.179999999986</v>
      </c>
      <c r="C307" s="14">
        <f t="shared" si="211"/>
        <v>786.54</v>
      </c>
      <c r="D307" s="14">
        <f t="shared" si="225"/>
        <v>663.72</v>
      </c>
      <c r="E307" s="14">
        <f t="shared" si="212"/>
        <v>122.82</v>
      </c>
      <c r="F307" s="14">
        <f t="shared" si="188"/>
        <v>134.16999999999999</v>
      </c>
      <c r="G307" s="14">
        <f t="shared" si="186"/>
        <v>188.55</v>
      </c>
      <c r="H307" s="14">
        <f t="shared" si="187"/>
        <v>1109.26</v>
      </c>
      <c r="I307" s="287">
        <f t="shared" si="199"/>
        <v>138560.93999999994</v>
      </c>
      <c r="J307" s="287">
        <f t="shared" si="200"/>
        <v>92361.679999999935</v>
      </c>
      <c r="K307" s="287">
        <f t="shared" si="201"/>
        <v>48463.459999999985</v>
      </c>
      <c r="L307" s="428">
        <f t="shared" si="231"/>
        <v>20</v>
      </c>
      <c r="M307" s="428">
        <f t="shared" si="218"/>
        <v>248</v>
      </c>
      <c r="N307" s="287">
        <f t="shared" si="219"/>
        <v>126089.31999999996</v>
      </c>
      <c r="O307" s="287">
        <f t="shared" si="202"/>
        <v>1536.52</v>
      </c>
      <c r="P307" s="287">
        <f t="shared" si="226"/>
        <v>801</v>
      </c>
      <c r="Q307" s="287">
        <f t="shared" si="203"/>
        <v>735.52</v>
      </c>
      <c r="R307" s="287">
        <f t="shared" si="190"/>
        <v>134.16999999999999</v>
      </c>
      <c r="S307" s="287">
        <f t="shared" si="191"/>
        <v>188.55</v>
      </c>
      <c r="T307" s="287">
        <f t="shared" si="189"/>
        <v>1859.24</v>
      </c>
      <c r="U307" s="287">
        <f t="shared" si="227"/>
        <v>105661.68000000001</v>
      </c>
      <c r="V307" s="287">
        <f t="shared" si="228"/>
        <v>276931.79999999987</v>
      </c>
      <c r="W307" s="287">
        <f t="shared" si="204"/>
        <v>125288.31999999996</v>
      </c>
      <c r="X307" s="519">
        <f t="shared" si="220"/>
        <v>53169</v>
      </c>
      <c r="Y307" s="287">
        <f t="shared" si="205"/>
        <v>142653.12999999974</v>
      </c>
      <c r="Z307" s="511">
        <f t="shared" si="213"/>
        <v>7.0000000000000007E-2</v>
      </c>
      <c r="AA307" s="287">
        <f t="shared" si="214"/>
        <v>1746.44</v>
      </c>
      <c r="AB307" s="287">
        <f t="shared" si="206"/>
        <v>914.30000000000007</v>
      </c>
      <c r="AC307" s="287">
        <f t="shared" si="215"/>
        <v>832.14</v>
      </c>
      <c r="AD307" s="287">
        <f t="shared" si="192"/>
        <v>134.16999999999999</v>
      </c>
      <c r="AE307" s="287">
        <f t="shared" si="193"/>
        <v>188.55</v>
      </c>
      <c r="AF307" s="287">
        <f t="shared" si="207"/>
        <v>2069.1600000000003</v>
      </c>
      <c r="AG307" s="287">
        <f t="shared" si="208"/>
        <v>134209.97000000003</v>
      </c>
      <c r="AH307" s="287">
        <f t="shared" si="209"/>
        <v>268835.58999999985</v>
      </c>
      <c r="AI307" s="530">
        <f t="shared" si="194"/>
        <v>-20452.079999999965</v>
      </c>
      <c r="AJ307" s="530">
        <f t="shared" si="229"/>
        <v>-16450.509999999791</v>
      </c>
      <c r="AK307" s="530">
        <f t="shared" si="195"/>
        <v>-36902.589999999756</v>
      </c>
      <c r="AL307" s="287">
        <f t="shared" si="210"/>
        <v>141738.82999999975</v>
      </c>
      <c r="AM307" s="428">
        <f t="shared" si="221"/>
        <v>20</v>
      </c>
      <c r="AN307" s="14">
        <f t="shared" si="196"/>
        <v>749.98</v>
      </c>
      <c r="AO307" s="14">
        <f t="shared" si="230"/>
        <v>122290.05999999992</v>
      </c>
      <c r="AP307" s="14">
        <f t="shared" si="197"/>
        <v>959.90000000000009</v>
      </c>
      <c r="AS307" s="14">
        <f t="shared" si="216"/>
        <v>749.98</v>
      </c>
      <c r="AT307" s="14">
        <f t="shared" si="222"/>
        <v>186264.46000000054</v>
      </c>
      <c r="AU307" s="287">
        <f t="shared" si="223"/>
        <v>2034.2627521160664</v>
      </c>
      <c r="AV307" s="287">
        <f t="shared" si="224"/>
        <v>381363.088386936</v>
      </c>
    </row>
    <row r="308" spans="1:48" x14ac:dyDescent="0.25">
      <c r="A308" s="519">
        <f t="shared" si="198"/>
        <v>53199</v>
      </c>
      <c r="B308" s="287">
        <f t="shared" si="217"/>
        <v>48463.459999999985</v>
      </c>
      <c r="C308" s="14">
        <f t="shared" si="211"/>
        <v>786.54</v>
      </c>
      <c r="D308" s="14">
        <f t="shared" si="225"/>
        <v>665.38</v>
      </c>
      <c r="E308" s="14">
        <f t="shared" si="212"/>
        <v>121.16</v>
      </c>
      <c r="F308" s="14">
        <f t="shared" si="188"/>
        <v>134.16999999999999</v>
      </c>
      <c r="G308" s="14">
        <f t="shared" si="186"/>
        <v>188.55</v>
      </c>
      <c r="H308" s="14">
        <f t="shared" si="187"/>
        <v>1109.26</v>
      </c>
      <c r="I308" s="287">
        <f t="shared" si="199"/>
        <v>139226.31999999995</v>
      </c>
      <c r="J308" s="287">
        <f t="shared" si="200"/>
        <v>92482.839999999938</v>
      </c>
      <c r="K308" s="287">
        <f t="shared" si="201"/>
        <v>47798.079999999987</v>
      </c>
      <c r="L308" s="428">
        <f t="shared" si="231"/>
        <v>20</v>
      </c>
      <c r="M308" s="428">
        <f t="shared" si="218"/>
        <v>249</v>
      </c>
      <c r="N308" s="287">
        <f t="shared" si="219"/>
        <v>125288.31999999996</v>
      </c>
      <c r="O308" s="287">
        <f t="shared" si="202"/>
        <v>1536.52</v>
      </c>
      <c r="P308" s="287">
        <f t="shared" si="226"/>
        <v>805.67</v>
      </c>
      <c r="Q308" s="287">
        <f t="shared" si="203"/>
        <v>730.85</v>
      </c>
      <c r="R308" s="287">
        <f t="shared" si="190"/>
        <v>134.16999999999999</v>
      </c>
      <c r="S308" s="287">
        <f t="shared" si="191"/>
        <v>188.55</v>
      </c>
      <c r="T308" s="287">
        <f t="shared" si="189"/>
        <v>1859.24</v>
      </c>
      <c r="U308" s="287">
        <f t="shared" si="227"/>
        <v>106467.35</v>
      </c>
      <c r="V308" s="287">
        <f t="shared" si="228"/>
        <v>277662.64999999985</v>
      </c>
      <c r="W308" s="287">
        <f t="shared" si="204"/>
        <v>124482.64999999997</v>
      </c>
      <c r="X308" s="519">
        <f t="shared" si="220"/>
        <v>53199</v>
      </c>
      <c r="Y308" s="287">
        <f t="shared" si="205"/>
        <v>141738.82999999975</v>
      </c>
      <c r="Z308" s="511">
        <f t="shared" si="213"/>
        <v>7.0000000000000007E-2</v>
      </c>
      <c r="AA308" s="287">
        <f t="shared" si="214"/>
        <v>1746.44</v>
      </c>
      <c r="AB308" s="287">
        <f t="shared" si="206"/>
        <v>919.63000000000011</v>
      </c>
      <c r="AC308" s="287">
        <f t="shared" si="215"/>
        <v>826.81</v>
      </c>
      <c r="AD308" s="287">
        <f t="shared" si="192"/>
        <v>134.16999999999999</v>
      </c>
      <c r="AE308" s="287">
        <f t="shared" si="193"/>
        <v>188.55</v>
      </c>
      <c r="AF308" s="287">
        <f t="shared" si="207"/>
        <v>2069.1600000000003</v>
      </c>
      <c r="AG308" s="287">
        <f t="shared" si="208"/>
        <v>135129.60000000003</v>
      </c>
      <c r="AH308" s="287">
        <f t="shared" si="209"/>
        <v>269662.39999999985</v>
      </c>
      <c r="AI308" s="530">
        <f t="shared" si="194"/>
        <v>-20661.999999999964</v>
      </c>
      <c r="AJ308" s="530">
        <f t="shared" si="229"/>
        <v>-16336.549999999785</v>
      </c>
      <c r="AK308" s="530">
        <f t="shared" si="195"/>
        <v>-36998.549999999748</v>
      </c>
      <c r="AL308" s="287">
        <f t="shared" si="210"/>
        <v>140819.19999999975</v>
      </c>
      <c r="AM308" s="428">
        <f t="shared" si="221"/>
        <v>20</v>
      </c>
      <c r="AN308" s="14">
        <f t="shared" si="196"/>
        <v>749.98</v>
      </c>
      <c r="AO308" s="14">
        <f t="shared" si="230"/>
        <v>122149.76999999993</v>
      </c>
      <c r="AP308" s="14">
        <f t="shared" si="197"/>
        <v>959.90000000000009</v>
      </c>
      <c r="AS308" s="14">
        <f t="shared" si="216"/>
        <v>749.98</v>
      </c>
      <c r="AT308" s="14">
        <f t="shared" si="222"/>
        <v>187014.44000000056</v>
      </c>
      <c r="AU308" s="287">
        <f t="shared" si="223"/>
        <v>2041.0436279564535</v>
      </c>
      <c r="AV308" s="287">
        <f t="shared" si="224"/>
        <v>383404.13201489247</v>
      </c>
    </row>
    <row r="309" spans="1:48" x14ac:dyDescent="0.25">
      <c r="A309" s="519">
        <f t="shared" si="198"/>
        <v>53229</v>
      </c>
      <c r="B309" s="287">
        <f t="shared" si="217"/>
        <v>47798.079999999987</v>
      </c>
      <c r="C309" s="14">
        <f t="shared" si="211"/>
        <v>786.54</v>
      </c>
      <c r="D309" s="14">
        <f t="shared" si="225"/>
        <v>667.04</v>
      </c>
      <c r="E309" s="14">
        <f t="shared" si="212"/>
        <v>119.5</v>
      </c>
      <c r="F309" s="14">
        <f t="shared" si="188"/>
        <v>134.16999999999999</v>
      </c>
      <c r="G309" s="14">
        <f t="shared" si="186"/>
        <v>188.55</v>
      </c>
      <c r="H309" s="14">
        <f t="shared" si="187"/>
        <v>1109.26</v>
      </c>
      <c r="I309" s="287">
        <f t="shared" si="199"/>
        <v>139893.35999999996</v>
      </c>
      <c r="J309" s="287">
        <f t="shared" si="200"/>
        <v>92602.339999999938</v>
      </c>
      <c r="K309" s="287">
        <f t="shared" si="201"/>
        <v>47131.039999999986</v>
      </c>
      <c r="L309" s="428">
        <f t="shared" si="231"/>
        <v>20</v>
      </c>
      <c r="M309" s="428">
        <f t="shared" si="218"/>
        <v>250</v>
      </c>
      <c r="N309" s="287">
        <f t="shared" si="219"/>
        <v>124482.64999999997</v>
      </c>
      <c r="O309" s="287">
        <f t="shared" si="202"/>
        <v>1536.52</v>
      </c>
      <c r="P309" s="287">
        <f t="shared" si="226"/>
        <v>810.37</v>
      </c>
      <c r="Q309" s="287">
        <f t="shared" si="203"/>
        <v>726.15</v>
      </c>
      <c r="R309" s="287">
        <f t="shared" si="190"/>
        <v>134.16999999999999</v>
      </c>
      <c r="S309" s="287">
        <f t="shared" si="191"/>
        <v>188.55</v>
      </c>
      <c r="T309" s="287">
        <f t="shared" si="189"/>
        <v>1859.24</v>
      </c>
      <c r="U309" s="287">
        <f t="shared" si="227"/>
        <v>107277.72</v>
      </c>
      <c r="V309" s="287">
        <f t="shared" si="228"/>
        <v>278388.79999999987</v>
      </c>
      <c r="W309" s="287">
        <f t="shared" si="204"/>
        <v>123672.27999999997</v>
      </c>
      <c r="X309" s="519">
        <f t="shared" si="220"/>
        <v>53229</v>
      </c>
      <c r="Y309" s="287">
        <f t="shared" si="205"/>
        <v>140819.19999999975</v>
      </c>
      <c r="Z309" s="511">
        <f t="shared" si="213"/>
        <v>7.0000000000000007E-2</v>
      </c>
      <c r="AA309" s="287">
        <f t="shared" si="214"/>
        <v>1746.44</v>
      </c>
      <c r="AB309" s="287">
        <f t="shared" si="206"/>
        <v>924.99</v>
      </c>
      <c r="AC309" s="287">
        <f t="shared" si="215"/>
        <v>821.45</v>
      </c>
      <c r="AD309" s="287">
        <f t="shared" si="192"/>
        <v>134.16999999999999</v>
      </c>
      <c r="AE309" s="287">
        <f t="shared" si="193"/>
        <v>188.55</v>
      </c>
      <c r="AF309" s="287">
        <f t="shared" si="207"/>
        <v>2069.1600000000003</v>
      </c>
      <c r="AG309" s="287">
        <f t="shared" si="208"/>
        <v>136054.59000000003</v>
      </c>
      <c r="AH309" s="287">
        <f t="shared" si="209"/>
        <v>270483.84999999986</v>
      </c>
      <c r="AI309" s="530">
        <f t="shared" si="194"/>
        <v>-20871.919999999962</v>
      </c>
      <c r="AJ309" s="530">
        <f t="shared" si="229"/>
        <v>-16221.929999999789</v>
      </c>
      <c r="AK309" s="530">
        <f t="shared" si="195"/>
        <v>-37093.849999999751</v>
      </c>
      <c r="AL309" s="287">
        <f t="shared" si="210"/>
        <v>139894.20999999976</v>
      </c>
      <c r="AM309" s="428">
        <f t="shared" si="221"/>
        <v>20</v>
      </c>
      <c r="AN309" s="14">
        <f t="shared" si="196"/>
        <v>749.98</v>
      </c>
      <c r="AO309" s="14">
        <f t="shared" si="230"/>
        <v>122006.43999999994</v>
      </c>
      <c r="AP309" s="14">
        <f t="shared" si="197"/>
        <v>959.90000000000009</v>
      </c>
      <c r="AS309" s="14">
        <f t="shared" si="216"/>
        <v>749.98</v>
      </c>
      <c r="AT309" s="14">
        <f t="shared" si="222"/>
        <v>187764.42000000057</v>
      </c>
      <c r="AU309" s="287">
        <f t="shared" si="223"/>
        <v>2047.8471067163084</v>
      </c>
      <c r="AV309" s="287">
        <f t="shared" si="224"/>
        <v>385451.97912160878</v>
      </c>
    </row>
    <row r="310" spans="1:48" x14ac:dyDescent="0.25">
      <c r="A310" s="519">
        <f t="shared" si="198"/>
        <v>53259</v>
      </c>
      <c r="B310" s="287">
        <f t="shared" si="217"/>
        <v>47131.039999999986</v>
      </c>
      <c r="C310" s="14">
        <f t="shared" si="211"/>
        <v>786.54</v>
      </c>
      <c r="D310" s="14">
        <f t="shared" si="225"/>
        <v>668.70999999999992</v>
      </c>
      <c r="E310" s="14">
        <f t="shared" si="212"/>
        <v>117.83</v>
      </c>
      <c r="F310" s="14">
        <f t="shared" si="188"/>
        <v>134.16999999999999</v>
      </c>
      <c r="G310" s="14">
        <f t="shared" si="186"/>
        <v>188.55</v>
      </c>
      <c r="H310" s="14">
        <f t="shared" si="187"/>
        <v>1109.26</v>
      </c>
      <c r="I310" s="287">
        <f t="shared" si="199"/>
        <v>140562.06999999995</v>
      </c>
      <c r="J310" s="287">
        <f t="shared" si="200"/>
        <v>92720.16999999994</v>
      </c>
      <c r="K310" s="287">
        <f t="shared" si="201"/>
        <v>46462.329999999987</v>
      </c>
      <c r="L310" s="428">
        <f t="shared" si="231"/>
        <v>20</v>
      </c>
      <c r="M310" s="428">
        <f t="shared" si="218"/>
        <v>251</v>
      </c>
      <c r="N310" s="287">
        <f t="shared" si="219"/>
        <v>123672.27999999997</v>
      </c>
      <c r="O310" s="287">
        <f t="shared" si="202"/>
        <v>1536.52</v>
      </c>
      <c r="P310" s="287">
        <f t="shared" si="226"/>
        <v>815.1</v>
      </c>
      <c r="Q310" s="287">
        <f t="shared" si="203"/>
        <v>721.42</v>
      </c>
      <c r="R310" s="287">
        <f t="shared" si="190"/>
        <v>134.16999999999999</v>
      </c>
      <c r="S310" s="287">
        <f t="shared" si="191"/>
        <v>188.55</v>
      </c>
      <c r="T310" s="287">
        <f t="shared" si="189"/>
        <v>1859.24</v>
      </c>
      <c r="U310" s="287">
        <f t="shared" si="227"/>
        <v>108092.82</v>
      </c>
      <c r="V310" s="287">
        <f t="shared" si="228"/>
        <v>279110.21999999986</v>
      </c>
      <c r="W310" s="287">
        <f t="shared" si="204"/>
        <v>122857.17999999996</v>
      </c>
      <c r="X310" s="519">
        <f t="shared" si="220"/>
        <v>53259</v>
      </c>
      <c r="Y310" s="287">
        <f t="shared" si="205"/>
        <v>139894.20999999976</v>
      </c>
      <c r="Z310" s="511">
        <f t="shared" si="213"/>
        <v>7.0000000000000007E-2</v>
      </c>
      <c r="AA310" s="287">
        <f t="shared" si="214"/>
        <v>1746.44</v>
      </c>
      <c r="AB310" s="287">
        <f t="shared" si="206"/>
        <v>930.3900000000001</v>
      </c>
      <c r="AC310" s="287">
        <f t="shared" si="215"/>
        <v>816.05</v>
      </c>
      <c r="AD310" s="287">
        <f t="shared" si="192"/>
        <v>134.16999999999999</v>
      </c>
      <c r="AE310" s="287">
        <f t="shared" si="193"/>
        <v>188.55</v>
      </c>
      <c r="AF310" s="287">
        <f t="shared" si="207"/>
        <v>2069.1600000000003</v>
      </c>
      <c r="AG310" s="287">
        <f t="shared" si="208"/>
        <v>136984.98000000004</v>
      </c>
      <c r="AH310" s="287">
        <f t="shared" si="209"/>
        <v>271299.89999999985</v>
      </c>
      <c r="AI310" s="530">
        <f t="shared" si="194"/>
        <v>-21081.83999999996</v>
      </c>
      <c r="AJ310" s="530">
        <f t="shared" si="229"/>
        <v>-16106.639999999781</v>
      </c>
      <c r="AK310" s="530">
        <f t="shared" si="195"/>
        <v>-37188.479999999741</v>
      </c>
      <c r="AL310" s="287">
        <f t="shared" si="210"/>
        <v>138963.81999999975</v>
      </c>
      <c r="AM310" s="428">
        <f t="shared" si="221"/>
        <v>20</v>
      </c>
      <c r="AN310" s="14">
        <f t="shared" si="196"/>
        <v>749.98</v>
      </c>
      <c r="AO310" s="14">
        <f t="shared" si="230"/>
        <v>121860.04999999993</v>
      </c>
      <c r="AP310" s="14">
        <f t="shared" si="197"/>
        <v>959.90000000000009</v>
      </c>
      <c r="AS310" s="14">
        <f t="shared" si="216"/>
        <v>749.98</v>
      </c>
      <c r="AT310" s="14">
        <f t="shared" si="222"/>
        <v>188514.40000000058</v>
      </c>
      <c r="AU310" s="287">
        <f t="shared" si="223"/>
        <v>2054.6732637386958</v>
      </c>
      <c r="AV310" s="287">
        <f t="shared" si="224"/>
        <v>387506.65238534746</v>
      </c>
    </row>
    <row r="311" spans="1:48" x14ac:dyDescent="0.25">
      <c r="A311" s="519">
        <f t="shared" si="198"/>
        <v>53289</v>
      </c>
      <c r="B311" s="287">
        <f t="shared" si="217"/>
        <v>46462.329999999987</v>
      </c>
      <c r="C311" s="14">
        <f t="shared" si="211"/>
        <v>786.54</v>
      </c>
      <c r="D311" s="14">
        <f t="shared" si="225"/>
        <v>670.38</v>
      </c>
      <c r="E311" s="14">
        <f t="shared" si="212"/>
        <v>116.16</v>
      </c>
      <c r="F311" s="14">
        <f t="shared" si="188"/>
        <v>134.16999999999999</v>
      </c>
      <c r="G311" s="14">
        <f t="shared" si="186"/>
        <v>188.55</v>
      </c>
      <c r="H311" s="14">
        <f t="shared" si="187"/>
        <v>1109.26</v>
      </c>
      <c r="I311" s="287">
        <f t="shared" si="199"/>
        <v>141232.44999999995</v>
      </c>
      <c r="J311" s="287">
        <f t="shared" si="200"/>
        <v>92836.329999999944</v>
      </c>
      <c r="K311" s="287">
        <f t="shared" si="201"/>
        <v>45791.94999999999</v>
      </c>
      <c r="L311" s="428">
        <f t="shared" si="231"/>
        <v>21</v>
      </c>
      <c r="M311" s="428">
        <f t="shared" si="218"/>
        <v>252</v>
      </c>
      <c r="N311" s="287">
        <f t="shared" si="219"/>
        <v>122857.17999999996</v>
      </c>
      <c r="O311" s="287">
        <f t="shared" si="202"/>
        <v>1536.52</v>
      </c>
      <c r="P311" s="287">
        <f t="shared" si="226"/>
        <v>819.85</v>
      </c>
      <c r="Q311" s="287">
        <f t="shared" si="203"/>
        <v>716.67</v>
      </c>
      <c r="R311" s="287">
        <f t="shared" si="190"/>
        <v>134.16999999999999</v>
      </c>
      <c r="S311" s="287">
        <f t="shared" si="191"/>
        <v>188.55</v>
      </c>
      <c r="T311" s="287">
        <f t="shared" si="189"/>
        <v>1859.24</v>
      </c>
      <c r="U311" s="287">
        <f t="shared" si="227"/>
        <v>108912.67000000001</v>
      </c>
      <c r="V311" s="287">
        <f t="shared" si="228"/>
        <v>279826.88999999984</v>
      </c>
      <c r="W311" s="287">
        <f t="shared" si="204"/>
        <v>122037.32999999996</v>
      </c>
      <c r="X311" s="519">
        <f t="shared" si="220"/>
        <v>53289</v>
      </c>
      <c r="Y311" s="287">
        <f t="shared" si="205"/>
        <v>138963.81999999975</v>
      </c>
      <c r="Z311" s="511">
        <f t="shared" si="213"/>
        <v>7.0000000000000007E-2</v>
      </c>
      <c r="AA311" s="287">
        <f t="shared" si="214"/>
        <v>1746.44</v>
      </c>
      <c r="AB311" s="287">
        <f t="shared" si="206"/>
        <v>935.82</v>
      </c>
      <c r="AC311" s="287">
        <f t="shared" si="215"/>
        <v>810.62</v>
      </c>
      <c r="AD311" s="287">
        <f t="shared" si="192"/>
        <v>134.16999999999999</v>
      </c>
      <c r="AE311" s="287">
        <f t="shared" si="193"/>
        <v>188.55</v>
      </c>
      <c r="AF311" s="287">
        <f t="shared" si="207"/>
        <v>2069.1600000000003</v>
      </c>
      <c r="AG311" s="287">
        <f t="shared" si="208"/>
        <v>137920.80000000005</v>
      </c>
      <c r="AH311" s="287">
        <f t="shared" si="209"/>
        <v>272110.51999999984</v>
      </c>
      <c r="AI311" s="530">
        <f t="shared" si="194"/>
        <v>-21291.759999999958</v>
      </c>
      <c r="AJ311" s="530">
        <f t="shared" si="229"/>
        <v>-15990.66999999978</v>
      </c>
      <c r="AK311" s="530">
        <f t="shared" si="195"/>
        <v>-37282.429999999738</v>
      </c>
      <c r="AL311" s="287">
        <f t="shared" si="210"/>
        <v>138027.99999999974</v>
      </c>
      <c r="AM311" s="428">
        <f t="shared" si="221"/>
        <v>21</v>
      </c>
      <c r="AN311" s="14">
        <f t="shared" si="196"/>
        <v>749.98</v>
      </c>
      <c r="AO311" s="14">
        <f t="shared" si="230"/>
        <v>121710.57999999993</v>
      </c>
      <c r="AP311" s="14">
        <f t="shared" si="197"/>
        <v>959.90000000000009</v>
      </c>
      <c r="AS311" s="14">
        <f t="shared" si="216"/>
        <v>749.98</v>
      </c>
      <c r="AT311" s="14">
        <f t="shared" si="222"/>
        <v>189264.38000000059</v>
      </c>
      <c r="AU311" s="287">
        <f t="shared" si="223"/>
        <v>2061.5221746178254</v>
      </c>
      <c r="AV311" s="287">
        <f t="shared" si="224"/>
        <v>389568.17455996526</v>
      </c>
    </row>
    <row r="312" spans="1:48" x14ac:dyDescent="0.25">
      <c r="A312" s="519">
        <f t="shared" si="198"/>
        <v>53319</v>
      </c>
      <c r="B312" s="287">
        <f t="shared" si="217"/>
        <v>45791.94999999999</v>
      </c>
      <c r="C312" s="14">
        <f t="shared" si="211"/>
        <v>786.54</v>
      </c>
      <c r="D312" s="14">
        <f t="shared" si="225"/>
        <v>672.06</v>
      </c>
      <c r="E312" s="14">
        <f t="shared" si="212"/>
        <v>114.48</v>
      </c>
      <c r="F312" s="14">
        <f t="shared" si="188"/>
        <v>134.16999999999999</v>
      </c>
      <c r="G312" s="14">
        <f t="shared" si="186"/>
        <v>188.55</v>
      </c>
      <c r="H312" s="14">
        <f t="shared" si="187"/>
        <v>1109.26</v>
      </c>
      <c r="I312" s="287">
        <f t="shared" si="199"/>
        <v>141904.50999999995</v>
      </c>
      <c r="J312" s="287">
        <f t="shared" si="200"/>
        <v>92950.809999999939</v>
      </c>
      <c r="K312" s="287">
        <f t="shared" si="201"/>
        <v>45119.889999999992</v>
      </c>
      <c r="L312" s="428">
        <f t="shared" si="231"/>
        <v>21</v>
      </c>
      <c r="M312" s="428">
        <f t="shared" si="218"/>
        <v>253</v>
      </c>
      <c r="N312" s="287">
        <f t="shared" si="219"/>
        <v>122037.32999999996</v>
      </c>
      <c r="O312" s="287">
        <f t="shared" si="202"/>
        <v>1536.52</v>
      </c>
      <c r="P312" s="287">
        <f t="shared" si="226"/>
        <v>824.64</v>
      </c>
      <c r="Q312" s="287">
        <f t="shared" si="203"/>
        <v>711.88</v>
      </c>
      <c r="R312" s="287">
        <f t="shared" si="190"/>
        <v>134.16999999999999</v>
      </c>
      <c r="S312" s="287">
        <f t="shared" si="191"/>
        <v>188.55</v>
      </c>
      <c r="T312" s="287">
        <f t="shared" si="189"/>
        <v>1859.24</v>
      </c>
      <c r="U312" s="287">
        <f t="shared" si="227"/>
        <v>109737.31000000001</v>
      </c>
      <c r="V312" s="287">
        <f t="shared" si="228"/>
        <v>280538.76999999984</v>
      </c>
      <c r="W312" s="287">
        <f t="shared" si="204"/>
        <v>121212.68999999996</v>
      </c>
      <c r="X312" s="519">
        <f t="shared" si="220"/>
        <v>53319</v>
      </c>
      <c r="Y312" s="287">
        <f t="shared" si="205"/>
        <v>138027.99999999974</v>
      </c>
      <c r="Z312" s="511">
        <f t="shared" si="213"/>
        <v>7.0000000000000007E-2</v>
      </c>
      <c r="AA312" s="287">
        <f t="shared" si="214"/>
        <v>1746.44</v>
      </c>
      <c r="AB312" s="287">
        <f t="shared" si="206"/>
        <v>941.28000000000009</v>
      </c>
      <c r="AC312" s="287">
        <f t="shared" si="215"/>
        <v>805.16</v>
      </c>
      <c r="AD312" s="287">
        <f t="shared" si="192"/>
        <v>134.16999999999999</v>
      </c>
      <c r="AE312" s="287">
        <f t="shared" si="193"/>
        <v>188.55</v>
      </c>
      <c r="AF312" s="287">
        <f t="shared" si="207"/>
        <v>2069.1600000000003</v>
      </c>
      <c r="AG312" s="287">
        <f t="shared" si="208"/>
        <v>138862.08000000005</v>
      </c>
      <c r="AH312" s="287">
        <f t="shared" si="209"/>
        <v>272915.67999999982</v>
      </c>
      <c r="AI312" s="530">
        <f t="shared" si="194"/>
        <v>-21501.679999999957</v>
      </c>
      <c r="AJ312" s="530">
        <f t="shared" si="229"/>
        <v>-15874.029999999781</v>
      </c>
      <c r="AK312" s="530">
        <f t="shared" si="195"/>
        <v>-37375.709999999737</v>
      </c>
      <c r="AL312" s="287">
        <f t="shared" si="210"/>
        <v>137086.71999999974</v>
      </c>
      <c r="AM312" s="428">
        <f t="shared" si="221"/>
        <v>21</v>
      </c>
      <c r="AN312" s="14">
        <f t="shared" si="196"/>
        <v>749.98</v>
      </c>
      <c r="AO312" s="14">
        <f t="shared" si="230"/>
        <v>121557.99999999993</v>
      </c>
      <c r="AP312" s="14">
        <f t="shared" si="197"/>
        <v>959.90000000000009</v>
      </c>
      <c r="AS312" s="14">
        <f t="shared" si="216"/>
        <v>749.98</v>
      </c>
      <c r="AT312" s="14">
        <f t="shared" si="222"/>
        <v>190014.3600000006</v>
      </c>
      <c r="AU312" s="287">
        <f t="shared" si="223"/>
        <v>2068.3939151998843</v>
      </c>
      <c r="AV312" s="287">
        <f t="shared" si="224"/>
        <v>391636.56847516517</v>
      </c>
    </row>
    <row r="313" spans="1:48" x14ac:dyDescent="0.25">
      <c r="A313" s="519">
        <f t="shared" si="198"/>
        <v>53349</v>
      </c>
      <c r="B313" s="287">
        <f t="shared" si="217"/>
        <v>45119.889999999992</v>
      </c>
      <c r="C313" s="14">
        <f t="shared" si="211"/>
        <v>786.54</v>
      </c>
      <c r="D313" s="14">
        <f t="shared" si="225"/>
        <v>673.74</v>
      </c>
      <c r="E313" s="14">
        <f t="shared" si="212"/>
        <v>112.8</v>
      </c>
      <c r="F313" s="14">
        <f t="shared" si="188"/>
        <v>134.16999999999999</v>
      </c>
      <c r="G313" s="14">
        <f t="shared" si="186"/>
        <v>188.55</v>
      </c>
      <c r="H313" s="14">
        <f t="shared" si="187"/>
        <v>1109.26</v>
      </c>
      <c r="I313" s="287">
        <f t="shared" si="199"/>
        <v>142578.24999999994</v>
      </c>
      <c r="J313" s="287">
        <f t="shared" si="200"/>
        <v>93063.609999999942</v>
      </c>
      <c r="K313" s="287">
        <f t="shared" si="201"/>
        <v>44446.149999999994</v>
      </c>
      <c r="L313" s="428">
        <f t="shared" si="231"/>
        <v>21</v>
      </c>
      <c r="M313" s="428">
        <f t="shared" si="218"/>
        <v>254</v>
      </c>
      <c r="N313" s="287">
        <f t="shared" si="219"/>
        <v>121212.68999999996</v>
      </c>
      <c r="O313" s="287">
        <f t="shared" si="202"/>
        <v>1536.52</v>
      </c>
      <c r="P313" s="287">
        <f t="shared" si="226"/>
        <v>829.44999999999993</v>
      </c>
      <c r="Q313" s="287">
        <f t="shared" si="203"/>
        <v>707.07</v>
      </c>
      <c r="R313" s="287">
        <f t="shared" si="190"/>
        <v>134.16999999999999</v>
      </c>
      <c r="S313" s="287">
        <f t="shared" si="191"/>
        <v>188.55</v>
      </c>
      <c r="T313" s="287">
        <f t="shared" si="189"/>
        <v>1859.24</v>
      </c>
      <c r="U313" s="287">
        <f t="shared" si="227"/>
        <v>110566.76000000001</v>
      </c>
      <c r="V313" s="287">
        <f t="shared" si="228"/>
        <v>281245.83999999985</v>
      </c>
      <c r="W313" s="287">
        <f t="shared" si="204"/>
        <v>120383.23999999996</v>
      </c>
      <c r="X313" s="519">
        <f t="shared" si="220"/>
        <v>53349</v>
      </c>
      <c r="Y313" s="287">
        <f t="shared" si="205"/>
        <v>137086.71999999974</v>
      </c>
      <c r="Z313" s="511">
        <f t="shared" si="213"/>
        <v>7.0000000000000007E-2</v>
      </c>
      <c r="AA313" s="287">
        <f t="shared" si="214"/>
        <v>1746.44</v>
      </c>
      <c r="AB313" s="287">
        <f t="shared" si="206"/>
        <v>946.7700000000001</v>
      </c>
      <c r="AC313" s="287">
        <f t="shared" si="215"/>
        <v>799.67</v>
      </c>
      <c r="AD313" s="287">
        <f t="shared" si="192"/>
        <v>134.16999999999999</v>
      </c>
      <c r="AE313" s="287">
        <f t="shared" si="193"/>
        <v>188.55</v>
      </c>
      <c r="AF313" s="287">
        <f t="shared" si="207"/>
        <v>2069.1600000000003</v>
      </c>
      <c r="AG313" s="287">
        <f t="shared" si="208"/>
        <v>139808.85000000003</v>
      </c>
      <c r="AH313" s="287">
        <f t="shared" si="209"/>
        <v>273715.3499999998</v>
      </c>
      <c r="AI313" s="530">
        <f t="shared" si="194"/>
        <v>-21711.599999999955</v>
      </c>
      <c r="AJ313" s="530">
        <f t="shared" si="229"/>
        <v>-15756.709999999788</v>
      </c>
      <c r="AK313" s="530">
        <f t="shared" si="195"/>
        <v>-37468.309999999743</v>
      </c>
      <c r="AL313" s="287">
        <f t="shared" si="210"/>
        <v>136139.94999999975</v>
      </c>
      <c r="AM313" s="428">
        <f t="shared" si="221"/>
        <v>21</v>
      </c>
      <c r="AN313" s="14">
        <f t="shared" si="196"/>
        <v>749.98</v>
      </c>
      <c r="AO313" s="14">
        <f t="shared" si="230"/>
        <v>121402.28999999992</v>
      </c>
      <c r="AP313" s="14">
        <f t="shared" si="197"/>
        <v>959.90000000000009</v>
      </c>
      <c r="AS313" s="14">
        <f t="shared" si="216"/>
        <v>749.98</v>
      </c>
      <c r="AT313" s="14">
        <f t="shared" si="222"/>
        <v>190764.34000000061</v>
      </c>
      <c r="AU313" s="287">
        <f t="shared" si="223"/>
        <v>2075.2885615838841</v>
      </c>
      <c r="AV313" s="287">
        <f t="shared" si="224"/>
        <v>393711.85703674908</v>
      </c>
    </row>
    <row r="314" spans="1:48" ht="15.75" thickBot="1" x14ac:dyDescent="0.3">
      <c r="A314" s="522">
        <f t="shared" si="198"/>
        <v>53379</v>
      </c>
      <c r="B314" s="348">
        <f t="shared" si="217"/>
        <v>44446.149999999994</v>
      </c>
      <c r="C314" s="21">
        <f t="shared" si="211"/>
        <v>786.54</v>
      </c>
      <c r="D314" s="21">
        <f t="shared" si="225"/>
        <v>675.42</v>
      </c>
      <c r="E314" s="21">
        <f t="shared" si="212"/>
        <v>111.12</v>
      </c>
      <c r="F314" s="21">
        <f t="shared" si="188"/>
        <v>134.16999999999999</v>
      </c>
      <c r="G314" s="21">
        <f t="shared" ref="G314:G377" si="232">+G313</f>
        <v>188.55</v>
      </c>
      <c r="H314" s="21">
        <f t="shared" ref="H314:H377" si="233">SUM(D314:G314)</f>
        <v>1109.26</v>
      </c>
      <c r="I314" s="348">
        <f t="shared" si="199"/>
        <v>143253.66999999995</v>
      </c>
      <c r="J314" s="348">
        <f t="shared" si="200"/>
        <v>93174.729999999938</v>
      </c>
      <c r="K314" s="348">
        <f t="shared" si="201"/>
        <v>43770.729999999996</v>
      </c>
      <c r="L314" s="429">
        <f t="shared" si="231"/>
        <v>21</v>
      </c>
      <c r="M314" s="429">
        <f t="shared" si="218"/>
        <v>255</v>
      </c>
      <c r="N314" s="348">
        <f t="shared" si="219"/>
        <v>120383.23999999996</v>
      </c>
      <c r="O314" s="348">
        <f t="shared" si="202"/>
        <v>1536.52</v>
      </c>
      <c r="P314" s="348">
        <f t="shared" si="226"/>
        <v>834.28</v>
      </c>
      <c r="Q314" s="348">
        <f t="shared" si="203"/>
        <v>702.24</v>
      </c>
      <c r="R314" s="348">
        <f t="shared" si="190"/>
        <v>134.16999999999999</v>
      </c>
      <c r="S314" s="348">
        <f t="shared" si="191"/>
        <v>188.55</v>
      </c>
      <c r="T314" s="348">
        <f t="shared" si="189"/>
        <v>1859.24</v>
      </c>
      <c r="U314" s="348">
        <f t="shared" si="227"/>
        <v>111401.04000000001</v>
      </c>
      <c r="V314" s="348">
        <f t="shared" si="228"/>
        <v>281948.07999999984</v>
      </c>
      <c r="W314" s="348">
        <f t="shared" si="204"/>
        <v>119548.95999999996</v>
      </c>
      <c r="X314" s="522">
        <f t="shared" si="220"/>
        <v>53379</v>
      </c>
      <c r="Y314" s="348">
        <f t="shared" si="205"/>
        <v>136139.94999999975</v>
      </c>
      <c r="Z314" s="512">
        <f t="shared" si="213"/>
        <v>7.0000000000000007E-2</v>
      </c>
      <c r="AA314" s="348">
        <f t="shared" si="214"/>
        <v>1746.44</v>
      </c>
      <c r="AB314" s="348">
        <f t="shared" si="206"/>
        <v>952.29000000000008</v>
      </c>
      <c r="AC314" s="348">
        <f t="shared" si="215"/>
        <v>794.15</v>
      </c>
      <c r="AD314" s="348">
        <f t="shared" si="192"/>
        <v>134.16999999999999</v>
      </c>
      <c r="AE314" s="348">
        <f t="shared" si="193"/>
        <v>188.55</v>
      </c>
      <c r="AF314" s="348">
        <f t="shared" si="207"/>
        <v>2069.1600000000003</v>
      </c>
      <c r="AG314" s="348">
        <f t="shared" si="208"/>
        <v>140761.14000000004</v>
      </c>
      <c r="AH314" s="348">
        <f t="shared" si="209"/>
        <v>274509.49999999983</v>
      </c>
      <c r="AI314" s="531">
        <f t="shared" si="194"/>
        <v>-21921.519999999953</v>
      </c>
      <c r="AJ314" s="531">
        <f t="shared" si="229"/>
        <v>-15638.699999999779</v>
      </c>
      <c r="AK314" s="530">
        <f t="shared" si="195"/>
        <v>-37560.219999999732</v>
      </c>
      <c r="AL314" s="348">
        <f t="shared" si="210"/>
        <v>135187.65999999974</v>
      </c>
      <c r="AM314" s="429">
        <f t="shared" si="221"/>
        <v>21</v>
      </c>
      <c r="AN314" s="21">
        <f t="shared" si="196"/>
        <v>749.98</v>
      </c>
      <c r="AO314" s="21">
        <f t="shared" si="230"/>
        <v>121243.42999999993</v>
      </c>
      <c r="AP314" s="21">
        <f t="shared" si="197"/>
        <v>959.90000000000009</v>
      </c>
      <c r="AQ314" s="21"/>
      <c r="AR314" s="23"/>
      <c r="AS314" s="21">
        <f t="shared" si="216"/>
        <v>749.98</v>
      </c>
      <c r="AT314" s="21">
        <f t="shared" si="222"/>
        <v>191514.32000000062</v>
      </c>
      <c r="AU314" s="348">
        <f t="shared" si="223"/>
        <v>2082.2061901224974</v>
      </c>
      <c r="AV314" s="348">
        <f t="shared" si="224"/>
        <v>395794.0632268716</v>
      </c>
    </row>
    <row r="315" spans="1:48" x14ac:dyDescent="0.25">
      <c r="A315" s="519">
        <f t="shared" ref="A315:A378" si="234">IF(K315&lt;=0," ",+A314+30)</f>
        <v>53409</v>
      </c>
      <c r="B315" s="287">
        <f t="shared" si="217"/>
        <v>43770.729999999996</v>
      </c>
      <c r="C315" s="14">
        <f t="shared" si="211"/>
        <v>786.54</v>
      </c>
      <c r="D315" s="14">
        <f t="shared" si="225"/>
        <v>677.1099999999999</v>
      </c>
      <c r="E315" s="14">
        <f t="shared" si="212"/>
        <v>109.43</v>
      </c>
      <c r="F315" s="14">
        <f t="shared" ref="F315:F378" si="235">+F314</f>
        <v>134.16999999999999</v>
      </c>
      <c r="G315" s="14">
        <f t="shared" si="232"/>
        <v>188.55</v>
      </c>
      <c r="H315" s="14">
        <f t="shared" si="233"/>
        <v>1109.26</v>
      </c>
      <c r="I315" s="287">
        <f t="shared" ref="I315:I378" si="236">$D315+$I314</f>
        <v>143930.77999999994</v>
      </c>
      <c r="J315" s="287">
        <f t="shared" ref="J315:J378" si="237">$E315+$J314</f>
        <v>93284.159999999931</v>
      </c>
      <c r="K315" s="287">
        <f t="shared" ref="K315:K378" si="238">+B315-D315</f>
        <v>43093.619999999995</v>
      </c>
      <c r="L315" s="428">
        <f t="shared" si="231"/>
        <v>21</v>
      </c>
      <c r="M315" s="428">
        <f t="shared" si="218"/>
        <v>256</v>
      </c>
      <c r="N315" s="287">
        <f t="shared" si="219"/>
        <v>119548.95999999996</v>
      </c>
      <c r="O315" s="287">
        <f t="shared" si="202"/>
        <v>1536.52</v>
      </c>
      <c r="P315" s="287">
        <f t="shared" si="226"/>
        <v>839.15</v>
      </c>
      <c r="Q315" s="287">
        <f t="shared" si="203"/>
        <v>697.37</v>
      </c>
      <c r="R315" s="287">
        <f t="shared" si="190"/>
        <v>134.16999999999999</v>
      </c>
      <c r="S315" s="287">
        <f t="shared" si="191"/>
        <v>188.55</v>
      </c>
      <c r="T315" s="287">
        <f t="shared" ref="T315:T378" si="239">SUM(P315:S315)</f>
        <v>1859.24</v>
      </c>
      <c r="U315" s="287">
        <f t="shared" si="227"/>
        <v>112240.19</v>
      </c>
      <c r="V315" s="287">
        <f t="shared" si="228"/>
        <v>282645.44999999984</v>
      </c>
      <c r="W315" s="287">
        <f t="shared" ref="W315:W378" si="240">+N315-P315</f>
        <v>118709.80999999997</v>
      </c>
      <c r="X315" s="519">
        <f t="shared" si="220"/>
        <v>53409</v>
      </c>
      <c r="Y315" s="287">
        <f t="shared" si="205"/>
        <v>135187.65999999974</v>
      </c>
      <c r="Z315" s="511">
        <f t="shared" si="213"/>
        <v>7.0000000000000007E-2</v>
      </c>
      <c r="AA315" s="287">
        <f t="shared" si="214"/>
        <v>1746.44</v>
      </c>
      <c r="AB315" s="287">
        <f t="shared" si="206"/>
        <v>957.85</v>
      </c>
      <c r="AC315" s="287">
        <f t="shared" si="215"/>
        <v>788.59</v>
      </c>
      <c r="AD315" s="287">
        <f t="shared" si="192"/>
        <v>134.16999999999999</v>
      </c>
      <c r="AE315" s="287">
        <f t="shared" si="193"/>
        <v>188.55</v>
      </c>
      <c r="AF315" s="287">
        <f t="shared" si="207"/>
        <v>2069.1600000000003</v>
      </c>
      <c r="AG315" s="287">
        <f t="shared" si="208"/>
        <v>141718.99000000005</v>
      </c>
      <c r="AH315" s="287">
        <f t="shared" si="209"/>
        <v>275298.08999999985</v>
      </c>
      <c r="AI315" s="530">
        <f t="shared" si="194"/>
        <v>-22131.439999999951</v>
      </c>
      <c r="AJ315" s="530">
        <f t="shared" si="229"/>
        <v>-15519.999999999767</v>
      </c>
      <c r="AK315" s="530">
        <f t="shared" si="195"/>
        <v>-37651.439999999719</v>
      </c>
      <c r="AL315" s="287">
        <f t="shared" si="210"/>
        <v>134229.80999999974</v>
      </c>
      <c r="AM315" s="428">
        <f t="shared" si="221"/>
        <v>21</v>
      </c>
      <c r="AN315" s="14">
        <f t="shared" si="196"/>
        <v>749.98</v>
      </c>
      <c r="AO315" s="14">
        <f t="shared" si="230"/>
        <v>121081.38999999993</v>
      </c>
      <c r="AP315" s="14">
        <f t="shared" si="197"/>
        <v>959.90000000000009</v>
      </c>
      <c r="AS315" s="14">
        <f t="shared" si="216"/>
        <v>749.98</v>
      </c>
      <c r="AT315" s="14">
        <f t="shared" si="222"/>
        <v>192264.30000000063</v>
      </c>
      <c r="AU315" s="287">
        <f t="shared" si="223"/>
        <v>2089.1468774229056</v>
      </c>
      <c r="AV315" s="287">
        <f t="shared" si="224"/>
        <v>397883.21010429453</v>
      </c>
    </row>
    <row r="316" spans="1:48" x14ac:dyDescent="0.25">
      <c r="A316" s="519">
        <f t="shared" si="234"/>
        <v>53439</v>
      </c>
      <c r="B316" s="287">
        <f t="shared" si="217"/>
        <v>43093.619999999995</v>
      </c>
      <c r="C316" s="14">
        <f t="shared" si="211"/>
        <v>786.54</v>
      </c>
      <c r="D316" s="14">
        <f t="shared" si="225"/>
        <v>678.81</v>
      </c>
      <c r="E316" s="14">
        <f t="shared" si="212"/>
        <v>107.73</v>
      </c>
      <c r="F316" s="14">
        <f t="shared" si="235"/>
        <v>134.16999999999999</v>
      </c>
      <c r="G316" s="14">
        <f t="shared" si="232"/>
        <v>188.55</v>
      </c>
      <c r="H316" s="14">
        <f t="shared" si="233"/>
        <v>1109.26</v>
      </c>
      <c r="I316" s="287">
        <f t="shared" si="236"/>
        <v>144609.58999999994</v>
      </c>
      <c r="J316" s="287">
        <f t="shared" si="237"/>
        <v>93391.889999999927</v>
      </c>
      <c r="K316" s="287">
        <f t="shared" si="238"/>
        <v>42414.81</v>
      </c>
      <c r="L316" s="428">
        <f t="shared" si="231"/>
        <v>21</v>
      </c>
      <c r="M316" s="428">
        <f t="shared" si="218"/>
        <v>257</v>
      </c>
      <c r="N316" s="287">
        <f t="shared" si="219"/>
        <v>118709.80999999997</v>
      </c>
      <c r="O316" s="287">
        <f t="shared" si="202"/>
        <v>1536.52</v>
      </c>
      <c r="P316" s="287">
        <f t="shared" si="226"/>
        <v>844.05</v>
      </c>
      <c r="Q316" s="287">
        <f t="shared" si="203"/>
        <v>692.47</v>
      </c>
      <c r="R316" s="287">
        <f t="shared" ref="R316:R379" si="241">+R315</f>
        <v>134.16999999999999</v>
      </c>
      <c r="S316" s="287">
        <f t="shared" ref="S316:S379" si="242">+S315</f>
        <v>188.55</v>
      </c>
      <c r="T316" s="287">
        <f t="shared" si="239"/>
        <v>1859.24</v>
      </c>
      <c r="U316" s="287">
        <f t="shared" si="227"/>
        <v>113084.24</v>
      </c>
      <c r="V316" s="287">
        <f t="shared" si="228"/>
        <v>283337.91999999981</v>
      </c>
      <c r="W316" s="287">
        <f t="shared" si="240"/>
        <v>117865.75999999997</v>
      </c>
      <c r="X316" s="519">
        <f t="shared" si="220"/>
        <v>53439</v>
      </c>
      <c r="Y316" s="287">
        <f t="shared" si="205"/>
        <v>134229.80999999974</v>
      </c>
      <c r="Z316" s="511">
        <f t="shared" si="213"/>
        <v>7.0000000000000007E-2</v>
      </c>
      <c r="AA316" s="287">
        <f t="shared" si="214"/>
        <v>1746.44</v>
      </c>
      <c r="AB316" s="287">
        <f t="shared" si="206"/>
        <v>963.43000000000006</v>
      </c>
      <c r="AC316" s="287">
        <f t="shared" si="215"/>
        <v>783.01</v>
      </c>
      <c r="AD316" s="287">
        <f t="shared" ref="AD316:AD379" si="243">+AD315</f>
        <v>134.16999999999999</v>
      </c>
      <c r="AE316" s="287">
        <f t="shared" ref="AE316:AE379" si="244">+AE315</f>
        <v>188.55</v>
      </c>
      <c r="AF316" s="287">
        <f t="shared" si="207"/>
        <v>2069.1600000000003</v>
      </c>
      <c r="AG316" s="287">
        <f t="shared" si="208"/>
        <v>142682.42000000004</v>
      </c>
      <c r="AH316" s="287">
        <f t="shared" si="209"/>
        <v>276081.09999999986</v>
      </c>
      <c r="AI316" s="530">
        <f t="shared" ref="AI316:AI379" si="245">O316-AA316+AI315</f>
        <v>-22341.35999999995</v>
      </c>
      <c r="AJ316" s="530">
        <f t="shared" si="229"/>
        <v>-15400.619999999777</v>
      </c>
      <c r="AK316" s="530">
        <f t="shared" ref="AK316:AK379" si="246">SUM(AI316:AJ316)</f>
        <v>-37741.979999999727</v>
      </c>
      <c r="AL316" s="287">
        <f t="shared" si="210"/>
        <v>133266.37999999974</v>
      </c>
      <c r="AM316" s="428">
        <f t="shared" si="221"/>
        <v>21</v>
      </c>
      <c r="AN316" s="14">
        <f t="shared" ref="AN316:AN379" si="247">IF(O316=0,0,+O316-C316)</f>
        <v>749.98</v>
      </c>
      <c r="AO316" s="14">
        <f t="shared" si="230"/>
        <v>120916.14999999992</v>
      </c>
      <c r="AP316" s="14">
        <f t="shared" ref="AP316:AP379" si="248">IF($O316=0,0,+AA316-$C316)</f>
        <v>959.90000000000009</v>
      </c>
      <c r="AS316" s="14">
        <f t="shared" si="216"/>
        <v>749.98</v>
      </c>
      <c r="AT316" s="14">
        <f t="shared" si="222"/>
        <v>193014.28000000064</v>
      </c>
      <c r="AU316" s="287">
        <f t="shared" si="223"/>
        <v>2096.1107003476486</v>
      </c>
      <c r="AV316" s="287">
        <f t="shared" si="224"/>
        <v>399979.32080464216</v>
      </c>
    </row>
    <row r="317" spans="1:48" x14ac:dyDescent="0.25">
      <c r="A317" s="519">
        <f t="shared" si="234"/>
        <v>53469</v>
      </c>
      <c r="B317" s="287">
        <f t="shared" si="217"/>
        <v>42414.81</v>
      </c>
      <c r="C317" s="14">
        <f t="shared" si="211"/>
        <v>786.54</v>
      </c>
      <c r="D317" s="14">
        <f t="shared" si="225"/>
        <v>680.5</v>
      </c>
      <c r="E317" s="14">
        <f t="shared" si="212"/>
        <v>106.04</v>
      </c>
      <c r="F317" s="14">
        <f t="shared" si="235"/>
        <v>134.16999999999999</v>
      </c>
      <c r="G317" s="14">
        <f t="shared" si="232"/>
        <v>188.55</v>
      </c>
      <c r="H317" s="14">
        <f t="shared" si="233"/>
        <v>1109.26</v>
      </c>
      <c r="I317" s="287">
        <f t="shared" si="236"/>
        <v>145290.08999999994</v>
      </c>
      <c r="J317" s="287">
        <f t="shared" si="237"/>
        <v>93497.92999999992</v>
      </c>
      <c r="K317" s="287">
        <f t="shared" si="238"/>
        <v>41734.31</v>
      </c>
      <c r="L317" s="428">
        <f t="shared" si="231"/>
        <v>21</v>
      </c>
      <c r="M317" s="428">
        <f t="shared" si="218"/>
        <v>258</v>
      </c>
      <c r="N317" s="287">
        <f t="shared" si="219"/>
        <v>117865.75999999997</v>
      </c>
      <c r="O317" s="287">
        <f t="shared" si="202"/>
        <v>1536.52</v>
      </c>
      <c r="P317" s="287">
        <f t="shared" si="226"/>
        <v>848.97</v>
      </c>
      <c r="Q317" s="287">
        <f t="shared" si="203"/>
        <v>687.55</v>
      </c>
      <c r="R317" s="287">
        <f t="shared" si="241"/>
        <v>134.16999999999999</v>
      </c>
      <c r="S317" s="287">
        <f t="shared" si="242"/>
        <v>188.55</v>
      </c>
      <c r="T317" s="287">
        <f t="shared" si="239"/>
        <v>1859.24</v>
      </c>
      <c r="U317" s="287">
        <f t="shared" si="227"/>
        <v>113933.21</v>
      </c>
      <c r="V317" s="287">
        <f t="shared" si="228"/>
        <v>284025.4699999998</v>
      </c>
      <c r="W317" s="287">
        <f t="shared" si="240"/>
        <v>117016.78999999996</v>
      </c>
      <c r="X317" s="519">
        <f t="shared" si="220"/>
        <v>53469</v>
      </c>
      <c r="Y317" s="287">
        <f t="shared" si="205"/>
        <v>133266.37999999974</v>
      </c>
      <c r="Z317" s="511">
        <f t="shared" si="213"/>
        <v>7.0000000000000007E-2</v>
      </c>
      <c r="AA317" s="287">
        <f t="shared" si="214"/>
        <v>1746.44</v>
      </c>
      <c r="AB317" s="287">
        <f t="shared" si="206"/>
        <v>969.05000000000007</v>
      </c>
      <c r="AC317" s="287">
        <f t="shared" si="215"/>
        <v>777.39</v>
      </c>
      <c r="AD317" s="287">
        <f t="shared" si="243"/>
        <v>134.16999999999999</v>
      </c>
      <c r="AE317" s="287">
        <f t="shared" si="244"/>
        <v>188.55</v>
      </c>
      <c r="AF317" s="287">
        <f t="shared" si="207"/>
        <v>2069.1600000000003</v>
      </c>
      <c r="AG317" s="287">
        <f t="shared" si="208"/>
        <v>143651.47000000003</v>
      </c>
      <c r="AH317" s="287">
        <f t="shared" si="209"/>
        <v>276858.48999999987</v>
      </c>
      <c r="AI317" s="530">
        <f t="shared" si="245"/>
        <v>-22551.279999999948</v>
      </c>
      <c r="AJ317" s="530">
        <f t="shared" si="229"/>
        <v>-15280.53999999979</v>
      </c>
      <c r="AK317" s="530">
        <f t="shared" si="246"/>
        <v>-37831.819999999738</v>
      </c>
      <c r="AL317" s="287">
        <f t="shared" si="210"/>
        <v>132297.32999999975</v>
      </c>
      <c r="AM317" s="428">
        <f t="shared" si="221"/>
        <v>21</v>
      </c>
      <c r="AN317" s="14">
        <f t="shared" si="247"/>
        <v>749.98</v>
      </c>
      <c r="AO317" s="14">
        <f t="shared" si="230"/>
        <v>120747.67999999992</v>
      </c>
      <c r="AP317" s="14">
        <f t="shared" si="248"/>
        <v>959.90000000000009</v>
      </c>
      <c r="AS317" s="14">
        <f t="shared" si="216"/>
        <v>749.98</v>
      </c>
      <c r="AT317" s="14">
        <f t="shared" si="222"/>
        <v>193764.26000000065</v>
      </c>
      <c r="AU317" s="287">
        <f t="shared" si="223"/>
        <v>2103.0977360154739</v>
      </c>
      <c r="AV317" s="287">
        <f t="shared" si="224"/>
        <v>402082.41854065761</v>
      </c>
    </row>
    <row r="318" spans="1:48" x14ac:dyDescent="0.25">
      <c r="A318" s="519">
        <f t="shared" si="234"/>
        <v>53499</v>
      </c>
      <c r="B318" s="287">
        <f t="shared" si="217"/>
        <v>41734.31</v>
      </c>
      <c r="C318" s="14">
        <f t="shared" si="211"/>
        <v>786.54</v>
      </c>
      <c r="D318" s="14">
        <f t="shared" si="225"/>
        <v>682.19999999999993</v>
      </c>
      <c r="E318" s="14">
        <f t="shared" si="212"/>
        <v>104.34</v>
      </c>
      <c r="F318" s="14">
        <f t="shared" si="235"/>
        <v>134.16999999999999</v>
      </c>
      <c r="G318" s="14">
        <f t="shared" si="232"/>
        <v>188.55</v>
      </c>
      <c r="H318" s="14">
        <f t="shared" si="233"/>
        <v>1109.26</v>
      </c>
      <c r="I318" s="287">
        <f t="shared" si="236"/>
        <v>145972.28999999995</v>
      </c>
      <c r="J318" s="287">
        <f t="shared" si="237"/>
        <v>93602.269999999917</v>
      </c>
      <c r="K318" s="287">
        <f t="shared" si="238"/>
        <v>41052.11</v>
      </c>
      <c r="L318" s="428">
        <f t="shared" si="231"/>
        <v>21</v>
      </c>
      <c r="M318" s="428">
        <f t="shared" si="218"/>
        <v>259</v>
      </c>
      <c r="N318" s="287">
        <f t="shared" si="219"/>
        <v>117016.78999999996</v>
      </c>
      <c r="O318" s="287">
        <f t="shared" ref="O318:O381" si="249">IF($O$9&lt;=A318,IF(+$W317&lt;=0,0,$O$8),0)</f>
        <v>1536.52</v>
      </c>
      <c r="P318" s="287">
        <f t="shared" si="226"/>
        <v>853.92</v>
      </c>
      <c r="Q318" s="287">
        <f t="shared" ref="Q318:Q381" si="250">IF($O$9&lt;=A318,ROUND(N318*($O$6/12),2),0)</f>
        <v>682.6</v>
      </c>
      <c r="R318" s="287">
        <f t="shared" si="241"/>
        <v>134.16999999999999</v>
      </c>
      <c r="S318" s="287">
        <f t="shared" si="242"/>
        <v>188.55</v>
      </c>
      <c r="T318" s="287">
        <f t="shared" si="239"/>
        <v>1859.24</v>
      </c>
      <c r="U318" s="287">
        <f t="shared" si="227"/>
        <v>114787.13</v>
      </c>
      <c r="V318" s="287">
        <f t="shared" si="228"/>
        <v>284708.06999999977</v>
      </c>
      <c r="W318" s="287">
        <f t="shared" si="240"/>
        <v>116162.86999999997</v>
      </c>
      <c r="X318" s="519">
        <f t="shared" si="220"/>
        <v>53499</v>
      </c>
      <c r="Y318" s="287">
        <f t="shared" ref="Y318:Y381" si="251">IF(+AL317&lt;0,0,+AL317)</f>
        <v>132297.32999999975</v>
      </c>
      <c r="Z318" s="511">
        <f t="shared" si="213"/>
        <v>7.0000000000000007E-2</v>
      </c>
      <c r="AA318" s="287">
        <f t="shared" si="214"/>
        <v>1746.44</v>
      </c>
      <c r="AB318" s="287">
        <f t="shared" ref="AB318:AB381" si="252">+AA318-AC318</f>
        <v>974.71</v>
      </c>
      <c r="AC318" s="287">
        <f t="shared" si="215"/>
        <v>771.73</v>
      </c>
      <c r="AD318" s="287">
        <f t="shared" si="243"/>
        <v>134.16999999999999</v>
      </c>
      <c r="AE318" s="287">
        <f t="shared" si="244"/>
        <v>188.55</v>
      </c>
      <c r="AF318" s="287">
        <f t="shared" ref="AF318:AF381" si="253">SUM(AB318:AE318)</f>
        <v>2069.1600000000003</v>
      </c>
      <c r="AG318" s="287">
        <f t="shared" ref="AG318:AG381" si="254">+AB318+AG317</f>
        <v>144626.18000000002</v>
      </c>
      <c r="AH318" s="287">
        <f t="shared" ref="AH318:AH381" si="255">+AH317+AC318</f>
        <v>277630.21999999986</v>
      </c>
      <c r="AI318" s="530">
        <f t="shared" si="245"/>
        <v>-22761.199999999946</v>
      </c>
      <c r="AJ318" s="530">
        <f t="shared" si="229"/>
        <v>-15159.749999999796</v>
      </c>
      <c r="AK318" s="530">
        <f t="shared" si="246"/>
        <v>-37920.949999999742</v>
      </c>
      <c r="AL318" s="287">
        <f t="shared" ref="AL318:AL381" si="256">+Y318-AB318</f>
        <v>131322.61999999976</v>
      </c>
      <c r="AM318" s="428">
        <f t="shared" si="221"/>
        <v>21</v>
      </c>
      <c r="AN318" s="14">
        <f t="shared" si="247"/>
        <v>749.98</v>
      </c>
      <c r="AO318" s="14">
        <f t="shared" si="230"/>
        <v>120575.95999999993</v>
      </c>
      <c r="AP318" s="14">
        <f t="shared" si="248"/>
        <v>959.90000000000009</v>
      </c>
      <c r="AS318" s="14">
        <f t="shared" si="216"/>
        <v>749.98</v>
      </c>
      <c r="AT318" s="14">
        <f t="shared" si="222"/>
        <v>194514.24000000066</v>
      </c>
      <c r="AU318" s="287">
        <f t="shared" si="223"/>
        <v>2110.108061802192</v>
      </c>
      <c r="AV318" s="287">
        <f t="shared" si="224"/>
        <v>404192.52660245978</v>
      </c>
    </row>
    <row r="319" spans="1:48" x14ac:dyDescent="0.25">
      <c r="A319" s="519">
        <f t="shared" si="234"/>
        <v>53529</v>
      </c>
      <c r="B319" s="287">
        <f t="shared" si="217"/>
        <v>41052.11</v>
      </c>
      <c r="C319" s="14">
        <f t="shared" si="211"/>
        <v>786.54</v>
      </c>
      <c r="D319" s="14">
        <f t="shared" si="225"/>
        <v>683.91</v>
      </c>
      <c r="E319" s="14">
        <f t="shared" si="212"/>
        <v>102.63</v>
      </c>
      <c r="F319" s="14">
        <f t="shared" si="235"/>
        <v>134.16999999999999</v>
      </c>
      <c r="G319" s="14">
        <f t="shared" si="232"/>
        <v>188.55</v>
      </c>
      <c r="H319" s="14">
        <f t="shared" si="233"/>
        <v>1109.26</v>
      </c>
      <c r="I319" s="287">
        <f t="shared" si="236"/>
        <v>146656.19999999995</v>
      </c>
      <c r="J319" s="287">
        <f t="shared" si="237"/>
        <v>93704.899999999921</v>
      </c>
      <c r="K319" s="287">
        <f t="shared" si="238"/>
        <v>40368.199999999997</v>
      </c>
      <c r="L319" s="428">
        <f t="shared" si="231"/>
        <v>21</v>
      </c>
      <c r="M319" s="428">
        <f t="shared" si="218"/>
        <v>260</v>
      </c>
      <c r="N319" s="287">
        <f t="shared" si="219"/>
        <v>116162.86999999997</v>
      </c>
      <c r="O319" s="287">
        <f t="shared" si="249"/>
        <v>1536.52</v>
      </c>
      <c r="P319" s="287">
        <f t="shared" si="226"/>
        <v>858.9</v>
      </c>
      <c r="Q319" s="287">
        <f t="shared" si="250"/>
        <v>677.62</v>
      </c>
      <c r="R319" s="287">
        <f t="shared" si="241"/>
        <v>134.16999999999999</v>
      </c>
      <c r="S319" s="287">
        <f t="shared" si="242"/>
        <v>188.55</v>
      </c>
      <c r="T319" s="287">
        <f t="shared" si="239"/>
        <v>1859.24</v>
      </c>
      <c r="U319" s="287">
        <f t="shared" si="227"/>
        <v>115646.03</v>
      </c>
      <c r="V319" s="287">
        <f t="shared" si="228"/>
        <v>285385.68999999977</v>
      </c>
      <c r="W319" s="287">
        <f t="shared" si="240"/>
        <v>115303.96999999997</v>
      </c>
      <c r="X319" s="519">
        <f t="shared" si="220"/>
        <v>53529</v>
      </c>
      <c r="Y319" s="287">
        <f t="shared" si="251"/>
        <v>131322.61999999976</v>
      </c>
      <c r="Z319" s="511">
        <f t="shared" si="213"/>
        <v>7.0000000000000007E-2</v>
      </c>
      <c r="AA319" s="287">
        <f t="shared" si="214"/>
        <v>1746.44</v>
      </c>
      <c r="AB319" s="287">
        <f t="shared" si="252"/>
        <v>980.3900000000001</v>
      </c>
      <c r="AC319" s="287">
        <f t="shared" si="215"/>
        <v>766.05</v>
      </c>
      <c r="AD319" s="287">
        <f t="shared" si="243"/>
        <v>134.16999999999999</v>
      </c>
      <c r="AE319" s="287">
        <f t="shared" si="244"/>
        <v>188.55</v>
      </c>
      <c r="AF319" s="287">
        <f t="shared" si="253"/>
        <v>2069.1600000000003</v>
      </c>
      <c r="AG319" s="287">
        <f t="shared" si="254"/>
        <v>145606.57000000004</v>
      </c>
      <c r="AH319" s="287">
        <f t="shared" si="255"/>
        <v>278396.26999999984</v>
      </c>
      <c r="AI319" s="530">
        <f t="shared" si="245"/>
        <v>-22971.119999999944</v>
      </c>
      <c r="AJ319" s="530">
        <f t="shared" si="229"/>
        <v>-15038.259999999791</v>
      </c>
      <c r="AK319" s="530">
        <f t="shared" si="246"/>
        <v>-38009.379999999735</v>
      </c>
      <c r="AL319" s="287">
        <f t="shared" si="256"/>
        <v>130342.22999999976</v>
      </c>
      <c r="AM319" s="428">
        <f t="shared" si="221"/>
        <v>21</v>
      </c>
      <c r="AN319" s="14">
        <f t="shared" si="247"/>
        <v>749.98</v>
      </c>
      <c r="AO319" s="14">
        <f t="shared" si="230"/>
        <v>120400.96999999994</v>
      </c>
      <c r="AP319" s="14">
        <f t="shared" si="248"/>
        <v>959.90000000000009</v>
      </c>
      <c r="AS319" s="14">
        <f t="shared" si="216"/>
        <v>749.98</v>
      </c>
      <c r="AT319" s="14">
        <f t="shared" si="222"/>
        <v>195264.22000000067</v>
      </c>
      <c r="AU319" s="287">
        <f t="shared" si="223"/>
        <v>2117.1417553415326</v>
      </c>
      <c r="AV319" s="287">
        <f t="shared" si="224"/>
        <v>406309.66835780133</v>
      </c>
    </row>
    <row r="320" spans="1:48" x14ac:dyDescent="0.25">
      <c r="A320" s="519">
        <f t="shared" si="234"/>
        <v>53559</v>
      </c>
      <c r="B320" s="287">
        <f t="shared" si="217"/>
        <v>40368.199999999997</v>
      </c>
      <c r="C320" s="14">
        <f t="shared" si="211"/>
        <v>786.54</v>
      </c>
      <c r="D320" s="14">
        <f t="shared" si="225"/>
        <v>685.62</v>
      </c>
      <c r="E320" s="14">
        <f t="shared" si="212"/>
        <v>100.92</v>
      </c>
      <c r="F320" s="14">
        <f t="shared" si="235"/>
        <v>134.16999999999999</v>
      </c>
      <c r="G320" s="14">
        <f t="shared" si="232"/>
        <v>188.55</v>
      </c>
      <c r="H320" s="14">
        <f t="shared" si="233"/>
        <v>1109.26</v>
      </c>
      <c r="I320" s="287">
        <f t="shared" si="236"/>
        <v>147341.81999999995</v>
      </c>
      <c r="J320" s="287">
        <f t="shared" si="237"/>
        <v>93805.81999999992</v>
      </c>
      <c r="K320" s="287">
        <f t="shared" si="238"/>
        <v>39682.579999999994</v>
      </c>
      <c r="L320" s="428">
        <f t="shared" si="231"/>
        <v>21</v>
      </c>
      <c r="M320" s="428">
        <f t="shared" si="218"/>
        <v>261</v>
      </c>
      <c r="N320" s="287">
        <f t="shared" si="219"/>
        <v>115303.96999999997</v>
      </c>
      <c r="O320" s="287">
        <f t="shared" si="249"/>
        <v>1536.52</v>
      </c>
      <c r="P320" s="287">
        <f t="shared" si="226"/>
        <v>863.91</v>
      </c>
      <c r="Q320" s="287">
        <f t="shared" si="250"/>
        <v>672.61</v>
      </c>
      <c r="R320" s="287">
        <f t="shared" si="241"/>
        <v>134.16999999999999</v>
      </c>
      <c r="S320" s="287">
        <f t="shared" si="242"/>
        <v>188.55</v>
      </c>
      <c r="T320" s="287">
        <f t="shared" si="239"/>
        <v>1859.24</v>
      </c>
      <c r="U320" s="287">
        <f t="shared" si="227"/>
        <v>116509.94</v>
      </c>
      <c r="V320" s="287">
        <f t="shared" si="228"/>
        <v>286058.29999999976</v>
      </c>
      <c r="W320" s="287">
        <f t="shared" si="240"/>
        <v>114440.05999999997</v>
      </c>
      <c r="X320" s="519">
        <f t="shared" si="220"/>
        <v>53559</v>
      </c>
      <c r="Y320" s="287">
        <f t="shared" si="251"/>
        <v>130342.22999999976</v>
      </c>
      <c r="Z320" s="511">
        <f t="shared" si="213"/>
        <v>7.0000000000000007E-2</v>
      </c>
      <c r="AA320" s="287">
        <f t="shared" si="214"/>
        <v>1746.44</v>
      </c>
      <c r="AB320" s="287">
        <f t="shared" si="252"/>
        <v>986.11</v>
      </c>
      <c r="AC320" s="287">
        <f t="shared" si="215"/>
        <v>760.33</v>
      </c>
      <c r="AD320" s="287">
        <f t="shared" si="243"/>
        <v>134.16999999999999</v>
      </c>
      <c r="AE320" s="287">
        <f t="shared" si="244"/>
        <v>188.55</v>
      </c>
      <c r="AF320" s="287">
        <f t="shared" si="253"/>
        <v>2069.1600000000003</v>
      </c>
      <c r="AG320" s="287">
        <f t="shared" si="254"/>
        <v>146592.68000000002</v>
      </c>
      <c r="AH320" s="287">
        <f t="shared" si="255"/>
        <v>279156.59999999986</v>
      </c>
      <c r="AI320" s="530">
        <f t="shared" si="245"/>
        <v>-23181.039999999943</v>
      </c>
      <c r="AJ320" s="530">
        <f t="shared" si="229"/>
        <v>-14916.059999999794</v>
      </c>
      <c r="AK320" s="530">
        <f t="shared" si="246"/>
        <v>-38097.099999999737</v>
      </c>
      <c r="AL320" s="287">
        <f t="shared" si="256"/>
        <v>129356.11999999976</v>
      </c>
      <c r="AM320" s="428">
        <f t="shared" si="221"/>
        <v>21</v>
      </c>
      <c r="AN320" s="14">
        <f t="shared" si="247"/>
        <v>749.98</v>
      </c>
      <c r="AO320" s="14">
        <f t="shared" si="230"/>
        <v>120222.67999999993</v>
      </c>
      <c r="AP320" s="14">
        <f t="shared" si="248"/>
        <v>959.90000000000009</v>
      </c>
      <c r="AS320" s="14">
        <f t="shared" si="216"/>
        <v>749.98</v>
      </c>
      <c r="AT320" s="14">
        <f t="shared" si="222"/>
        <v>196014.20000000068</v>
      </c>
      <c r="AU320" s="287">
        <f t="shared" si="223"/>
        <v>2124.1988945260046</v>
      </c>
      <c r="AV320" s="287">
        <f t="shared" si="224"/>
        <v>408433.86725232733</v>
      </c>
    </row>
    <row r="321" spans="1:48" x14ac:dyDescent="0.25">
      <c r="A321" s="519">
        <f t="shared" si="234"/>
        <v>53589</v>
      </c>
      <c r="B321" s="287">
        <f t="shared" si="217"/>
        <v>39682.579999999994</v>
      </c>
      <c r="C321" s="14">
        <f t="shared" si="211"/>
        <v>786.54</v>
      </c>
      <c r="D321" s="14">
        <f t="shared" si="225"/>
        <v>687.32999999999993</v>
      </c>
      <c r="E321" s="14">
        <f t="shared" si="212"/>
        <v>99.21</v>
      </c>
      <c r="F321" s="14">
        <f t="shared" si="235"/>
        <v>134.16999999999999</v>
      </c>
      <c r="G321" s="14">
        <f t="shared" si="232"/>
        <v>188.55</v>
      </c>
      <c r="H321" s="14">
        <f t="shared" si="233"/>
        <v>1109.26</v>
      </c>
      <c r="I321" s="287">
        <f t="shared" si="236"/>
        <v>148029.14999999994</v>
      </c>
      <c r="J321" s="287">
        <f t="shared" si="237"/>
        <v>93905.029999999926</v>
      </c>
      <c r="K321" s="287">
        <f t="shared" si="238"/>
        <v>38995.249999999993</v>
      </c>
      <c r="L321" s="428">
        <f t="shared" si="231"/>
        <v>21</v>
      </c>
      <c r="M321" s="428">
        <f t="shared" si="218"/>
        <v>262</v>
      </c>
      <c r="N321" s="287">
        <f t="shared" si="219"/>
        <v>114440.05999999997</v>
      </c>
      <c r="O321" s="287">
        <f t="shared" si="249"/>
        <v>1536.52</v>
      </c>
      <c r="P321" s="287">
        <f t="shared" si="226"/>
        <v>868.94999999999993</v>
      </c>
      <c r="Q321" s="287">
        <f t="shared" si="250"/>
        <v>667.57</v>
      </c>
      <c r="R321" s="287">
        <f t="shared" si="241"/>
        <v>134.16999999999999</v>
      </c>
      <c r="S321" s="287">
        <f t="shared" si="242"/>
        <v>188.55</v>
      </c>
      <c r="T321" s="287">
        <f t="shared" si="239"/>
        <v>1859.24</v>
      </c>
      <c r="U321" s="287">
        <f t="shared" si="227"/>
        <v>117378.89</v>
      </c>
      <c r="V321" s="287">
        <f t="shared" si="228"/>
        <v>286725.86999999976</v>
      </c>
      <c r="W321" s="287">
        <f t="shared" si="240"/>
        <v>113571.10999999997</v>
      </c>
      <c r="X321" s="519">
        <f t="shared" si="220"/>
        <v>53589</v>
      </c>
      <c r="Y321" s="287">
        <f t="shared" si="251"/>
        <v>129356.11999999976</v>
      </c>
      <c r="Z321" s="511">
        <f t="shared" si="213"/>
        <v>7.0000000000000007E-2</v>
      </c>
      <c r="AA321" s="287">
        <f t="shared" si="214"/>
        <v>1746.44</v>
      </c>
      <c r="AB321" s="287">
        <f t="shared" si="252"/>
        <v>991.86</v>
      </c>
      <c r="AC321" s="287">
        <f t="shared" si="215"/>
        <v>754.58</v>
      </c>
      <c r="AD321" s="287">
        <f t="shared" si="243"/>
        <v>134.16999999999999</v>
      </c>
      <c r="AE321" s="287">
        <f t="shared" si="244"/>
        <v>188.55</v>
      </c>
      <c r="AF321" s="287">
        <f t="shared" si="253"/>
        <v>2069.1600000000003</v>
      </c>
      <c r="AG321" s="287">
        <f t="shared" si="254"/>
        <v>147584.54</v>
      </c>
      <c r="AH321" s="287">
        <f t="shared" si="255"/>
        <v>279911.17999999988</v>
      </c>
      <c r="AI321" s="530">
        <f t="shared" si="245"/>
        <v>-23390.959999999941</v>
      </c>
      <c r="AJ321" s="530">
        <f t="shared" si="229"/>
        <v>-14793.14999999979</v>
      </c>
      <c r="AK321" s="530">
        <f t="shared" si="246"/>
        <v>-38184.109999999731</v>
      </c>
      <c r="AL321" s="287">
        <f t="shared" si="256"/>
        <v>128364.25999999976</v>
      </c>
      <c r="AM321" s="428">
        <f t="shared" si="221"/>
        <v>21</v>
      </c>
      <c r="AN321" s="14">
        <f t="shared" si="247"/>
        <v>749.98</v>
      </c>
      <c r="AO321" s="14">
        <f t="shared" si="230"/>
        <v>120041.05999999992</v>
      </c>
      <c r="AP321" s="14">
        <f t="shared" si="248"/>
        <v>959.90000000000009</v>
      </c>
      <c r="AS321" s="14">
        <f t="shared" si="216"/>
        <v>749.98</v>
      </c>
      <c r="AT321" s="14">
        <f t="shared" si="222"/>
        <v>196764.18000000069</v>
      </c>
      <c r="AU321" s="287">
        <f t="shared" si="223"/>
        <v>2131.2795575077575</v>
      </c>
      <c r="AV321" s="287">
        <f t="shared" si="224"/>
        <v>410565.1468098351</v>
      </c>
    </row>
    <row r="322" spans="1:48" x14ac:dyDescent="0.25">
      <c r="A322" s="519">
        <f t="shared" si="234"/>
        <v>53619</v>
      </c>
      <c r="B322" s="287">
        <f t="shared" si="217"/>
        <v>38995.249999999993</v>
      </c>
      <c r="C322" s="14">
        <f t="shared" si="211"/>
        <v>786.54</v>
      </c>
      <c r="D322" s="14">
        <f t="shared" si="225"/>
        <v>689.05</v>
      </c>
      <c r="E322" s="14">
        <f t="shared" si="212"/>
        <v>97.49</v>
      </c>
      <c r="F322" s="14">
        <f t="shared" si="235"/>
        <v>134.16999999999999</v>
      </c>
      <c r="G322" s="14">
        <f t="shared" si="232"/>
        <v>188.55</v>
      </c>
      <c r="H322" s="14">
        <f t="shared" si="233"/>
        <v>1109.26</v>
      </c>
      <c r="I322" s="287">
        <f t="shared" si="236"/>
        <v>148718.19999999992</v>
      </c>
      <c r="J322" s="287">
        <f t="shared" si="237"/>
        <v>94002.519999999931</v>
      </c>
      <c r="K322" s="287">
        <f t="shared" si="238"/>
        <v>38306.19999999999</v>
      </c>
      <c r="L322" s="428">
        <f t="shared" si="231"/>
        <v>21</v>
      </c>
      <c r="M322" s="428">
        <f t="shared" si="218"/>
        <v>263</v>
      </c>
      <c r="N322" s="287">
        <f t="shared" si="219"/>
        <v>113571.10999999997</v>
      </c>
      <c r="O322" s="287">
        <f t="shared" si="249"/>
        <v>1536.52</v>
      </c>
      <c r="P322" s="287">
        <f t="shared" si="226"/>
        <v>874.02</v>
      </c>
      <c r="Q322" s="287">
        <f t="shared" si="250"/>
        <v>662.5</v>
      </c>
      <c r="R322" s="287">
        <f t="shared" si="241"/>
        <v>134.16999999999999</v>
      </c>
      <c r="S322" s="287">
        <f t="shared" si="242"/>
        <v>188.55</v>
      </c>
      <c r="T322" s="287">
        <f t="shared" si="239"/>
        <v>1859.24</v>
      </c>
      <c r="U322" s="287">
        <f t="shared" si="227"/>
        <v>118252.91</v>
      </c>
      <c r="V322" s="287">
        <f t="shared" si="228"/>
        <v>287388.36999999976</v>
      </c>
      <c r="W322" s="287">
        <f t="shared" si="240"/>
        <v>112697.08999999997</v>
      </c>
      <c r="X322" s="519">
        <f t="shared" si="220"/>
        <v>53619</v>
      </c>
      <c r="Y322" s="287">
        <f t="shared" si="251"/>
        <v>128364.25999999976</v>
      </c>
      <c r="Z322" s="511">
        <f t="shared" si="213"/>
        <v>7.0000000000000007E-2</v>
      </c>
      <c r="AA322" s="287">
        <f t="shared" si="214"/>
        <v>1746.44</v>
      </c>
      <c r="AB322" s="287">
        <f t="shared" si="252"/>
        <v>997.65000000000009</v>
      </c>
      <c r="AC322" s="287">
        <f t="shared" si="215"/>
        <v>748.79</v>
      </c>
      <c r="AD322" s="287">
        <f t="shared" si="243"/>
        <v>134.16999999999999</v>
      </c>
      <c r="AE322" s="287">
        <f t="shared" si="244"/>
        <v>188.55</v>
      </c>
      <c r="AF322" s="287">
        <f t="shared" si="253"/>
        <v>2069.1600000000003</v>
      </c>
      <c r="AG322" s="287">
        <f t="shared" si="254"/>
        <v>148582.19</v>
      </c>
      <c r="AH322" s="287">
        <f t="shared" si="255"/>
        <v>280659.96999999986</v>
      </c>
      <c r="AI322" s="530">
        <f t="shared" si="245"/>
        <v>-23600.879999999939</v>
      </c>
      <c r="AJ322" s="530">
        <f t="shared" si="229"/>
        <v>-14669.5199999998</v>
      </c>
      <c r="AK322" s="530">
        <f t="shared" si="246"/>
        <v>-38270.39999999974</v>
      </c>
      <c r="AL322" s="287">
        <f t="shared" si="256"/>
        <v>127366.60999999977</v>
      </c>
      <c r="AM322" s="428">
        <f t="shared" si="221"/>
        <v>21</v>
      </c>
      <c r="AN322" s="14">
        <f t="shared" si="247"/>
        <v>749.98</v>
      </c>
      <c r="AO322" s="14">
        <f t="shared" si="230"/>
        <v>119856.08999999991</v>
      </c>
      <c r="AP322" s="14">
        <f t="shared" si="248"/>
        <v>959.90000000000009</v>
      </c>
      <c r="AS322" s="14">
        <f t="shared" si="216"/>
        <v>749.98</v>
      </c>
      <c r="AT322" s="14">
        <f t="shared" si="222"/>
        <v>197514.1600000007</v>
      </c>
      <c r="AU322" s="287">
        <f t="shared" si="223"/>
        <v>2138.3838226994503</v>
      </c>
      <c r="AV322" s="287">
        <f t="shared" si="224"/>
        <v>412703.53063253453</v>
      </c>
    </row>
    <row r="323" spans="1:48" x14ac:dyDescent="0.25">
      <c r="A323" s="519">
        <f t="shared" si="234"/>
        <v>53649</v>
      </c>
      <c r="B323" s="287">
        <f t="shared" si="217"/>
        <v>38306.19999999999</v>
      </c>
      <c r="C323" s="14">
        <f t="shared" si="211"/>
        <v>786.54</v>
      </c>
      <c r="D323" s="14">
        <f t="shared" si="225"/>
        <v>690.77</v>
      </c>
      <c r="E323" s="14">
        <f t="shared" si="212"/>
        <v>95.77</v>
      </c>
      <c r="F323" s="14">
        <f t="shared" si="235"/>
        <v>134.16999999999999</v>
      </c>
      <c r="G323" s="14">
        <f t="shared" si="232"/>
        <v>188.55</v>
      </c>
      <c r="H323" s="14">
        <f t="shared" si="233"/>
        <v>1109.26</v>
      </c>
      <c r="I323" s="287">
        <f t="shared" si="236"/>
        <v>149408.96999999991</v>
      </c>
      <c r="J323" s="287">
        <f t="shared" si="237"/>
        <v>94098.289999999935</v>
      </c>
      <c r="K323" s="287">
        <f t="shared" si="238"/>
        <v>37615.429999999993</v>
      </c>
      <c r="L323" s="428">
        <f t="shared" si="231"/>
        <v>22</v>
      </c>
      <c r="M323" s="428">
        <f t="shared" si="218"/>
        <v>264</v>
      </c>
      <c r="N323" s="287">
        <f t="shared" si="219"/>
        <v>112697.08999999997</v>
      </c>
      <c r="O323" s="287">
        <f t="shared" si="249"/>
        <v>1536.52</v>
      </c>
      <c r="P323" s="287">
        <f t="shared" si="226"/>
        <v>879.12</v>
      </c>
      <c r="Q323" s="287">
        <f t="shared" si="250"/>
        <v>657.4</v>
      </c>
      <c r="R323" s="287">
        <f t="shared" si="241"/>
        <v>134.16999999999999</v>
      </c>
      <c r="S323" s="287">
        <f t="shared" si="242"/>
        <v>188.55</v>
      </c>
      <c r="T323" s="287">
        <f t="shared" si="239"/>
        <v>1859.24</v>
      </c>
      <c r="U323" s="287">
        <f t="shared" si="227"/>
        <v>119132.03</v>
      </c>
      <c r="V323" s="287">
        <f t="shared" si="228"/>
        <v>288045.76999999979</v>
      </c>
      <c r="W323" s="287">
        <f t="shared" si="240"/>
        <v>111817.96999999997</v>
      </c>
      <c r="X323" s="519">
        <f t="shared" si="220"/>
        <v>53649</v>
      </c>
      <c r="Y323" s="287">
        <f t="shared" si="251"/>
        <v>127366.60999999977</v>
      </c>
      <c r="Z323" s="511">
        <f t="shared" si="213"/>
        <v>7.0000000000000007E-2</v>
      </c>
      <c r="AA323" s="287">
        <f t="shared" si="214"/>
        <v>1746.44</v>
      </c>
      <c r="AB323" s="287">
        <f t="shared" si="252"/>
        <v>1003.47</v>
      </c>
      <c r="AC323" s="287">
        <f t="shared" si="215"/>
        <v>742.97</v>
      </c>
      <c r="AD323" s="287">
        <f t="shared" si="243"/>
        <v>134.16999999999999</v>
      </c>
      <c r="AE323" s="287">
        <f t="shared" si="244"/>
        <v>188.55</v>
      </c>
      <c r="AF323" s="287">
        <f t="shared" si="253"/>
        <v>2069.1600000000003</v>
      </c>
      <c r="AG323" s="287">
        <f t="shared" si="254"/>
        <v>149585.66</v>
      </c>
      <c r="AH323" s="287">
        <f t="shared" si="255"/>
        <v>281402.93999999983</v>
      </c>
      <c r="AI323" s="530">
        <f t="shared" si="245"/>
        <v>-23810.799999999937</v>
      </c>
      <c r="AJ323" s="530">
        <f t="shared" si="229"/>
        <v>-14545.169999999795</v>
      </c>
      <c r="AK323" s="530">
        <f t="shared" si="246"/>
        <v>-38355.969999999732</v>
      </c>
      <c r="AL323" s="287">
        <f t="shared" si="256"/>
        <v>126363.13999999977</v>
      </c>
      <c r="AM323" s="428">
        <f t="shared" si="221"/>
        <v>22</v>
      </c>
      <c r="AN323" s="14">
        <f t="shared" si="247"/>
        <v>749.98</v>
      </c>
      <c r="AO323" s="14">
        <f t="shared" si="230"/>
        <v>119667.7399999999</v>
      </c>
      <c r="AP323" s="14">
        <f t="shared" si="248"/>
        <v>959.90000000000009</v>
      </c>
      <c r="AS323" s="14">
        <f t="shared" si="216"/>
        <v>749.98</v>
      </c>
      <c r="AT323" s="14">
        <f t="shared" si="222"/>
        <v>198264.14000000071</v>
      </c>
      <c r="AU323" s="287">
        <f t="shared" si="223"/>
        <v>2145.5117687751149</v>
      </c>
      <c r="AV323" s="287">
        <f t="shared" si="224"/>
        <v>414849.04240130965</v>
      </c>
    </row>
    <row r="324" spans="1:48" x14ac:dyDescent="0.25">
      <c r="A324" s="519">
        <f t="shared" si="234"/>
        <v>53679</v>
      </c>
      <c r="B324" s="287">
        <f t="shared" si="217"/>
        <v>37615.429999999993</v>
      </c>
      <c r="C324" s="14">
        <f t="shared" si="211"/>
        <v>786.54</v>
      </c>
      <c r="D324" s="14">
        <f t="shared" si="225"/>
        <v>692.5</v>
      </c>
      <c r="E324" s="14">
        <f t="shared" si="212"/>
        <v>94.04</v>
      </c>
      <c r="F324" s="14">
        <f t="shared" si="235"/>
        <v>134.16999999999999</v>
      </c>
      <c r="G324" s="14">
        <f t="shared" si="232"/>
        <v>188.55</v>
      </c>
      <c r="H324" s="14">
        <f t="shared" si="233"/>
        <v>1109.26</v>
      </c>
      <c r="I324" s="287">
        <f t="shared" si="236"/>
        <v>150101.46999999991</v>
      </c>
      <c r="J324" s="287">
        <f t="shared" si="237"/>
        <v>94192.329999999929</v>
      </c>
      <c r="K324" s="287">
        <f t="shared" si="238"/>
        <v>36922.929999999993</v>
      </c>
      <c r="L324" s="428">
        <f t="shared" si="231"/>
        <v>22</v>
      </c>
      <c r="M324" s="428">
        <f t="shared" si="218"/>
        <v>265</v>
      </c>
      <c r="N324" s="287">
        <f t="shared" si="219"/>
        <v>111817.96999999997</v>
      </c>
      <c r="O324" s="287">
        <f t="shared" si="249"/>
        <v>1536.52</v>
      </c>
      <c r="P324" s="287">
        <f t="shared" si="226"/>
        <v>884.25</v>
      </c>
      <c r="Q324" s="287">
        <f t="shared" si="250"/>
        <v>652.27</v>
      </c>
      <c r="R324" s="287">
        <f t="shared" si="241"/>
        <v>134.16999999999999</v>
      </c>
      <c r="S324" s="287">
        <f t="shared" si="242"/>
        <v>188.55</v>
      </c>
      <c r="T324" s="287">
        <f t="shared" si="239"/>
        <v>1859.24</v>
      </c>
      <c r="U324" s="287">
        <f t="shared" si="227"/>
        <v>120016.28</v>
      </c>
      <c r="V324" s="287">
        <f t="shared" si="228"/>
        <v>288698.0399999998</v>
      </c>
      <c r="W324" s="287">
        <f t="shared" si="240"/>
        <v>110933.71999999997</v>
      </c>
      <c r="X324" s="519">
        <f t="shared" si="220"/>
        <v>53679</v>
      </c>
      <c r="Y324" s="287">
        <f t="shared" si="251"/>
        <v>126363.13999999977</v>
      </c>
      <c r="Z324" s="511">
        <f t="shared" si="213"/>
        <v>7.0000000000000007E-2</v>
      </c>
      <c r="AA324" s="287">
        <f t="shared" si="214"/>
        <v>1746.44</v>
      </c>
      <c r="AB324" s="287">
        <f t="shared" si="252"/>
        <v>1009.32</v>
      </c>
      <c r="AC324" s="287">
        <f t="shared" si="215"/>
        <v>737.12</v>
      </c>
      <c r="AD324" s="287">
        <f t="shared" si="243"/>
        <v>134.16999999999999</v>
      </c>
      <c r="AE324" s="287">
        <f t="shared" si="244"/>
        <v>188.55</v>
      </c>
      <c r="AF324" s="287">
        <f t="shared" si="253"/>
        <v>2069.1600000000003</v>
      </c>
      <c r="AG324" s="287">
        <f t="shared" si="254"/>
        <v>150594.98000000001</v>
      </c>
      <c r="AH324" s="287">
        <f t="shared" si="255"/>
        <v>282140.05999999982</v>
      </c>
      <c r="AI324" s="530">
        <f t="shared" si="245"/>
        <v>-24020.719999999936</v>
      </c>
      <c r="AJ324" s="530">
        <f t="shared" si="229"/>
        <v>-14420.099999999788</v>
      </c>
      <c r="AK324" s="530">
        <f t="shared" si="246"/>
        <v>-38440.819999999723</v>
      </c>
      <c r="AL324" s="287">
        <f t="shared" si="256"/>
        <v>125353.81999999976</v>
      </c>
      <c r="AM324" s="428">
        <f t="shared" si="221"/>
        <v>22</v>
      </c>
      <c r="AN324" s="14">
        <f t="shared" si="247"/>
        <v>749.98</v>
      </c>
      <c r="AO324" s="14">
        <f t="shared" si="230"/>
        <v>119475.9899999999</v>
      </c>
      <c r="AP324" s="14">
        <f t="shared" si="248"/>
        <v>959.90000000000009</v>
      </c>
      <c r="AS324" s="14">
        <f t="shared" si="216"/>
        <v>749.98</v>
      </c>
      <c r="AT324" s="14">
        <f t="shared" si="222"/>
        <v>199014.12000000072</v>
      </c>
      <c r="AU324" s="287">
        <f t="shared" si="223"/>
        <v>2152.663474671032</v>
      </c>
      <c r="AV324" s="287">
        <f t="shared" si="224"/>
        <v>417001.70587598067</v>
      </c>
    </row>
    <row r="325" spans="1:48" x14ac:dyDescent="0.25">
      <c r="A325" s="519">
        <f t="shared" si="234"/>
        <v>53709</v>
      </c>
      <c r="B325" s="287">
        <f t="shared" si="217"/>
        <v>36922.929999999993</v>
      </c>
      <c r="C325" s="14">
        <f t="shared" si="211"/>
        <v>786.54</v>
      </c>
      <c r="D325" s="14">
        <f t="shared" si="225"/>
        <v>694.23</v>
      </c>
      <c r="E325" s="14">
        <f t="shared" si="212"/>
        <v>92.31</v>
      </c>
      <c r="F325" s="14">
        <f t="shared" si="235"/>
        <v>134.16999999999999</v>
      </c>
      <c r="G325" s="14">
        <f t="shared" si="232"/>
        <v>188.55</v>
      </c>
      <c r="H325" s="14">
        <f t="shared" si="233"/>
        <v>1109.26</v>
      </c>
      <c r="I325" s="287">
        <f t="shared" si="236"/>
        <v>150795.69999999992</v>
      </c>
      <c r="J325" s="287">
        <f t="shared" si="237"/>
        <v>94284.639999999927</v>
      </c>
      <c r="K325" s="287">
        <f t="shared" si="238"/>
        <v>36228.69999999999</v>
      </c>
      <c r="L325" s="428">
        <f t="shared" si="231"/>
        <v>22</v>
      </c>
      <c r="M325" s="428">
        <f t="shared" si="218"/>
        <v>266</v>
      </c>
      <c r="N325" s="287">
        <f t="shared" si="219"/>
        <v>110933.71999999997</v>
      </c>
      <c r="O325" s="287">
        <f t="shared" si="249"/>
        <v>1536.52</v>
      </c>
      <c r="P325" s="287">
        <f t="shared" si="226"/>
        <v>889.41</v>
      </c>
      <c r="Q325" s="287">
        <f t="shared" si="250"/>
        <v>647.11</v>
      </c>
      <c r="R325" s="287">
        <f t="shared" si="241"/>
        <v>134.16999999999999</v>
      </c>
      <c r="S325" s="287">
        <f t="shared" si="242"/>
        <v>188.55</v>
      </c>
      <c r="T325" s="287">
        <f t="shared" si="239"/>
        <v>1859.24</v>
      </c>
      <c r="U325" s="287">
        <f t="shared" si="227"/>
        <v>120905.69</v>
      </c>
      <c r="V325" s="287">
        <f t="shared" si="228"/>
        <v>289345.14999999979</v>
      </c>
      <c r="W325" s="287">
        <f t="shared" si="240"/>
        <v>110044.30999999997</v>
      </c>
      <c r="X325" s="519">
        <f t="shared" si="220"/>
        <v>53709</v>
      </c>
      <c r="Y325" s="287">
        <f t="shared" si="251"/>
        <v>125353.81999999976</v>
      </c>
      <c r="Z325" s="511">
        <f t="shared" si="213"/>
        <v>7.0000000000000007E-2</v>
      </c>
      <c r="AA325" s="287">
        <f t="shared" si="214"/>
        <v>1746.44</v>
      </c>
      <c r="AB325" s="287">
        <f t="shared" si="252"/>
        <v>1015.21</v>
      </c>
      <c r="AC325" s="287">
        <f t="shared" si="215"/>
        <v>731.23</v>
      </c>
      <c r="AD325" s="287">
        <f t="shared" si="243"/>
        <v>134.16999999999999</v>
      </c>
      <c r="AE325" s="287">
        <f t="shared" si="244"/>
        <v>188.55</v>
      </c>
      <c r="AF325" s="287">
        <f t="shared" si="253"/>
        <v>2069.1600000000003</v>
      </c>
      <c r="AG325" s="287">
        <f t="shared" si="254"/>
        <v>151610.19</v>
      </c>
      <c r="AH325" s="287">
        <f t="shared" si="255"/>
        <v>282871.2899999998</v>
      </c>
      <c r="AI325" s="530">
        <f t="shared" si="245"/>
        <v>-24230.639999999934</v>
      </c>
      <c r="AJ325" s="530">
        <f t="shared" si="229"/>
        <v>-14294.299999999785</v>
      </c>
      <c r="AK325" s="530">
        <f t="shared" si="246"/>
        <v>-38524.939999999719</v>
      </c>
      <c r="AL325" s="287">
        <f t="shared" si="256"/>
        <v>124338.60999999975</v>
      </c>
      <c r="AM325" s="428">
        <f t="shared" si="221"/>
        <v>22</v>
      </c>
      <c r="AN325" s="14">
        <f t="shared" si="247"/>
        <v>749.98</v>
      </c>
      <c r="AO325" s="14">
        <f t="shared" si="230"/>
        <v>119280.80999999991</v>
      </c>
      <c r="AP325" s="14">
        <f t="shared" si="248"/>
        <v>959.90000000000009</v>
      </c>
      <c r="AS325" s="14">
        <f t="shared" si="216"/>
        <v>749.98</v>
      </c>
      <c r="AT325" s="14">
        <f t="shared" si="222"/>
        <v>199764.10000000073</v>
      </c>
      <c r="AU325" s="287">
        <f t="shared" si="223"/>
        <v>2159.8390195866023</v>
      </c>
      <c r="AV325" s="287">
        <f t="shared" si="224"/>
        <v>419161.54489556729</v>
      </c>
    </row>
    <row r="326" spans="1:48" ht="15.75" thickBot="1" x14ac:dyDescent="0.3">
      <c r="A326" s="522">
        <f t="shared" si="234"/>
        <v>53739</v>
      </c>
      <c r="B326" s="348">
        <f t="shared" si="217"/>
        <v>36228.69999999999</v>
      </c>
      <c r="C326" s="21">
        <f t="shared" si="211"/>
        <v>786.54</v>
      </c>
      <c r="D326" s="21">
        <f t="shared" si="225"/>
        <v>695.97</v>
      </c>
      <c r="E326" s="21">
        <f t="shared" si="212"/>
        <v>90.57</v>
      </c>
      <c r="F326" s="21">
        <f t="shared" si="235"/>
        <v>134.16999999999999</v>
      </c>
      <c r="G326" s="21">
        <f t="shared" si="232"/>
        <v>188.55</v>
      </c>
      <c r="H326" s="21">
        <f t="shared" si="233"/>
        <v>1109.26</v>
      </c>
      <c r="I326" s="348">
        <f t="shared" si="236"/>
        <v>151491.66999999993</v>
      </c>
      <c r="J326" s="348">
        <f t="shared" si="237"/>
        <v>94375.209999999934</v>
      </c>
      <c r="K326" s="348">
        <f t="shared" si="238"/>
        <v>35532.729999999989</v>
      </c>
      <c r="L326" s="429">
        <f t="shared" si="231"/>
        <v>22</v>
      </c>
      <c r="M326" s="429">
        <f t="shared" si="218"/>
        <v>267</v>
      </c>
      <c r="N326" s="348">
        <f t="shared" si="219"/>
        <v>110044.30999999997</v>
      </c>
      <c r="O326" s="348">
        <f t="shared" si="249"/>
        <v>1536.52</v>
      </c>
      <c r="P326" s="348">
        <f t="shared" si="226"/>
        <v>894.59</v>
      </c>
      <c r="Q326" s="348">
        <f t="shared" si="250"/>
        <v>641.92999999999995</v>
      </c>
      <c r="R326" s="348">
        <f t="shared" si="241"/>
        <v>134.16999999999999</v>
      </c>
      <c r="S326" s="348">
        <f t="shared" si="242"/>
        <v>188.55</v>
      </c>
      <c r="T326" s="348">
        <f t="shared" si="239"/>
        <v>1859.24</v>
      </c>
      <c r="U326" s="348">
        <f t="shared" si="227"/>
        <v>121800.28</v>
      </c>
      <c r="V326" s="348">
        <f t="shared" si="228"/>
        <v>289987.07999999978</v>
      </c>
      <c r="W326" s="348">
        <f t="shared" si="240"/>
        <v>109149.71999999997</v>
      </c>
      <c r="X326" s="522">
        <f t="shared" si="220"/>
        <v>53739</v>
      </c>
      <c r="Y326" s="348">
        <f t="shared" si="251"/>
        <v>124338.60999999975</v>
      </c>
      <c r="Z326" s="512">
        <f t="shared" si="213"/>
        <v>7.0000000000000007E-2</v>
      </c>
      <c r="AA326" s="348">
        <f t="shared" si="214"/>
        <v>1746.44</v>
      </c>
      <c r="AB326" s="348">
        <f t="shared" si="252"/>
        <v>1021.1300000000001</v>
      </c>
      <c r="AC326" s="348">
        <f t="shared" si="215"/>
        <v>725.31</v>
      </c>
      <c r="AD326" s="348">
        <f t="shared" si="243"/>
        <v>134.16999999999999</v>
      </c>
      <c r="AE326" s="348">
        <f t="shared" si="244"/>
        <v>188.55</v>
      </c>
      <c r="AF326" s="348">
        <f t="shared" si="253"/>
        <v>2069.1600000000003</v>
      </c>
      <c r="AG326" s="348">
        <f t="shared" si="254"/>
        <v>152631.32</v>
      </c>
      <c r="AH326" s="348">
        <f t="shared" si="255"/>
        <v>283596.5999999998</v>
      </c>
      <c r="AI326" s="531">
        <f t="shared" si="245"/>
        <v>-24440.559999999932</v>
      </c>
      <c r="AJ326" s="531">
        <f t="shared" si="229"/>
        <v>-14167.759999999776</v>
      </c>
      <c r="AK326" s="530">
        <f t="shared" si="246"/>
        <v>-38608.319999999709</v>
      </c>
      <c r="AL326" s="348">
        <f t="shared" si="256"/>
        <v>123317.47999999975</v>
      </c>
      <c r="AM326" s="429">
        <f t="shared" si="221"/>
        <v>22</v>
      </c>
      <c r="AN326" s="21">
        <f t="shared" si="247"/>
        <v>749.98</v>
      </c>
      <c r="AO326" s="21">
        <f t="shared" si="230"/>
        <v>119082.18999999992</v>
      </c>
      <c r="AP326" s="21">
        <f t="shared" si="248"/>
        <v>959.90000000000009</v>
      </c>
      <c r="AQ326" s="21"/>
      <c r="AR326" s="23"/>
      <c r="AS326" s="21">
        <f t="shared" si="216"/>
        <v>749.98</v>
      </c>
      <c r="AT326" s="21">
        <f t="shared" si="222"/>
        <v>200514.08000000074</v>
      </c>
      <c r="AU326" s="348">
        <f t="shared" si="223"/>
        <v>2167.0384829852242</v>
      </c>
      <c r="AV326" s="348">
        <f t="shared" si="224"/>
        <v>421328.58337855252</v>
      </c>
    </row>
    <row r="327" spans="1:48" x14ac:dyDescent="0.25">
      <c r="A327" s="519">
        <f t="shared" si="234"/>
        <v>53769</v>
      </c>
      <c r="B327" s="287">
        <f t="shared" si="217"/>
        <v>35532.729999999989</v>
      </c>
      <c r="C327" s="14">
        <f t="shared" si="211"/>
        <v>786.54</v>
      </c>
      <c r="D327" s="14">
        <f t="shared" si="225"/>
        <v>697.70999999999992</v>
      </c>
      <c r="E327" s="14">
        <f t="shared" si="212"/>
        <v>88.83</v>
      </c>
      <c r="F327" s="14">
        <f t="shared" si="235"/>
        <v>134.16999999999999</v>
      </c>
      <c r="G327" s="14">
        <f t="shared" si="232"/>
        <v>188.55</v>
      </c>
      <c r="H327" s="14">
        <f t="shared" si="233"/>
        <v>1109.26</v>
      </c>
      <c r="I327" s="287">
        <f t="shared" si="236"/>
        <v>152189.37999999992</v>
      </c>
      <c r="J327" s="287">
        <f t="shared" si="237"/>
        <v>94464.039999999935</v>
      </c>
      <c r="K327" s="287">
        <f t="shared" si="238"/>
        <v>34835.01999999999</v>
      </c>
      <c r="L327" s="428">
        <f t="shared" si="231"/>
        <v>22</v>
      </c>
      <c r="M327" s="428">
        <f t="shared" si="218"/>
        <v>268</v>
      </c>
      <c r="N327" s="287">
        <f t="shared" si="219"/>
        <v>109149.71999999997</v>
      </c>
      <c r="O327" s="287">
        <f t="shared" si="249"/>
        <v>1536.52</v>
      </c>
      <c r="P327" s="287">
        <f t="shared" si="226"/>
        <v>899.81</v>
      </c>
      <c r="Q327" s="287">
        <f t="shared" si="250"/>
        <v>636.71</v>
      </c>
      <c r="R327" s="287">
        <f t="shared" si="241"/>
        <v>134.16999999999999</v>
      </c>
      <c r="S327" s="287">
        <f t="shared" si="242"/>
        <v>188.55</v>
      </c>
      <c r="T327" s="287">
        <f t="shared" si="239"/>
        <v>1859.24</v>
      </c>
      <c r="U327" s="287">
        <f t="shared" si="227"/>
        <v>122700.09</v>
      </c>
      <c r="V327" s="287">
        <f t="shared" si="228"/>
        <v>290623.7899999998</v>
      </c>
      <c r="W327" s="287">
        <f t="shared" si="240"/>
        <v>108249.90999999997</v>
      </c>
      <c r="X327" s="519">
        <f t="shared" si="220"/>
        <v>53769</v>
      </c>
      <c r="Y327" s="287">
        <f t="shared" si="251"/>
        <v>123317.47999999975</v>
      </c>
      <c r="Z327" s="511">
        <f t="shared" si="213"/>
        <v>7.0000000000000007E-2</v>
      </c>
      <c r="AA327" s="287">
        <f t="shared" si="214"/>
        <v>1746.44</v>
      </c>
      <c r="AB327" s="287">
        <f t="shared" si="252"/>
        <v>1027.0900000000001</v>
      </c>
      <c r="AC327" s="287">
        <f t="shared" si="215"/>
        <v>719.35</v>
      </c>
      <c r="AD327" s="287">
        <f t="shared" si="243"/>
        <v>134.16999999999999</v>
      </c>
      <c r="AE327" s="287">
        <f t="shared" si="244"/>
        <v>188.55</v>
      </c>
      <c r="AF327" s="287">
        <f t="shared" si="253"/>
        <v>2069.1600000000003</v>
      </c>
      <c r="AG327" s="287">
        <f t="shared" si="254"/>
        <v>153658.41</v>
      </c>
      <c r="AH327" s="287">
        <f t="shared" si="255"/>
        <v>284315.94999999978</v>
      </c>
      <c r="AI327" s="530">
        <f t="shared" si="245"/>
        <v>-24650.47999999993</v>
      </c>
      <c r="AJ327" s="530">
        <f t="shared" si="229"/>
        <v>-14040.479999999778</v>
      </c>
      <c r="AK327" s="530">
        <f t="shared" si="246"/>
        <v>-38690.959999999708</v>
      </c>
      <c r="AL327" s="287">
        <f t="shared" si="256"/>
        <v>122290.38999999975</v>
      </c>
      <c r="AM327" s="428">
        <f t="shared" si="221"/>
        <v>22</v>
      </c>
      <c r="AN327" s="14">
        <f t="shared" si="247"/>
        <v>749.98</v>
      </c>
      <c r="AO327" s="14">
        <f t="shared" si="230"/>
        <v>118880.08999999991</v>
      </c>
      <c r="AP327" s="14">
        <f t="shared" si="248"/>
        <v>959.90000000000009</v>
      </c>
      <c r="AS327" s="14">
        <f t="shared" si="216"/>
        <v>749.98</v>
      </c>
      <c r="AT327" s="14">
        <f t="shared" si="222"/>
        <v>201264.06000000075</v>
      </c>
      <c r="AU327" s="287">
        <f t="shared" si="223"/>
        <v>2174.261944595175</v>
      </c>
      <c r="AV327" s="287">
        <f t="shared" si="224"/>
        <v>423502.84532314772</v>
      </c>
    </row>
    <row r="328" spans="1:48" x14ac:dyDescent="0.25">
      <c r="A328" s="519">
        <f t="shared" si="234"/>
        <v>53799</v>
      </c>
      <c r="B328" s="287">
        <f t="shared" si="217"/>
        <v>34835.01999999999</v>
      </c>
      <c r="C328" s="14">
        <f t="shared" si="211"/>
        <v>786.54</v>
      </c>
      <c r="D328" s="14">
        <f t="shared" si="225"/>
        <v>699.44999999999993</v>
      </c>
      <c r="E328" s="14">
        <f t="shared" si="212"/>
        <v>87.09</v>
      </c>
      <c r="F328" s="14">
        <f t="shared" si="235"/>
        <v>134.16999999999999</v>
      </c>
      <c r="G328" s="14">
        <f t="shared" si="232"/>
        <v>188.55</v>
      </c>
      <c r="H328" s="14">
        <f t="shared" si="233"/>
        <v>1109.26</v>
      </c>
      <c r="I328" s="287">
        <f t="shared" si="236"/>
        <v>152888.82999999993</v>
      </c>
      <c r="J328" s="287">
        <f t="shared" si="237"/>
        <v>94551.129999999932</v>
      </c>
      <c r="K328" s="287">
        <f t="shared" si="238"/>
        <v>34135.569999999992</v>
      </c>
      <c r="L328" s="428">
        <f t="shared" si="231"/>
        <v>22</v>
      </c>
      <c r="M328" s="428">
        <f t="shared" si="218"/>
        <v>269</v>
      </c>
      <c r="N328" s="287">
        <f t="shared" si="219"/>
        <v>108249.90999999997</v>
      </c>
      <c r="O328" s="287">
        <f t="shared" si="249"/>
        <v>1536.52</v>
      </c>
      <c r="P328" s="287">
        <f t="shared" si="226"/>
        <v>905.06</v>
      </c>
      <c r="Q328" s="287">
        <f t="shared" si="250"/>
        <v>631.46</v>
      </c>
      <c r="R328" s="287">
        <f t="shared" si="241"/>
        <v>134.16999999999999</v>
      </c>
      <c r="S328" s="287">
        <f t="shared" si="242"/>
        <v>188.55</v>
      </c>
      <c r="T328" s="287">
        <f t="shared" si="239"/>
        <v>1859.24</v>
      </c>
      <c r="U328" s="287">
        <f t="shared" si="227"/>
        <v>123605.15</v>
      </c>
      <c r="V328" s="287">
        <f t="shared" si="228"/>
        <v>291255.24999999983</v>
      </c>
      <c r="W328" s="287">
        <f t="shared" si="240"/>
        <v>107344.84999999998</v>
      </c>
      <c r="X328" s="519">
        <f t="shared" si="220"/>
        <v>53799</v>
      </c>
      <c r="Y328" s="287">
        <f t="shared" si="251"/>
        <v>122290.38999999975</v>
      </c>
      <c r="Z328" s="511">
        <f t="shared" si="213"/>
        <v>7.0000000000000007E-2</v>
      </c>
      <c r="AA328" s="287">
        <f t="shared" si="214"/>
        <v>1746.44</v>
      </c>
      <c r="AB328" s="287">
        <f t="shared" si="252"/>
        <v>1033.08</v>
      </c>
      <c r="AC328" s="287">
        <f t="shared" si="215"/>
        <v>713.36</v>
      </c>
      <c r="AD328" s="287">
        <f t="shared" si="243"/>
        <v>134.16999999999999</v>
      </c>
      <c r="AE328" s="287">
        <f t="shared" si="244"/>
        <v>188.55</v>
      </c>
      <c r="AF328" s="287">
        <f t="shared" si="253"/>
        <v>2069.1600000000003</v>
      </c>
      <c r="AG328" s="287">
        <f t="shared" si="254"/>
        <v>154691.49</v>
      </c>
      <c r="AH328" s="287">
        <f t="shared" si="255"/>
        <v>285029.30999999976</v>
      </c>
      <c r="AI328" s="530">
        <f t="shared" si="245"/>
        <v>-24860.399999999929</v>
      </c>
      <c r="AJ328" s="530">
        <f t="shared" si="229"/>
        <v>-13912.459999999774</v>
      </c>
      <c r="AK328" s="530">
        <f t="shared" si="246"/>
        <v>-38772.859999999702</v>
      </c>
      <c r="AL328" s="287">
        <f t="shared" si="256"/>
        <v>121257.30999999975</v>
      </c>
      <c r="AM328" s="428">
        <f t="shared" si="221"/>
        <v>22</v>
      </c>
      <c r="AN328" s="14">
        <f t="shared" si="247"/>
        <v>749.98</v>
      </c>
      <c r="AO328" s="14">
        <f t="shared" si="230"/>
        <v>118674.47999999992</v>
      </c>
      <c r="AP328" s="14">
        <f t="shared" si="248"/>
        <v>959.90000000000009</v>
      </c>
      <c r="AS328" s="14">
        <f t="shared" si="216"/>
        <v>749.98</v>
      </c>
      <c r="AT328" s="14">
        <f t="shared" si="222"/>
        <v>202014.04000000076</v>
      </c>
      <c r="AU328" s="287">
        <f t="shared" si="223"/>
        <v>2181.5094844104924</v>
      </c>
      <c r="AV328" s="287">
        <f t="shared" si="224"/>
        <v>425684.35480755824</v>
      </c>
    </row>
    <row r="329" spans="1:48" x14ac:dyDescent="0.25">
      <c r="A329" s="519">
        <f t="shared" si="234"/>
        <v>53829</v>
      </c>
      <c r="B329" s="287">
        <f t="shared" si="217"/>
        <v>34135.569999999992</v>
      </c>
      <c r="C329" s="14">
        <f t="shared" si="211"/>
        <v>786.54</v>
      </c>
      <c r="D329" s="14">
        <f t="shared" si="225"/>
        <v>701.19999999999993</v>
      </c>
      <c r="E329" s="14">
        <f t="shared" si="212"/>
        <v>85.34</v>
      </c>
      <c r="F329" s="14">
        <f t="shared" si="235"/>
        <v>134.16999999999999</v>
      </c>
      <c r="G329" s="14">
        <f t="shared" si="232"/>
        <v>188.55</v>
      </c>
      <c r="H329" s="14">
        <f t="shared" si="233"/>
        <v>1109.26</v>
      </c>
      <c r="I329" s="287">
        <f t="shared" si="236"/>
        <v>153590.02999999994</v>
      </c>
      <c r="J329" s="287">
        <f t="shared" si="237"/>
        <v>94636.469999999928</v>
      </c>
      <c r="K329" s="287">
        <f t="shared" si="238"/>
        <v>33434.369999999995</v>
      </c>
      <c r="L329" s="428">
        <f t="shared" si="231"/>
        <v>22</v>
      </c>
      <c r="M329" s="428">
        <f t="shared" si="218"/>
        <v>270</v>
      </c>
      <c r="N329" s="287">
        <f t="shared" si="219"/>
        <v>107344.84999999998</v>
      </c>
      <c r="O329" s="287">
        <f t="shared" si="249"/>
        <v>1536.52</v>
      </c>
      <c r="P329" s="287">
        <f t="shared" si="226"/>
        <v>910.34</v>
      </c>
      <c r="Q329" s="287">
        <f t="shared" si="250"/>
        <v>626.17999999999995</v>
      </c>
      <c r="R329" s="287">
        <f t="shared" si="241"/>
        <v>134.16999999999999</v>
      </c>
      <c r="S329" s="287">
        <f t="shared" si="242"/>
        <v>188.55</v>
      </c>
      <c r="T329" s="287">
        <f t="shared" si="239"/>
        <v>1859.24</v>
      </c>
      <c r="U329" s="287">
        <f t="shared" si="227"/>
        <v>124515.48999999999</v>
      </c>
      <c r="V329" s="287">
        <f t="shared" si="228"/>
        <v>291881.42999999982</v>
      </c>
      <c r="W329" s="287">
        <f t="shared" si="240"/>
        <v>106434.50999999998</v>
      </c>
      <c r="X329" s="519">
        <f t="shared" si="220"/>
        <v>53829</v>
      </c>
      <c r="Y329" s="287">
        <f t="shared" si="251"/>
        <v>121257.30999999975</v>
      </c>
      <c r="Z329" s="511">
        <f t="shared" si="213"/>
        <v>7.0000000000000007E-2</v>
      </c>
      <c r="AA329" s="287">
        <f t="shared" si="214"/>
        <v>1746.44</v>
      </c>
      <c r="AB329" s="287">
        <f t="shared" si="252"/>
        <v>1039.1100000000001</v>
      </c>
      <c r="AC329" s="287">
        <f t="shared" si="215"/>
        <v>707.33</v>
      </c>
      <c r="AD329" s="287">
        <f t="shared" si="243"/>
        <v>134.16999999999999</v>
      </c>
      <c r="AE329" s="287">
        <f t="shared" si="244"/>
        <v>188.55</v>
      </c>
      <c r="AF329" s="287">
        <f t="shared" si="253"/>
        <v>2069.1600000000003</v>
      </c>
      <c r="AG329" s="287">
        <f t="shared" si="254"/>
        <v>155730.59999999998</v>
      </c>
      <c r="AH329" s="287">
        <f t="shared" si="255"/>
        <v>285736.63999999978</v>
      </c>
      <c r="AI329" s="530">
        <f t="shared" si="245"/>
        <v>-25070.319999999927</v>
      </c>
      <c r="AJ329" s="530">
        <f t="shared" si="229"/>
        <v>-13783.689999999769</v>
      </c>
      <c r="AK329" s="530">
        <f t="shared" si="246"/>
        <v>-38854.009999999696</v>
      </c>
      <c r="AL329" s="287">
        <f t="shared" si="256"/>
        <v>120218.19999999975</v>
      </c>
      <c r="AM329" s="428">
        <f t="shared" si="221"/>
        <v>22</v>
      </c>
      <c r="AN329" s="14">
        <f t="shared" si="247"/>
        <v>749.98</v>
      </c>
      <c r="AO329" s="14">
        <f t="shared" si="230"/>
        <v>118465.33999999994</v>
      </c>
      <c r="AP329" s="14">
        <f t="shared" si="248"/>
        <v>959.90000000000009</v>
      </c>
      <c r="AS329" s="14">
        <f t="shared" si="216"/>
        <v>749.98</v>
      </c>
      <c r="AT329" s="14">
        <f t="shared" si="222"/>
        <v>202764.02000000078</v>
      </c>
      <c r="AU329" s="287">
        <f t="shared" si="223"/>
        <v>2188.781182691861</v>
      </c>
      <c r="AV329" s="287">
        <f t="shared" si="224"/>
        <v>427873.1359902501</v>
      </c>
    </row>
    <row r="330" spans="1:48" x14ac:dyDescent="0.25">
      <c r="A330" s="519">
        <f t="shared" si="234"/>
        <v>53859</v>
      </c>
      <c r="B330" s="287">
        <f t="shared" si="217"/>
        <v>33434.369999999995</v>
      </c>
      <c r="C330" s="14">
        <f t="shared" si="211"/>
        <v>786.54</v>
      </c>
      <c r="D330" s="14">
        <f t="shared" si="225"/>
        <v>702.94999999999993</v>
      </c>
      <c r="E330" s="14">
        <f t="shared" si="212"/>
        <v>83.59</v>
      </c>
      <c r="F330" s="14">
        <f t="shared" si="235"/>
        <v>134.16999999999999</v>
      </c>
      <c r="G330" s="14">
        <f t="shared" si="232"/>
        <v>188.55</v>
      </c>
      <c r="H330" s="14">
        <f t="shared" si="233"/>
        <v>1109.26</v>
      </c>
      <c r="I330" s="287">
        <f t="shared" si="236"/>
        <v>154292.97999999995</v>
      </c>
      <c r="J330" s="287">
        <f t="shared" si="237"/>
        <v>94720.059999999925</v>
      </c>
      <c r="K330" s="287">
        <f t="shared" si="238"/>
        <v>32731.419999999995</v>
      </c>
      <c r="L330" s="428">
        <f t="shared" si="231"/>
        <v>22</v>
      </c>
      <c r="M330" s="428">
        <f t="shared" si="218"/>
        <v>271</v>
      </c>
      <c r="N330" s="287">
        <f t="shared" si="219"/>
        <v>106434.50999999998</v>
      </c>
      <c r="O330" s="287">
        <f t="shared" si="249"/>
        <v>1536.52</v>
      </c>
      <c r="P330" s="287">
        <f t="shared" si="226"/>
        <v>915.65</v>
      </c>
      <c r="Q330" s="287">
        <f t="shared" si="250"/>
        <v>620.87</v>
      </c>
      <c r="R330" s="287">
        <f t="shared" si="241"/>
        <v>134.16999999999999</v>
      </c>
      <c r="S330" s="287">
        <f t="shared" si="242"/>
        <v>188.55</v>
      </c>
      <c r="T330" s="287">
        <f t="shared" si="239"/>
        <v>1859.24</v>
      </c>
      <c r="U330" s="287">
        <f t="shared" si="227"/>
        <v>125431.13999999998</v>
      </c>
      <c r="V330" s="287">
        <f t="shared" si="228"/>
        <v>292502.29999999981</v>
      </c>
      <c r="W330" s="287">
        <f t="shared" si="240"/>
        <v>105518.85999999999</v>
      </c>
      <c r="X330" s="519">
        <f t="shared" si="220"/>
        <v>53859</v>
      </c>
      <c r="Y330" s="287">
        <f t="shared" si="251"/>
        <v>120218.19999999975</v>
      </c>
      <c r="Z330" s="511">
        <f t="shared" si="213"/>
        <v>7.0000000000000007E-2</v>
      </c>
      <c r="AA330" s="287">
        <f t="shared" si="214"/>
        <v>1746.44</v>
      </c>
      <c r="AB330" s="287">
        <f t="shared" si="252"/>
        <v>1045.17</v>
      </c>
      <c r="AC330" s="287">
        <f t="shared" si="215"/>
        <v>701.27</v>
      </c>
      <c r="AD330" s="287">
        <f t="shared" si="243"/>
        <v>134.16999999999999</v>
      </c>
      <c r="AE330" s="287">
        <f t="shared" si="244"/>
        <v>188.55</v>
      </c>
      <c r="AF330" s="287">
        <f t="shared" si="253"/>
        <v>2069.1600000000003</v>
      </c>
      <c r="AG330" s="287">
        <f t="shared" si="254"/>
        <v>156775.76999999999</v>
      </c>
      <c r="AH330" s="287">
        <f t="shared" si="255"/>
        <v>286437.9099999998</v>
      </c>
      <c r="AI330" s="530">
        <f t="shared" si="245"/>
        <v>-25280.239999999925</v>
      </c>
      <c r="AJ330" s="530">
        <f t="shared" si="229"/>
        <v>-13654.169999999765</v>
      </c>
      <c r="AK330" s="530">
        <f t="shared" si="246"/>
        <v>-38934.409999999691</v>
      </c>
      <c r="AL330" s="287">
        <f t="shared" si="256"/>
        <v>119173.02999999975</v>
      </c>
      <c r="AM330" s="428">
        <f t="shared" si="221"/>
        <v>22</v>
      </c>
      <c r="AN330" s="14">
        <f t="shared" si="247"/>
        <v>749.98</v>
      </c>
      <c r="AO330" s="14">
        <f t="shared" si="230"/>
        <v>118252.63999999996</v>
      </c>
      <c r="AP330" s="14">
        <f t="shared" si="248"/>
        <v>959.90000000000009</v>
      </c>
      <c r="AS330" s="14">
        <f t="shared" si="216"/>
        <v>749.98</v>
      </c>
      <c r="AT330" s="14">
        <f t="shared" si="222"/>
        <v>203514.00000000079</v>
      </c>
      <c r="AU330" s="287">
        <f t="shared" si="223"/>
        <v>2196.0771199675005</v>
      </c>
      <c r="AV330" s="287">
        <f t="shared" si="224"/>
        <v>430069.21311021759</v>
      </c>
    </row>
    <row r="331" spans="1:48" x14ac:dyDescent="0.25">
      <c r="A331" s="519">
        <f t="shared" si="234"/>
        <v>53889</v>
      </c>
      <c r="B331" s="287">
        <f t="shared" si="217"/>
        <v>32731.419999999995</v>
      </c>
      <c r="C331" s="14">
        <f t="shared" si="211"/>
        <v>786.54</v>
      </c>
      <c r="D331" s="14">
        <f t="shared" si="225"/>
        <v>704.70999999999992</v>
      </c>
      <c r="E331" s="14">
        <f t="shared" si="212"/>
        <v>81.83</v>
      </c>
      <c r="F331" s="14">
        <f t="shared" si="235"/>
        <v>134.16999999999999</v>
      </c>
      <c r="G331" s="14">
        <f t="shared" si="232"/>
        <v>188.55</v>
      </c>
      <c r="H331" s="14">
        <f t="shared" si="233"/>
        <v>1109.26</v>
      </c>
      <c r="I331" s="287">
        <f t="shared" si="236"/>
        <v>154997.68999999994</v>
      </c>
      <c r="J331" s="287">
        <f t="shared" si="237"/>
        <v>94801.889999999927</v>
      </c>
      <c r="K331" s="287">
        <f t="shared" si="238"/>
        <v>32026.709999999995</v>
      </c>
      <c r="L331" s="428">
        <f t="shared" si="231"/>
        <v>22</v>
      </c>
      <c r="M331" s="428">
        <f t="shared" si="218"/>
        <v>272</v>
      </c>
      <c r="N331" s="287">
        <f t="shared" si="219"/>
        <v>105518.85999999999</v>
      </c>
      <c r="O331" s="287">
        <f t="shared" si="249"/>
        <v>1536.52</v>
      </c>
      <c r="P331" s="287">
        <f t="shared" si="226"/>
        <v>920.99</v>
      </c>
      <c r="Q331" s="287">
        <f t="shared" si="250"/>
        <v>615.53</v>
      </c>
      <c r="R331" s="287">
        <f t="shared" si="241"/>
        <v>134.16999999999999</v>
      </c>
      <c r="S331" s="287">
        <f t="shared" si="242"/>
        <v>188.55</v>
      </c>
      <c r="T331" s="287">
        <f t="shared" si="239"/>
        <v>1859.24</v>
      </c>
      <c r="U331" s="287">
        <f t="shared" si="227"/>
        <v>126352.12999999999</v>
      </c>
      <c r="V331" s="287">
        <f t="shared" si="228"/>
        <v>293117.82999999984</v>
      </c>
      <c r="W331" s="287">
        <f t="shared" si="240"/>
        <v>104597.86999999998</v>
      </c>
      <c r="X331" s="519">
        <f t="shared" si="220"/>
        <v>53889</v>
      </c>
      <c r="Y331" s="287">
        <f t="shared" si="251"/>
        <v>119173.02999999975</v>
      </c>
      <c r="Z331" s="511">
        <f t="shared" si="213"/>
        <v>7.0000000000000007E-2</v>
      </c>
      <c r="AA331" s="287">
        <f t="shared" si="214"/>
        <v>1746.44</v>
      </c>
      <c r="AB331" s="287">
        <f t="shared" si="252"/>
        <v>1051.2600000000002</v>
      </c>
      <c r="AC331" s="287">
        <f t="shared" si="215"/>
        <v>695.18</v>
      </c>
      <c r="AD331" s="287">
        <f t="shared" si="243"/>
        <v>134.16999999999999</v>
      </c>
      <c r="AE331" s="287">
        <f t="shared" si="244"/>
        <v>188.55</v>
      </c>
      <c r="AF331" s="287">
        <f t="shared" si="253"/>
        <v>2069.1600000000003</v>
      </c>
      <c r="AG331" s="287">
        <f t="shared" si="254"/>
        <v>157827.03</v>
      </c>
      <c r="AH331" s="287">
        <f t="shared" si="255"/>
        <v>287133.08999999979</v>
      </c>
      <c r="AI331" s="530">
        <f t="shared" si="245"/>
        <v>-25490.159999999923</v>
      </c>
      <c r="AJ331" s="530">
        <f t="shared" si="229"/>
        <v>-13523.899999999776</v>
      </c>
      <c r="AK331" s="530">
        <f t="shared" si="246"/>
        <v>-39014.059999999699</v>
      </c>
      <c r="AL331" s="287">
        <f t="shared" si="256"/>
        <v>118121.76999999976</v>
      </c>
      <c r="AM331" s="428">
        <f t="shared" si="221"/>
        <v>22</v>
      </c>
      <c r="AN331" s="14">
        <f t="shared" si="247"/>
        <v>749.98</v>
      </c>
      <c r="AO331" s="14">
        <f t="shared" si="230"/>
        <v>118036.35999999994</v>
      </c>
      <c r="AP331" s="14">
        <f t="shared" si="248"/>
        <v>959.90000000000009</v>
      </c>
      <c r="AS331" s="14">
        <f t="shared" si="216"/>
        <v>749.98</v>
      </c>
      <c r="AT331" s="14">
        <f t="shared" si="222"/>
        <v>204263.9800000008</v>
      </c>
      <c r="AU331" s="287">
        <f t="shared" si="223"/>
        <v>2203.3973770340585</v>
      </c>
      <c r="AV331" s="287">
        <f t="shared" si="224"/>
        <v>432272.61048725166</v>
      </c>
    </row>
    <row r="332" spans="1:48" x14ac:dyDescent="0.25">
      <c r="A332" s="519">
        <f t="shared" si="234"/>
        <v>53919</v>
      </c>
      <c r="B332" s="287">
        <f t="shared" si="217"/>
        <v>32026.709999999995</v>
      </c>
      <c r="C332" s="14">
        <f t="shared" si="211"/>
        <v>786.54</v>
      </c>
      <c r="D332" s="14">
        <f t="shared" si="225"/>
        <v>706.47</v>
      </c>
      <c r="E332" s="14">
        <f t="shared" si="212"/>
        <v>80.069999999999993</v>
      </c>
      <c r="F332" s="14">
        <f t="shared" si="235"/>
        <v>134.16999999999999</v>
      </c>
      <c r="G332" s="14">
        <f t="shared" si="232"/>
        <v>188.55</v>
      </c>
      <c r="H332" s="14">
        <f t="shared" si="233"/>
        <v>1109.26</v>
      </c>
      <c r="I332" s="287">
        <f t="shared" si="236"/>
        <v>155704.15999999995</v>
      </c>
      <c r="J332" s="287">
        <f t="shared" si="237"/>
        <v>94881.959999999934</v>
      </c>
      <c r="K332" s="287">
        <f t="shared" si="238"/>
        <v>31320.239999999994</v>
      </c>
      <c r="L332" s="428">
        <f t="shared" si="231"/>
        <v>22</v>
      </c>
      <c r="M332" s="428">
        <f t="shared" si="218"/>
        <v>273</v>
      </c>
      <c r="N332" s="287">
        <f t="shared" si="219"/>
        <v>104597.86999999998</v>
      </c>
      <c r="O332" s="287">
        <f t="shared" si="249"/>
        <v>1536.52</v>
      </c>
      <c r="P332" s="287">
        <f t="shared" si="226"/>
        <v>926.37</v>
      </c>
      <c r="Q332" s="287">
        <f t="shared" si="250"/>
        <v>610.15</v>
      </c>
      <c r="R332" s="287">
        <f t="shared" si="241"/>
        <v>134.16999999999999</v>
      </c>
      <c r="S332" s="287">
        <f t="shared" si="242"/>
        <v>188.55</v>
      </c>
      <c r="T332" s="287">
        <f t="shared" si="239"/>
        <v>1859.24</v>
      </c>
      <c r="U332" s="287">
        <f t="shared" si="227"/>
        <v>127278.49999999999</v>
      </c>
      <c r="V332" s="287">
        <f t="shared" si="228"/>
        <v>293727.97999999986</v>
      </c>
      <c r="W332" s="287">
        <f t="shared" si="240"/>
        <v>103671.49999999999</v>
      </c>
      <c r="X332" s="519">
        <f t="shared" si="220"/>
        <v>53919</v>
      </c>
      <c r="Y332" s="287">
        <f t="shared" si="251"/>
        <v>118121.76999999976</v>
      </c>
      <c r="Z332" s="511">
        <f t="shared" si="213"/>
        <v>7.0000000000000007E-2</v>
      </c>
      <c r="AA332" s="287">
        <f t="shared" si="214"/>
        <v>1746.44</v>
      </c>
      <c r="AB332" s="287">
        <f t="shared" si="252"/>
        <v>1057.4000000000001</v>
      </c>
      <c r="AC332" s="287">
        <f t="shared" si="215"/>
        <v>689.04</v>
      </c>
      <c r="AD332" s="287">
        <f t="shared" si="243"/>
        <v>134.16999999999999</v>
      </c>
      <c r="AE332" s="287">
        <f t="shared" si="244"/>
        <v>188.55</v>
      </c>
      <c r="AF332" s="287">
        <f t="shared" si="253"/>
        <v>2069.1600000000003</v>
      </c>
      <c r="AG332" s="287">
        <f t="shared" si="254"/>
        <v>158884.43</v>
      </c>
      <c r="AH332" s="287">
        <f t="shared" si="255"/>
        <v>287822.12999999977</v>
      </c>
      <c r="AI332" s="530">
        <f t="shared" si="245"/>
        <v>-25700.079999999922</v>
      </c>
      <c r="AJ332" s="530">
        <f t="shared" si="229"/>
        <v>-13392.869999999777</v>
      </c>
      <c r="AK332" s="530">
        <f t="shared" si="246"/>
        <v>-39092.949999999699</v>
      </c>
      <c r="AL332" s="287">
        <f t="shared" si="256"/>
        <v>117064.36999999976</v>
      </c>
      <c r="AM332" s="428">
        <f t="shared" si="221"/>
        <v>22</v>
      </c>
      <c r="AN332" s="14">
        <f t="shared" si="247"/>
        <v>749.98</v>
      </c>
      <c r="AO332" s="14">
        <f t="shared" si="230"/>
        <v>117816.45999999995</v>
      </c>
      <c r="AP332" s="14">
        <f t="shared" si="248"/>
        <v>959.90000000000009</v>
      </c>
      <c r="AS332" s="14">
        <f t="shared" si="216"/>
        <v>749.98</v>
      </c>
      <c r="AT332" s="14">
        <f t="shared" si="222"/>
        <v>205013.96000000081</v>
      </c>
      <c r="AU332" s="287">
        <f t="shared" si="223"/>
        <v>2210.7420349575054</v>
      </c>
      <c r="AV332" s="287">
        <f t="shared" si="224"/>
        <v>434483.35252220917</v>
      </c>
    </row>
    <row r="333" spans="1:48" x14ac:dyDescent="0.25">
      <c r="A333" s="519">
        <f t="shared" si="234"/>
        <v>53949</v>
      </c>
      <c r="B333" s="287">
        <f t="shared" si="217"/>
        <v>31320.239999999994</v>
      </c>
      <c r="C333" s="14">
        <f t="shared" si="211"/>
        <v>786.54</v>
      </c>
      <c r="D333" s="14">
        <f t="shared" si="225"/>
        <v>708.24</v>
      </c>
      <c r="E333" s="14">
        <f t="shared" si="212"/>
        <v>78.3</v>
      </c>
      <c r="F333" s="14">
        <f t="shared" si="235"/>
        <v>134.16999999999999</v>
      </c>
      <c r="G333" s="14">
        <f t="shared" si="232"/>
        <v>188.55</v>
      </c>
      <c r="H333" s="14">
        <f t="shared" si="233"/>
        <v>1109.26</v>
      </c>
      <c r="I333" s="287">
        <f t="shared" si="236"/>
        <v>156412.39999999994</v>
      </c>
      <c r="J333" s="287">
        <f t="shared" si="237"/>
        <v>94960.259999999937</v>
      </c>
      <c r="K333" s="287">
        <f t="shared" si="238"/>
        <v>30611.999999999993</v>
      </c>
      <c r="L333" s="428">
        <f t="shared" si="231"/>
        <v>22</v>
      </c>
      <c r="M333" s="428">
        <f t="shared" si="218"/>
        <v>274</v>
      </c>
      <c r="N333" s="287">
        <f t="shared" si="219"/>
        <v>103671.49999999999</v>
      </c>
      <c r="O333" s="287">
        <f t="shared" si="249"/>
        <v>1536.52</v>
      </c>
      <c r="P333" s="287">
        <f t="shared" si="226"/>
        <v>931.77</v>
      </c>
      <c r="Q333" s="287">
        <f t="shared" si="250"/>
        <v>604.75</v>
      </c>
      <c r="R333" s="287">
        <f t="shared" si="241"/>
        <v>134.16999999999999</v>
      </c>
      <c r="S333" s="287">
        <f t="shared" si="242"/>
        <v>188.55</v>
      </c>
      <c r="T333" s="287">
        <f t="shared" si="239"/>
        <v>1859.24</v>
      </c>
      <c r="U333" s="287">
        <f t="shared" si="227"/>
        <v>128210.26999999999</v>
      </c>
      <c r="V333" s="287">
        <f t="shared" si="228"/>
        <v>294332.72999999986</v>
      </c>
      <c r="W333" s="287">
        <f t="shared" si="240"/>
        <v>102739.72999999998</v>
      </c>
      <c r="X333" s="519">
        <f t="shared" si="220"/>
        <v>53949</v>
      </c>
      <c r="Y333" s="287">
        <f t="shared" si="251"/>
        <v>117064.36999999976</v>
      </c>
      <c r="Z333" s="511">
        <f t="shared" si="213"/>
        <v>7.0000000000000007E-2</v>
      </c>
      <c r="AA333" s="287">
        <f t="shared" si="214"/>
        <v>1746.44</v>
      </c>
      <c r="AB333" s="287">
        <f t="shared" si="252"/>
        <v>1063.56</v>
      </c>
      <c r="AC333" s="287">
        <f t="shared" si="215"/>
        <v>682.88</v>
      </c>
      <c r="AD333" s="287">
        <f t="shared" si="243"/>
        <v>134.16999999999999</v>
      </c>
      <c r="AE333" s="287">
        <f t="shared" si="244"/>
        <v>188.55</v>
      </c>
      <c r="AF333" s="287">
        <f t="shared" si="253"/>
        <v>2069.1600000000003</v>
      </c>
      <c r="AG333" s="287">
        <f t="shared" si="254"/>
        <v>159947.99</v>
      </c>
      <c r="AH333" s="287">
        <f t="shared" si="255"/>
        <v>288505.00999999978</v>
      </c>
      <c r="AI333" s="530">
        <f t="shared" si="245"/>
        <v>-25909.99999999992</v>
      </c>
      <c r="AJ333" s="530">
        <f t="shared" si="229"/>
        <v>-13261.079999999783</v>
      </c>
      <c r="AK333" s="530">
        <f t="shared" si="246"/>
        <v>-39171.079999999703</v>
      </c>
      <c r="AL333" s="287">
        <f t="shared" si="256"/>
        <v>116000.80999999976</v>
      </c>
      <c r="AM333" s="428">
        <f t="shared" si="221"/>
        <v>22</v>
      </c>
      <c r="AN333" s="14">
        <f t="shared" si="247"/>
        <v>749.98</v>
      </c>
      <c r="AO333" s="14">
        <f t="shared" si="230"/>
        <v>117592.92999999993</v>
      </c>
      <c r="AP333" s="14">
        <f t="shared" si="248"/>
        <v>959.90000000000009</v>
      </c>
      <c r="AS333" s="14">
        <f t="shared" si="216"/>
        <v>749.98</v>
      </c>
      <c r="AT333" s="14">
        <f t="shared" si="222"/>
        <v>205763.94000000082</v>
      </c>
      <c r="AU333" s="287">
        <f t="shared" si="223"/>
        <v>2218.1111750740306</v>
      </c>
      <c r="AV333" s="287">
        <f t="shared" si="224"/>
        <v>436701.46369728318</v>
      </c>
    </row>
    <row r="334" spans="1:48" x14ac:dyDescent="0.25">
      <c r="A334" s="519">
        <f t="shared" si="234"/>
        <v>53979</v>
      </c>
      <c r="B334" s="287">
        <f t="shared" si="217"/>
        <v>30611.999999999993</v>
      </c>
      <c r="C334" s="14">
        <f t="shared" si="211"/>
        <v>786.54</v>
      </c>
      <c r="D334" s="14">
        <f t="shared" si="225"/>
        <v>710.01</v>
      </c>
      <c r="E334" s="14">
        <f t="shared" si="212"/>
        <v>76.53</v>
      </c>
      <c r="F334" s="14">
        <f t="shared" si="235"/>
        <v>134.16999999999999</v>
      </c>
      <c r="G334" s="14">
        <f t="shared" si="232"/>
        <v>188.55</v>
      </c>
      <c r="H334" s="14">
        <f t="shared" si="233"/>
        <v>1109.26</v>
      </c>
      <c r="I334" s="287">
        <f t="shared" si="236"/>
        <v>157122.40999999995</v>
      </c>
      <c r="J334" s="287">
        <f t="shared" si="237"/>
        <v>95036.789999999935</v>
      </c>
      <c r="K334" s="287">
        <f t="shared" si="238"/>
        <v>29901.989999999994</v>
      </c>
      <c r="L334" s="428">
        <f t="shared" si="231"/>
        <v>22</v>
      </c>
      <c r="M334" s="428">
        <f t="shared" si="218"/>
        <v>275</v>
      </c>
      <c r="N334" s="287">
        <f t="shared" si="219"/>
        <v>102739.72999999998</v>
      </c>
      <c r="O334" s="287">
        <f t="shared" si="249"/>
        <v>1536.52</v>
      </c>
      <c r="P334" s="287">
        <f t="shared" si="226"/>
        <v>937.19999999999993</v>
      </c>
      <c r="Q334" s="287">
        <f t="shared" si="250"/>
        <v>599.32000000000005</v>
      </c>
      <c r="R334" s="287">
        <f t="shared" si="241"/>
        <v>134.16999999999999</v>
      </c>
      <c r="S334" s="287">
        <f t="shared" si="242"/>
        <v>188.55</v>
      </c>
      <c r="T334" s="287">
        <f t="shared" si="239"/>
        <v>1859.24</v>
      </c>
      <c r="U334" s="287">
        <f t="shared" si="227"/>
        <v>129147.46999999999</v>
      </c>
      <c r="V334" s="287">
        <f t="shared" si="228"/>
        <v>294932.04999999987</v>
      </c>
      <c r="W334" s="287">
        <f t="shared" si="240"/>
        <v>101802.52999999998</v>
      </c>
      <c r="X334" s="519">
        <f t="shared" si="220"/>
        <v>53979</v>
      </c>
      <c r="Y334" s="287">
        <f t="shared" si="251"/>
        <v>116000.80999999976</v>
      </c>
      <c r="Z334" s="511">
        <f t="shared" si="213"/>
        <v>7.0000000000000007E-2</v>
      </c>
      <c r="AA334" s="287">
        <f t="shared" si="214"/>
        <v>1746.44</v>
      </c>
      <c r="AB334" s="287">
        <f t="shared" si="252"/>
        <v>1069.77</v>
      </c>
      <c r="AC334" s="287">
        <f t="shared" si="215"/>
        <v>676.67</v>
      </c>
      <c r="AD334" s="287">
        <f t="shared" si="243"/>
        <v>134.16999999999999</v>
      </c>
      <c r="AE334" s="287">
        <f t="shared" si="244"/>
        <v>188.55</v>
      </c>
      <c r="AF334" s="287">
        <f t="shared" si="253"/>
        <v>2069.1600000000003</v>
      </c>
      <c r="AG334" s="287">
        <f t="shared" si="254"/>
        <v>161017.75999999998</v>
      </c>
      <c r="AH334" s="287">
        <f t="shared" si="255"/>
        <v>289181.67999999976</v>
      </c>
      <c r="AI334" s="530">
        <f t="shared" si="245"/>
        <v>-26119.919999999918</v>
      </c>
      <c r="AJ334" s="530">
        <f t="shared" si="229"/>
        <v>-13128.509999999776</v>
      </c>
      <c r="AK334" s="530">
        <f t="shared" si="246"/>
        <v>-39248.429999999695</v>
      </c>
      <c r="AL334" s="287">
        <f t="shared" si="256"/>
        <v>114931.03999999976</v>
      </c>
      <c r="AM334" s="428">
        <f t="shared" si="221"/>
        <v>22</v>
      </c>
      <c r="AN334" s="14">
        <f t="shared" si="247"/>
        <v>749.98</v>
      </c>
      <c r="AO334" s="14">
        <f t="shared" si="230"/>
        <v>117365.73999999995</v>
      </c>
      <c r="AP334" s="14">
        <f t="shared" si="248"/>
        <v>959.90000000000009</v>
      </c>
      <c r="AS334" s="14">
        <f t="shared" si="216"/>
        <v>749.98</v>
      </c>
      <c r="AT334" s="14">
        <f t="shared" si="222"/>
        <v>206513.92000000083</v>
      </c>
      <c r="AU334" s="287">
        <f t="shared" si="223"/>
        <v>2225.5048789909438</v>
      </c>
      <c r="AV334" s="287">
        <f t="shared" si="224"/>
        <v>438926.96857627411</v>
      </c>
    </row>
    <row r="335" spans="1:48" x14ac:dyDescent="0.25">
      <c r="A335" s="519">
        <f t="shared" si="234"/>
        <v>54009</v>
      </c>
      <c r="B335" s="287">
        <f t="shared" si="217"/>
        <v>29901.989999999994</v>
      </c>
      <c r="C335" s="14">
        <f t="shared" ref="C335:C398" si="257">IF(+$K334&lt;=0,0,$C$5)</f>
        <v>786.54</v>
      </c>
      <c r="D335" s="14">
        <f t="shared" si="225"/>
        <v>711.79</v>
      </c>
      <c r="E335" s="14">
        <f t="shared" ref="E335:E398" si="258">ROUND($B335*($C$3/12), 2)</f>
        <v>74.75</v>
      </c>
      <c r="F335" s="14">
        <f t="shared" si="235"/>
        <v>134.16999999999999</v>
      </c>
      <c r="G335" s="14">
        <f t="shared" si="232"/>
        <v>188.55</v>
      </c>
      <c r="H335" s="14">
        <f t="shared" si="233"/>
        <v>1109.26</v>
      </c>
      <c r="I335" s="287">
        <f t="shared" si="236"/>
        <v>157834.19999999995</v>
      </c>
      <c r="J335" s="287">
        <f t="shared" si="237"/>
        <v>95111.539999999935</v>
      </c>
      <c r="K335" s="287">
        <f t="shared" si="238"/>
        <v>29190.199999999993</v>
      </c>
      <c r="L335" s="428">
        <f t="shared" si="231"/>
        <v>23</v>
      </c>
      <c r="M335" s="428">
        <f t="shared" si="218"/>
        <v>276</v>
      </c>
      <c r="N335" s="287">
        <f t="shared" si="219"/>
        <v>101802.52999999998</v>
      </c>
      <c r="O335" s="287">
        <f t="shared" si="249"/>
        <v>1536.52</v>
      </c>
      <c r="P335" s="287">
        <f t="shared" si="226"/>
        <v>942.67</v>
      </c>
      <c r="Q335" s="287">
        <f t="shared" si="250"/>
        <v>593.85</v>
      </c>
      <c r="R335" s="287">
        <f t="shared" si="241"/>
        <v>134.16999999999999</v>
      </c>
      <c r="S335" s="287">
        <f t="shared" si="242"/>
        <v>188.55</v>
      </c>
      <c r="T335" s="287">
        <f t="shared" si="239"/>
        <v>1859.24</v>
      </c>
      <c r="U335" s="287">
        <f t="shared" si="227"/>
        <v>130090.13999999998</v>
      </c>
      <c r="V335" s="287">
        <f t="shared" si="228"/>
        <v>295525.89999999985</v>
      </c>
      <c r="W335" s="287">
        <f t="shared" si="240"/>
        <v>100859.85999999999</v>
      </c>
      <c r="X335" s="519">
        <f t="shared" si="220"/>
        <v>54009</v>
      </c>
      <c r="Y335" s="287">
        <f t="shared" si="251"/>
        <v>114931.03999999976</v>
      </c>
      <c r="Z335" s="511">
        <f t="shared" ref="Z335:Z398" si="259">IF(L335&gt;4,$AA$9,$AA$8)</f>
        <v>7.0000000000000007E-2</v>
      </c>
      <c r="AA335" s="287">
        <f t="shared" ref="AA335:AA398" si="260">IF($O$9&lt;=$A335,IF(+AL334&lt;=0,0,IF(Z335=$AA$8,$Z$8,$Z$9)),0)</f>
        <v>1746.44</v>
      </c>
      <c r="AB335" s="287">
        <f t="shared" si="252"/>
        <v>1076.0100000000002</v>
      </c>
      <c r="AC335" s="287">
        <f t="shared" ref="AC335:AC398" si="261">IF($O$9&lt;=$A335,ROUND(Y335*(Z335/12),2),0)</f>
        <v>670.43</v>
      </c>
      <c r="AD335" s="287">
        <f t="shared" si="243"/>
        <v>134.16999999999999</v>
      </c>
      <c r="AE335" s="287">
        <f t="shared" si="244"/>
        <v>188.55</v>
      </c>
      <c r="AF335" s="287">
        <f t="shared" si="253"/>
        <v>2069.1600000000003</v>
      </c>
      <c r="AG335" s="287">
        <f t="shared" si="254"/>
        <v>162093.76999999999</v>
      </c>
      <c r="AH335" s="287">
        <f t="shared" si="255"/>
        <v>289852.10999999975</v>
      </c>
      <c r="AI335" s="530">
        <f t="shared" si="245"/>
        <v>-26329.839999999916</v>
      </c>
      <c r="AJ335" s="530">
        <f t="shared" si="229"/>
        <v>-12995.16999999978</v>
      </c>
      <c r="AK335" s="530">
        <f t="shared" si="246"/>
        <v>-39325.009999999696</v>
      </c>
      <c r="AL335" s="287">
        <f t="shared" si="256"/>
        <v>113855.02999999977</v>
      </c>
      <c r="AM335" s="428">
        <f t="shared" si="221"/>
        <v>23</v>
      </c>
      <c r="AN335" s="14">
        <f t="shared" si="247"/>
        <v>749.98</v>
      </c>
      <c r="AO335" s="14">
        <f t="shared" si="230"/>
        <v>117134.85999999996</v>
      </c>
      <c r="AP335" s="14">
        <f t="shared" si="248"/>
        <v>959.90000000000009</v>
      </c>
      <c r="AS335" s="14">
        <f t="shared" ref="AS335:AS398" si="262">+AN335-AR335</f>
        <v>749.98</v>
      </c>
      <c r="AT335" s="14">
        <f t="shared" si="222"/>
        <v>207263.90000000084</v>
      </c>
      <c r="AU335" s="287">
        <f t="shared" si="223"/>
        <v>2232.9232285875805</v>
      </c>
      <c r="AV335" s="287">
        <f t="shared" si="224"/>
        <v>441159.89180486172</v>
      </c>
    </row>
    <row r="336" spans="1:48" x14ac:dyDescent="0.25">
      <c r="A336" s="519">
        <f t="shared" si="234"/>
        <v>54039</v>
      </c>
      <c r="B336" s="287">
        <f t="shared" ref="B336:B373" si="263">IF(+K335&lt;0,0,+K335)</f>
        <v>29190.199999999993</v>
      </c>
      <c r="C336" s="14">
        <f t="shared" si="257"/>
        <v>786.54</v>
      </c>
      <c r="D336" s="14">
        <f t="shared" si="225"/>
        <v>713.56</v>
      </c>
      <c r="E336" s="14">
        <f t="shared" si="258"/>
        <v>72.98</v>
      </c>
      <c r="F336" s="14">
        <f t="shared" si="235"/>
        <v>134.16999999999999</v>
      </c>
      <c r="G336" s="14">
        <f t="shared" si="232"/>
        <v>188.55</v>
      </c>
      <c r="H336" s="14">
        <f t="shared" si="233"/>
        <v>1109.26</v>
      </c>
      <c r="I336" s="287">
        <f t="shared" si="236"/>
        <v>158547.75999999995</v>
      </c>
      <c r="J336" s="287">
        <f t="shared" si="237"/>
        <v>95184.519999999931</v>
      </c>
      <c r="K336" s="287">
        <f t="shared" si="238"/>
        <v>28476.639999999992</v>
      </c>
      <c r="L336" s="428">
        <f t="shared" si="231"/>
        <v>23</v>
      </c>
      <c r="M336" s="428">
        <f t="shared" ref="M336:M399" si="264">IF(N336&lt;&gt;"",IF(N336=$O$5,0,+M335+1),0)</f>
        <v>277</v>
      </c>
      <c r="N336" s="287">
        <f t="shared" ref="N336:N399" si="265">IF(+W335&lt;0,0,+W335)</f>
        <v>100859.85999999999</v>
      </c>
      <c r="O336" s="287">
        <f t="shared" si="249"/>
        <v>1536.52</v>
      </c>
      <c r="P336" s="287">
        <f t="shared" si="226"/>
        <v>948.17</v>
      </c>
      <c r="Q336" s="287">
        <f t="shared" si="250"/>
        <v>588.35</v>
      </c>
      <c r="R336" s="287">
        <f t="shared" si="241"/>
        <v>134.16999999999999</v>
      </c>
      <c r="S336" s="287">
        <f t="shared" si="242"/>
        <v>188.55</v>
      </c>
      <c r="T336" s="287">
        <f t="shared" si="239"/>
        <v>1859.24</v>
      </c>
      <c r="U336" s="287">
        <f t="shared" si="227"/>
        <v>131038.30999999998</v>
      </c>
      <c r="V336" s="287">
        <f t="shared" si="228"/>
        <v>296114.24999999983</v>
      </c>
      <c r="W336" s="287">
        <f t="shared" si="240"/>
        <v>99911.689999999988</v>
      </c>
      <c r="X336" s="519">
        <f t="shared" ref="X336:X399" si="266">+A336</f>
        <v>54039</v>
      </c>
      <c r="Y336" s="287">
        <f t="shared" si="251"/>
        <v>113855.02999999977</v>
      </c>
      <c r="Z336" s="511">
        <f t="shared" si="259"/>
        <v>7.0000000000000007E-2</v>
      </c>
      <c r="AA336" s="287">
        <f t="shared" si="260"/>
        <v>1746.44</v>
      </c>
      <c r="AB336" s="287">
        <f t="shared" si="252"/>
        <v>1082.29</v>
      </c>
      <c r="AC336" s="287">
        <f t="shared" si="261"/>
        <v>664.15</v>
      </c>
      <c r="AD336" s="287">
        <f t="shared" si="243"/>
        <v>134.16999999999999</v>
      </c>
      <c r="AE336" s="287">
        <f t="shared" si="244"/>
        <v>188.55</v>
      </c>
      <c r="AF336" s="287">
        <f t="shared" si="253"/>
        <v>2069.1600000000003</v>
      </c>
      <c r="AG336" s="287">
        <f t="shared" si="254"/>
        <v>163176.06</v>
      </c>
      <c r="AH336" s="287">
        <f t="shared" si="255"/>
        <v>290516.25999999978</v>
      </c>
      <c r="AI336" s="530">
        <f t="shared" si="245"/>
        <v>-26539.759999999915</v>
      </c>
      <c r="AJ336" s="530">
        <f t="shared" si="229"/>
        <v>-12861.049999999785</v>
      </c>
      <c r="AK336" s="530">
        <f t="shared" si="246"/>
        <v>-39400.809999999699</v>
      </c>
      <c r="AL336" s="287">
        <f t="shared" si="256"/>
        <v>112772.73999999977</v>
      </c>
      <c r="AM336" s="428">
        <f t="shared" ref="AM336:AM399" si="267">+L336</f>
        <v>23</v>
      </c>
      <c r="AN336" s="14">
        <f t="shared" si="247"/>
        <v>749.98</v>
      </c>
      <c r="AO336" s="14">
        <f t="shared" si="230"/>
        <v>116900.24999999996</v>
      </c>
      <c r="AP336" s="14">
        <f t="shared" si="248"/>
        <v>959.90000000000009</v>
      </c>
      <c r="AS336" s="14">
        <f t="shared" si="262"/>
        <v>749.98</v>
      </c>
      <c r="AT336" s="14">
        <f t="shared" ref="AT336:AT399" si="268">IF(W336&lt;=0,0,+AS336+AT335)</f>
        <v>208013.88000000085</v>
      </c>
      <c r="AU336" s="287">
        <f t="shared" ref="AU336:AU399" si="269">IF(W336&lt;=0,0,+($O$5+AV335)*$AQ$2/12)</f>
        <v>2240.3663060162057</v>
      </c>
      <c r="AV336" s="287">
        <f t="shared" ref="AV336:AV399" si="270">IF(W336&lt;=0,0,+AV335+AU336)</f>
        <v>443400.25811087794</v>
      </c>
    </row>
    <row r="337" spans="1:48" x14ac:dyDescent="0.25">
      <c r="A337" s="519">
        <f t="shared" si="234"/>
        <v>54069</v>
      </c>
      <c r="B337" s="287">
        <f t="shared" si="263"/>
        <v>28476.639999999992</v>
      </c>
      <c r="C337" s="14">
        <f t="shared" si="257"/>
        <v>786.54</v>
      </c>
      <c r="D337" s="14">
        <f t="shared" ref="D337:D400" si="271">+C337-E337</f>
        <v>715.34999999999991</v>
      </c>
      <c r="E337" s="14">
        <f t="shared" si="258"/>
        <v>71.19</v>
      </c>
      <c r="F337" s="14">
        <f t="shared" si="235"/>
        <v>134.16999999999999</v>
      </c>
      <c r="G337" s="14">
        <f t="shared" si="232"/>
        <v>188.55</v>
      </c>
      <c r="H337" s="14">
        <f t="shared" si="233"/>
        <v>1109.26</v>
      </c>
      <c r="I337" s="287">
        <f t="shared" si="236"/>
        <v>159263.10999999996</v>
      </c>
      <c r="J337" s="287">
        <f t="shared" si="237"/>
        <v>95255.709999999934</v>
      </c>
      <c r="K337" s="287">
        <f t="shared" si="238"/>
        <v>27761.289999999994</v>
      </c>
      <c r="L337" s="428">
        <f t="shared" si="231"/>
        <v>23</v>
      </c>
      <c r="M337" s="428">
        <f t="shared" si="264"/>
        <v>278</v>
      </c>
      <c r="N337" s="287">
        <f t="shared" si="265"/>
        <v>99911.689999999988</v>
      </c>
      <c r="O337" s="287">
        <f t="shared" si="249"/>
        <v>1536.52</v>
      </c>
      <c r="P337" s="287">
        <f t="shared" ref="P337:P400" si="272">+O337-Q337</f>
        <v>953.69999999999993</v>
      </c>
      <c r="Q337" s="287">
        <f t="shared" si="250"/>
        <v>582.82000000000005</v>
      </c>
      <c r="R337" s="287">
        <f t="shared" si="241"/>
        <v>134.16999999999999</v>
      </c>
      <c r="S337" s="287">
        <f t="shared" si="242"/>
        <v>188.55</v>
      </c>
      <c r="T337" s="287">
        <f t="shared" si="239"/>
        <v>1859.24</v>
      </c>
      <c r="U337" s="287">
        <f t="shared" ref="U337:U400" si="273">+P337+U336</f>
        <v>131992.00999999998</v>
      </c>
      <c r="V337" s="287">
        <f t="shared" ref="V337:V400" si="274">+V336+Q337</f>
        <v>296697.06999999983</v>
      </c>
      <c r="W337" s="287">
        <f t="shared" si="240"/>
        <v>98957.989999999991</v>
      </c>
      <c r="X337" s="519">
        <f t="shared" si="266"/>
        <v>54069</v>
      </c>
      <c r="Y337" s="287">
        <f t="shared" si="251"/>
        <v>112772.73999999977</v>
      </c>
      <c r="Z337" s="511">
        <f t="shared" si="259"/>
        <v>7.0000000000000007E-2</v>
      </c>
      <c r="AA337" s="287">
        <f t="shared" si="260"/>
        <v>1746.44</v>
      </c>
      <c r="AB337" s="287">
        <f t="shared" si="252"/>
        <v>1088.5999999999999</v>
      </c>
      <c r="AC337" s="287">
        <f t="shared" si="261"/>
        <v>657.84</v>
      </c>
      <c r="AD337" s="287">
        <f t="shared" si="243"/>
        <v>134.16999999999999</v>
      </c>
      <c r="AE337" s="287">
        <f t="shared" si="244"/>
        <v>188.55</v>
      </c>
      <c r="AF337" s="287">
        <f t="shared" si="253"/>
        <v>2069.1600000000003</v>
      </c>
      <c r="AG337" s="287">
        <f t="shared" si="254"/>
        <v>164264.66</v>
      </c>
      <c r="AH337" s="287">
        <f t="shared" si="255"/>
        <v>291174.0999999998</v>
      </c>
      <c r="AI337" s="530">
        <f t="shared" si="245"/>
        <v>-26749.679999999913</v>
      </c>
      <c r="AJ337" s="530">
        <f t="shared" si="229"/>
        <v>-12726.149999999776</v>
      </c>
      <c r="AK337" s="530">
        <f t="shared" si="246"/>
        <v>-39475.829999999689</v>
      </c>
      <c r="AL337" s="287">
        <f t="shared" si="256"/>
        <v>111684.13999999977</v>
      </c>
      <c r="AM337" s="428">
        <f t="shared" si="267"/>
        <v>23</v>
      </c>
      <c r="AN337" s="14">
        <f t="shared" si="247"/>
        <v>749.98</v>
      </c>
      <c r="AO337" s="14">
        <f t="shared" si="230"/>
        <v>116661.89999999997</v>
      </c>
      <c r="AP337" s="14">
        <f t="shared" si="248"/>
        <v>959.90000000000009</v>
      </c>
      <c r="AS337" s="14">
        <f t="shared" si="262"/>
        <v>749.98</v>
      </c>
      <c r="AT337" s="14">
        <f t="shared" si="268"/>
        <v>208763.86000000086</v>
      </c>
      <c r="AU337" s="287">
        <f t="shared" si="269"/>
        <v>2247.8341937029268</v>
      </c>
      <c r="AV337" s="287">
        <f t="shared" si="270"/>
        <v>445648.09230458084</v>
      </c>
    </row>
    <row r="338" spans="1:48" ht="15.75" thickBot="1" x14ac:dyDescent="0.3">
      <c r="A338" s="522">
        <f t="shared" si="234"/>
        <v>54099</v>
      </c>
      <c r="B338" s="348">
        <f t="shared" si="263"/>
        <v>27761.289999999994</v>
      </c>
      <c r="C338" s="21">
        <f t="shared" si="257"/>
        <v>786.54</v>
      </c>
      <c r="D338" s="21">
        <f t="shared" si="271"/>
        <v>717.14</v>
      </c>
      <c r="E338" s="21">
        <f t="shared" si="258"/>
        <v>69.400000000000006</v>
      </c>
      <c r="F338" s="21">
        <f t="shared" si="235"/>
        <v>134.16999999999999</v>
      </c>
      <c r="G338" s="21">
        <f t="shared" si="232"/>
        <v>188.55</v>
      </c>
      <c r="H338" s="21">
        <f t="shared" si="233"/>
        <v>1109.26</v>
      </c>
      <c r="I338" s="348">
        <f t="shared" si="236"/>
        <v>159980.24999999997</v>
      </c>
      <c r="J338" s="348">
        <f t="shared" si="237"/>
        <v>95325.109999999928</v>
      </c>
      <c r="K338" s="348">
        <f t="shared" si="238"/>
        <v>27044.149999999994</v>
      </c>
      <c r="L338" s="429">
        <f t="shared" si="231"/>
        <v>23</v>
      </c>
      <c r="M338" s="429">
        <f t="shared" si="264"/>
        <v>279</v>
      </c>
      <c r="N338" s="348">
        <f t="shared" si="265"/>
        <v>98957.989999999991</v>
      </c>
      <c r="O338" s="348">
        <f t="shared" si="249"/>
        <v>1536.52</v>
      </c>
      <c r="P338" s="348">
        <f t="shared" si="272"/>
        <v>959.27</v>
      </c>
      <c r="Q338" s="348">
        <f t="shared" si="250"/>
        <v>577.25</v>
      </c>
      <c r="R338" s="348">
        <f t="shared" si="241"/>
        <v>134.16999999999999</v>
      </c>
      <c r="S338" s="348">
        <f t="shared" si="242"/>
        <v>188.55</v>
      </c>
      <c r="T338" s="348">
        <f t="shared" si="239"/>
        <v>1859.24</v>
      </c>
      <c r="U338" s="348">
        <f t="shared" si="273"/>
        <v>132951.27999999997</v>
      </c>
      <c r="V338" s="348">
        <f t="shared" si="274"/>
        <v>297274.31999999983</v>
      </c>
      <c r="W338" s="348">
        <f t="shared" si="240"/>
        <v>97998.719999999987</v>
      </c>
      <c r="X338" s="522">
        <f t="shared" si="266"/>
        <v>54099</v>
      </c>
      <c r="Y338" s="348">
        <f t="shared" si="251"/>
        <v>111684.13999999977</v>
      </c>
      <c r="Z338" s="512">
        <f t="shared" si="259"/>
        <v>7.0000000000000007E-2</v>
      </c>
      <c r="AA338" s="348">
        <f t="shared" si="260"/>
        <v>1746.44</v>
      </c>
      <c r="AB338" s="348">
        <f t="shared" si="252"/>
        <v>1094.95</v>
      </c>
      <c r="AC338" s="348">
        <f t="shared" si="261"/>
        <v>651.49</v>
      </c>
      <c r="AD338" s="348">
        <f t="shared" si="243"/>
        <v>134.16999999999999</v>
      </c>
      <c r="AE338" s="348">
        <f t="shared" si="244"/>
        <v>188.55</v>
      </c>
      <c r="AF338" s="348">
        <f t="shared" si="253"/>
        <v>2069.1600000000003</v>
      </c>
      <c r="AG338" s="348">
        <f t="shared" si="254"/>
        <v>165359.61000000002</v>
      </c>
      <c r="AH338" s="348">
        <f t="shared" si="255"/>
        <v>291825.58999999979</v>
      </c>
      <c r="AI338" s="531">
        <f t="shared" si="245"/>
        <v>-26959.599999999911</v>
      </c>
      <c r="AJ338" s="531">
        <f t="shared" si="229"/>
        <v>-12590.469999999783</v>
      </c>
      <c r="AK338" s="530">
        <f t="shared" si="246"/>
        <v>-39550.069999999694</v>
      </c>
      <c r="AL338" s="348">
        <f t="shared" si="256"/>
        <v>110589.18999999977</v>
      </c>
      <c r="AM338" s="429">
        <f t="shared" si="267"/>
        <v>23</v>
      </c>
      <c r="AN338" s="21">
        <f t="shared" si="247"/>
        <v>749.98</v>
      </c>
      <c r="AO338" s="21">
        <f t="shared" si="230"/>
        <v>116419.76999999999</v>
      </c>
      <c r="AP338" s="21">
        <f t="shared" si="248"/>
        <v>959.90000000000009</v>
      </c>
      <c r="AQ338" s="21"/>
      <c r="AR338" s="23"/>
      <c r="AS338" s="21">
        <f t="shared" si="262"/>
        <v>749.98</v>
      </c>
      <c r="AT338" s="21">
        <f t="shared" si="268"/>
        <v>209513.84000000087</v>
      </c>
      <c r="AU338" s="348">
        <f t="shared" si="269"/>
        <v>2255.326974348603</v>
      </c>
      <c r="AV338" s="348">
        <f t="shared" si="270"/>
        <v>447903.41927892948</v>
      </c>
    </row>
    <row r="339" spans="1:48" x14ac:dyDescent="0.25">
      <c r="A339" s="519">
        <f t="shared" si="234"/>
        <v>54129</v>
      </c>
      <c r="B339" s="287">
        <f t="shared" si="263"/>
        <v>27044.149999999994</v>
      </c>
      <c r="C339" s="14">
        <f t="shared" si="257"/>
        <v>786.54</v>
      </c>
      <c r="D339" s="14">
        <f t="shared" si="271"/>
        <v>718.93</v>
      </c>
      <c r="E339" s="14">
        <f t="shared" si="258"/>
        <v>67.61</v>
      </c>
      <c r="F339" s="14">
        <f t="shared" si="235"/>
        <v>134.16999999999999</v>
      </c>
      <c r="G339" s="14">
        <f t="shared" si="232"/>
        <v>188.55</v>
      </c>
      <c r="H339" s="14">
        <f t="shared" si="233"/>
        <v>1109.26</v>
      </c>
      <c r="I339" s="287">
        <f t="shared" si="236"/>
        <v>160699.17999999996</v>
      </c>
      <c r="J339" s="287">
        <f t="shared" si="237"/>
        <v>95392.719999999928</v>
      </c>
      <c r="K339" s="287">
        <f t="shared" si="238"/>
        <v>26325.219999999994</v>
      </c>
      <c r="L339" s="428">
        <f t="shared" si="231"/>
        <v>23</v>
      </c>
      <c r="M339" s="428">
        <f t="shared" si="264"/>
        <v>280</v>
      </c>
      <c r="N339" s="287">
        <f t="shared" si="265"/>
        <v>97998.719999999987</v>
      </c>
      <c r="O339" s="287">
        <f t="shared" si="249"/>
        <v>1536.52</v>
      </c>
      <c r="P339" s="287">
        <f t="shared" si="272"/>
        <v>964.86</v>
      </c>
      <c r="Q339" s="287">
        <f t="shared" si="250"/>
        <v>571.66</v>
      </c>
      <c r="R339" s="287">
        <f t="shared" si="241"/>
        <v>134.16999999999999</v>
      </c>
      <c r="S339" s="287">
        <f t="shared" si="242"/>
        <v>188.55</v>
      </c>
      <c r="T339" s="287">
        <f t="shared" si="239"/>
        <v>1859.24</v>
      </c>
      <c r="U339" s="287">
        <f t="shared" si="273"/>
        <v>133916.13999999996</v>
      </c>
      <c r="V339" s="287">
        <f t="shared" si="274"/>
        <v>297845.97999999981</v>
      </c>
      <c r="W339" s="287">
        <f t="shared" si="240"/>
        <v>97033.859999999986</v>
      </c>
      <c r="X339" s="519">
        <f t="shared" si="266"/>
        <v>54129</v>
      </c>
      <c r="Y339" s="287">
        <f t="shared" si="251"/>
        <v>110589.18999999977</v>
      </c>
      <c r="Z339" s="511">
        <f t="shared" si="259"/>
        <v>7.0000000000000007E-2</v>
      </c>
      <c r="AA339" s="287">
        <f t="shared" si="260"/>
        <v>1746.44</v>
      </c>
      <c r="AB339" s="287">
        <f t="shared" si="252"/>
        <v>1101.3400000000001</v>
      </c>
      <c r="AC339" s="287">
        <f t="shared" si="261"/>
        <v>645.1</v>
      </c>
      <c r="AD339" s="287">
        <f t="shared" si="243"/>
        <v>134.16999999999999</v>
      </c>
      <c r="AE339" s="287">
        <f t="shared" si="244"/>
        <v>188.55</v>
      </c>
      <c r="AF339" s="287">
        <f t="shared" si="253"/>
        <v>2069.1600000000003</v>
      </c>
      <c r="AG339" s="287">
        <f t="shared" si="254"/>
        <v>166460.95000000001</v>
      </c>
      <c r="AH339" s="287">
        <f t="shared" si="255"/>
        <v>292470.68999999977</v>
      </c>
      <c r="AI339" s="530">
        <f t="shared" si="245"/>
        <v>-27169.519999999909</v>
      </c>
      <c r="AJ339" s="530">
        <f t="shared" si="229"/>
        <v>-12453.989999999787</v>
      </c>
      <c r="AK339" s="530">
        <f t="shared" si="246"/>
        <v>-39623.509999999696</v>
      </c>
      <c r="AL339" s="287">
        <f t="shared" si="256"/>
        <v>109487.84999999977</v>
      </c>
      <c r="AM339" s="428">
        <f t="shared" si="267"/>
        <v>23</v>
      </c>
      <c r="AN339" s="14">
        <f t="shared" si="247"/>
        <v>749.98</v>
      </c>
      <c r="AO339" s="14">
        <f t="shared" si="230"/>
        <v>116173.84</v>
      </c>
      <c r="AP339" s="14">
        <f t="shared" si="248"/>
        <v>959.90000000000009</v>
      </c>
      <c r="AS339" s="14">
        <f t="shared" si="262"/>
        <v>749.98</v>
      </c>
      <c r="AT339" s="14">
        <f t="shared" si="268"/>
        <v>210263.82000000088</v>
      </c>
      <c r="AU339" s="287">
        <f t="shared" si="269"/>
        <v>2262.8447309297649</v>
      </c>
      <c r="AV339" s="287">
        <f t="shared" si="270"/>
        <v>450166.26400985924</v>
      </c>
    </row>
    <row r="340" spans="1:48" x14ac:dyDescent="0.25">
      <c r="A340" s="519">
        <f t="shared" si="234"/>
        <v>54159</v>
      </c>
      <c r="B340" s="287">
        <f t="shared" si="263"/>
        <v>26325.219999999994</v>
      </c>
      <c r="C340" s="14">
        <f t="shared" si="257"/>
        <v>786.54</v>
      </c>
      <c r="D340" s="14">
        <f t="shared" si="271"/>
        <v>720.73</v>
      </c>
      <c r="E340" s="14">
        <f t="shared" si="258"/>
        <v>65.81</v>
      </c>
      <c r="F340" s="14">
        <f t="shared" si="235"/>
        <v>134.16999999999999</v>
      </c>
      <c r="G340" s="14">
        <f t="shared" si="232"/>
        <v>188.55</v>
      </c>
      <c r="H340" s="14">
        <f t="shared" si="233"/>
        <v>1109.26</v>
      </c>
      <c r="I340" s="287">
        <f t="shared" si="236"/>
        <v>161419.90999999997</v>
      </c>
      <c r="J340" s="287">
        <f t="shared" si="237"/>
        <v>95458.529999999926</v>
      </c>
      <c r="K340" s="287">
        <f t="shared" si="238"/>
        <v>25604.489999999994</v>
      </c>
      <c r="L340" s="428">
        <f t="shared" si="231"/>
        <v>23</v>
      </c>
      <c r="M340" s="428">
        <f t="shared" si="264"/>
        <v>281</v>
      </c>
      <c r="N340" s="287">
        <f t="shared" si="265"/>
        <v>97033.859999999986</v>
      </c>
      <c r="O340" s="287">
        <f t="shared" si="249"/>
        <v>1536.52</v>
      </c>
      <c r="P340" s="287">
        <f t="shared" si="272"/>
        <v>970.49</v>
      </c>
      <c r="Q340" s="287">
        <f t="shared" si="250"/>
        <v>566.03</v>
      </c>
      <c r="R340" s="287">
        <f t="shared" si="241"/>
        <v>134.16999999999999</v>
      </c>
      <c r="S340" s="287">
        <f t="shared" si="242"/>
        <v>188.55</v>
      </c>
      <c r="T340" s="287">
        <f t="shared" si="239"/>
        <v>1859.24</v>
      </c>
      <c r="U340" s="287">
        <f t="shared" si="273"/>
        <v>134886.62999999995</v>
      </c>
      <c r="V340" s="287">
        <f t="shared" si="274"/>
        <v>298412.00999999983</v>
      </c>
      <c r="W340" s="287">
        <f t="shared" si="240"/>
        <v>96063.369999999981</v>
      </c>
      <c r="X340" s="519">
        <f t="shared" si="266"/>
        <v>54159</v>
      </c>
      <c r="Y340" s="287">
        <f t="shared" si="251"/>
        <v>109487.84999999977</v>
      </c>
      <c r="Z340" s="511">
        <f t="shared" si="259"/>
        <v>7.0000000000000007E-2</v>
      </c>
      <c r="AA340" s="287">
        <f t="shared" si="260"/>
        <v>1746.44</v>
      </c>
      <c r="AB340" s="287">
        <f t="shared" si="252"/>
        <v>1107.7600000000002</v>
      </c>
      <c r="AC340" s="287">
        <f t="shared" si="261"/>
        <v>638.67999999999995</v>
      </c>
      <c r="AD340" s="287">
        <f t="shared" si="243"/>
        <v>134.16999999999999</v>
      </c>
      <c r="AE340" s="287">
        <f t="shared" si="244"/>
        <v>188.55</v>
      </c>
      <c r="AF340" s="287">
        <f t="shared" si="253"/>
        <v>2069.1600000000003</v>
      </c>
      <c r="AG340" s="287">
        <f t="shared" si="254"/>
        <v>167568.71000000002</v>
      </c>
      <c r="AH340" s="287">
        <f t="shared" si="255"/>
        <v>293109.36999999976</v>
      </c>
      <c r="AI340" s="530">
        <f t="shared" si="245"/>
        <v>-27379.439999999908</v>
      </c>
      <c r="AJ340" s="530">
        <f t="shared" si="229"/>
        <v>-12316.719999999797</v>
      </c>
      <c r="AK340" s="530">
        <f t="shared" si="246"/>
        <v>-39696.159999999705</v>
      </c>
      <c r="AL340" s="287">
        <f t="shared" si="256"/>
        <v>108380.08999999978</v>
      </c>
      <c r="AM340" s="428">
        <f t="shared" si="267"/>
        <v>23</v>
      </c>
      <c r="AN340" s="14">
        <f t="shared" si="247"/>
        <v>749.98</v>
      </c>
      <c r="AO340" s="14">
        <f t="shared" si="230"/>
        <v>115924.08000000002</v>
      </c>
      <c r="AP340" s="14">
        <f t="shared" si="248"/>
        <v>959.90000000000009</v>
      </c>
      <c r="AS340" s="14">
        <f t="shared" si="262"/>
        <v>749.98</v>
      </c>
      <c r="AT340" s="14">
        <f t="shared" si="268"/>
        <v>211013.80000000089</v>
      </c>
      <c r="AU340" s="287">
        <f t="shared" si="269"/>
        <v>2270.3875466995305</v>
      </c>
      <c r="AV340" s="287">
        <f t="shared" si="270"/>
        <v>452436.65155655879</v>
      </c>
    </row>
    <row r="341" spans="1:48" x14ac:dyDescent="0.25">
      <c r="A341" s="519">
        <f t="shared" si="234"/>
        <v>54189</v>
      </c>
      <c r="B341" s="287">
        <f t="shared" si="263"/>
        <v>25604.489999999994</v>
      </c>
      <c r="C341" s="14">
        <f t="shared" si="257"/>
        <v>786.54</v>
      </c>
      <c r="D341" s="14">
        <f t="shared" si="271"/>
        <v>722.53</v>
      </c>
      <c r="E341" s="14">
        <f t="shared" si="258"/>
        <v>64.010000000000005</v>
      </c>
      <c r="F341" s="14">
        <f t="shared" si="235"/>
        <v>134.16999999999999</v>
      </c>
      <c r="G341" s="14">
        <f t="shared" si="232"/>
        <v>188.55</v>
      </c>
      <c r="H341" s="14">
        <f t="shared" si="233"/>
        <v>1109.26</v>
      </c>
      <c r="I341" s="287">
        <f t="shared" si="236"/>
        <v>162142.43999999997</v>
      </c>
      <c r="J341" s="287">
        <f t="shared" si="237"/>
        <v>95522.539999999921</v>
      </c>
      <c r="K341" s="287">
        <f t="shared" si="238"/>
        <v>24881.959999999995</v>
      </c>
      <c r="L341" s="428">
        <f t="shared" si="231"/>
        <v>23</v>
      </c>
      <c r="M341" s="428">
        <f t="shared" si="264"/>
        <v>282</v>
      </c>
      <c r="N341" s="287">
        <f t="shared" si="265"/>
        <v>96063.369999999981</v>
      </c>
      <c r="O341" s="287">
        <f t="shared" si="249"/>
        <v>1536.52</v>
      </c>
      <c r="P341" s="287">
        <f t="shared" si="272"/>
        <v>976.15</v>
      </c>
      <c r="Q341" s="287">
        <f t="shared" si="250"/>
        <v>560.37</v>
      </c>
      <c r="R341" s="287">
        <f t="shared" si="241"/>
        <v>134.16999999999999</v>
      </c>
      <c r="S341" s="287">
        <f t="shared" si="242"/>
        <v>188.55</v>
      </c>
      <c r="T341" s="287">
        <f t="shared" si="239"/>
        <v>1859.24</v>
      </c>
      <c r="U341" s="287">
        <f t="shared" si="273"/>
        <v>135862.77999999994</v>
      </c>
      <c r="V341" s="287">
        <f t="shared" si="274"/>
        <v>298972.37999999983</v>
      </c>
      <c r="W341" s="287">
        <f t="shared" si="240"/>
        <v>95087.219999999987</v>
      </c>
      <c r="X341" s="519">
        <f t="shared" si="266"/>
        <v>54189</v>
      </c>
      <c r="Y341" s="287">
        <f t="shared" si="251"/>
        <v>108380.08999999978</v>
      </c>
      <c r="Z341" s="511">
        <f t="shared" si="259"/>
        <v>7.0000000000000007E-2</v>
      </c>
      <c r="AA341" s="287">
        <f t="shared" si="260"/>
        <v>1746.44</v>
      </c>
      <c r="AB341" s="287">
        <f t="shared" si="252"/>
        <v>1114.22</v>
      </c>
      <c r="AC341" s="287">
        <f t="shared" si="261"/>
        <v>632.22</v>
      </c>
      <c r="AD341" s="287">
        <f t="shared" si="243"/>
        <v>134.16999999999999</v>
      </c>
      <c r="AE341" s="287">
        <f t="shared" si="244"/>
        <v>188.55</v>
      </c>
      <c r="AF341" s="287">
        <f t="shared" si="253"/>
        <v>2069.1600000000003</v>
      </c>
      <c r="AG341" s="287">
        <f t="shared" si="254"/>
        <v>168682.93000000002</v>
      </c>
      <c r="AH341" s="287">
        <f t="shared" si="255"/>
        <v>293741.58999999973</v>
      </c>
      <c r="AI341" s="530">
        <f t="shared" si="245"/>
        <v>-27589.359999999906</v>
      </c>
      <c r="AJ341" s="530">
        <f t="shared" si="229"/>
        <v>-12178.64999999979</v>
      </c>
      <c r="AK341" s="530">
        <f t="shared" si="246"/>
        <v>-39768.009999999696</v>
      </c>
      <c r="AL341" s="287">
        <f t="shared" si="256"/>
        <v>107265.86999999978</v>
      </c>
      <c r="AM341" s="428">
        <f t="shared" si="267"/>
        <v>23</v>
      </c>
      <c r="AN341" s="14">
        <f t="shared" si="247"/>
        <v>749.98</v>
      </c>
      <c r="AO341" s="14">
        <f t="shared" si="230"/>
        <v>115670.46000000002</v>
      </c>
      <c r="AP341" s="14">
        <f t="shared" si="248"/>
        <v>959.90000000000009</v>
      </c>
      <c r="AS341" s="14">
        <f t="shared" si="262"/>
        <v>749.98</v>
      </c>
      <c r="AT341" s="14">
        <f t="shared" si="268"/>
        <v>211763.7800000009</v>
      </c>
      <c r="AU341" s="287">
        <f t="shared" si="269"/>
        <v>2277.9555051885295</v>
      </c>
      <c r="AV341" s="287">
        <f t="shared" si="270"/>
        <v>454714.60706174735</v>
      </c>
    </row>
    <row r="342" spans="1:48" x14ac:dyDescent="0.25">
      <c r="A342" s="519">
        <f t="shared" si="234"/>
        <v>54219</v>
      </c>
      <c r="B342" s="287">
        <f t="shared" si="263"/>
        <v>24881.959999999995</v>
      </c>
      <c r="C342" s="14">
        <f t="shared" si="257"/>
        <v>786.54</v>
      </c>
      <c r="D342" s="14">
        <f t="shared" si="271"/>
        <v>724.33999999999992</v>
      </c>
      <c r="E342" s="14">
        <f t="shared" si="258"/>
        <v>62.2</v>
      </c>
      <c r="F342" s="14">
        <f t="shared" si="235"/>
        <v>134.16999999999999</v>
      </c>
      <c r="G342" s="14">
        <f t="shared" si="232"/>
        <v>188.55</v>
      </c>
      <c r="H342" s="14">
        <f t="shared" si="233"/>
        <v>1109.26</v>
      </c>
      <c r="I342" s="287">
        <f t="shared" si="236"/>
        <v>162866.77999999997</v>
      </c>
      <c r="J342" s="287">
        <f t="shared" si="237"/>
        <v>95584.739999999918</v>
      </c>
      <c r="K342" s="287">
        <f t="shared" si="238"/>
        <v>24157.619999999995</v>
      </c>
      <c r="L342" s="428">
        <f t="shared" si="231"/>
        <v>23</v>
      </c>
      <c r="M342" s="428">
        <f t="shared" si="264"/>
        <v>283</v>
      </c>
      <c r="N342" s="287">
        <f t="shared" si="265"/>
        <v>95087.219999999987</v>
      </c>
      <c r="O342" s="287">
        <f t="shared" si="249"/>
        <v>1536.52</v>
      </c>
      <c r="P342" s="287">
        <f t="shared" si="272"/>
        <v>981.84</v>
      </c>
      <c r="Q342" s="287">
        <f t="shared" si="250"/>
        <v>554.67999999999995</v>
      </c>
      <c r="R342" s="287">
        <f t="shared" si="241"/>
        <v>134.16999999999999</v>
      </c>
      <c r="S342" s="287">
        <f t="shared" si="242"/>
        <v>188.55</v>
      </c>
      <c r="T342" s="287">
        <f t="shared" si="239"/>
        <v>1859.24</v>
      </c>
      <c r="U342" s="287">
        <f t="shared" si="273"/>
        <v>136844.61999999994</v>
      </c>
      <c r="V342" s="287">
        <f t="shared" si="274"/>
        <v>299527.05999999982</v>
      </c>
      <c r="W342" s="287">
        <f t="shared" si="240"/>
        <v>94105.37999999999</v>
      </c>
      <c r="X342" s="519">
        <f t="shared" si="266"/>
        <v>54219</v>
      </c>
      <c r="Y342" s="287">
        <f t="shared" si="251"/>
        <v>107265.86999999978</v>
      </c>
      <c r="Z342" s="511">
        <f t="shared" si="259"/>
        <v>7.0000000000000007E-2</v>
      </c>
      <c r="AA342" s="287">
        <f t="shared" si="260"/>
        <v>1746.44</v>
      </c>
      <c r="AB342" s="287">
        <f t="shared" si="252"/>
        <v>1120.72</v>
      </c>
      <c r="AC342" s="287">
        <f t="shared" si="261"/>
        <v>625.72</v>
      </c>
      <c r="AD342" s="287">
        <f t="shared" si="243"/>
        <v>134.16999999999999</v>
      </c>
      <c r="AE342" s="287">
        <f t="shared" si="244"/>
        <v>188.55</v>
      </c>
      <c r="AF342" s="287">
        <f t="shared" si="253"/>
        <v>2069.1600000000003</v>
      </c>
      <c r="AG342" s="287">
        <f t="shared" si="254"/>
        <v>169803.65000000002</v>
      </c>
      <c r="AH342" s="287">
        <f t="shared" si="255"/>
        <v>294367.30999999971</v>
      </c>
      <c r="AI342" s="530">
        <f t="shared" si="245"/>
        <v>-27799.279999999904</v>
      </c>
      <c r="AJ342" s="530">
        <f t="shared" si="229"/>
        <v>-12039.769999999786</v>
      </c>
      <c r="AK342" s="530">
        <f t="shared" si="246"/>
        <v>-39839.04999999969</v>
      </c>
      <c r="AL342" s="287">
        <f t="shared" si="256"/>
        <v>106145.14999999978</v>
      </c>
      <c r="AM342" s="428">
        <f t="shared" si="267"/>
        <v>23</v>
      </c>
      <c r="AN342" s="14">
        <f t="shared" si="247"/>
        <v>749.98</v>
      </c>
      <c r="AO342" s="14">
        <f t="shared" si="230"/>
        <v>115412.96000000002</v>
      </c>
      <c r="AP342" s="14">
        <f t="shared" si="248"/>
        <v>959.90000000000009</v>
      </c>
      <c r="AS342" s="14">
        <f t="shared" si="262"/>
        <v>749.98</v>
      </c>
      <c r="AT342" s="14">
        <f t="shared" si="268"/>
        <v>212513.76000000091</v>
      </c>
      <c r="AU342" s="287">
        <f t="shared" si="269"/>
        <v>2285.5486902058246</v>
      </c>
      <c r="AV342" s="287">
        <f t="shared" si="270"/>
        <v>457000.15575195319</v>
      </c>
    </row>
    <row r="343" spans="1:48" x14ac:dyDescent="0.25">
      <c r="A343" s="519">
        <f t="shared" si="234"/>
        <v>54249</v>
      </c>
      <c r="B343" s="287">
        <f t="shared" si="263"/>
        <v>24157.619999999995</v>
      </c>
      <c r="C343" s="14">
        <f t="shared" si="257"/>
        <v>786.54</v>
      </c>
      <c r="D343" s="14">
        <f t="shared" si="271"/>
        <v>726.15</v>
      </c>
      <c r="E343" s="14">
        <f t="shared" si="258"/>
        <v>60.39</v>
      </c>
      <c r="F343" s="14">
        <f t="shared" si="235"/>
        <v>134.16999999999999</v>
      </c>
      <c r="G343" s="14">
        <f t="shared" si="232"/>
        <v>188.55</v>
      </c>
      <c r="H343" s="14">
        <f t="shared" si="233"/>
        <v>1109.26</v>
      </c>
      <c r="I343" s="287">
        <f t="shared" si="236"/>
        <v>163592.92999999996</v>
      </c>
      <c r="J343" s="287">
        <f t="shared" si="237"/>
        <v>95645.129999999917</v>
      </c>
      <c r="K343" s="287">
        <f t="shared" si="238"/>
        <v>23431.469999999994</v>
      </c>
      <c r="L343" s="428">
        <f t="shared" si="231"/>
        <v>23</v>
      </c>
      <c r="M343" s="428">
        <f t="shared" si="264"/>
        <v>284</v>
      </c>
      <c r="N343" s="287">
        <f t="shared" si="265"/>
        <v>94105.37999999999</v>
      </c>
      <c r="O343" s="287">
        <f t="shared" si="249"/>
        <v>1536.52</v>
      </c>
      <c r="P343" s="287">
        <f t="shared" si="272"/>
        <v>987.56999999999994</v>
      </c>
      <c r="Q343" s="287">
        <f t="shared" si="250"/>
        <v>548.95000000000005</v>
      </c>
      <c r="R343" s="287">
        <f t="shared" si="241"/>
        <v>134.16999999999999</v>
      </c>
      <c r="S343" s="287">
        <f t="shared" si="242"/>
        <v>188.55</v>
      </c>
      <c r="T343" s="287">
        <f t="shared" si="239"/>
        <v>1859.24</v>
      </c>
      <c r="U343" s="287">
        <f t="shared" si="273"/>
        <v>137832.18999999994</v>
      </c>
      <c r="V343" s="287">
        <f t="shared" si="274"/>
        <v>300076.00999999983</v>
      </c>
      <c r="W343" s="287">
        <f t="shared" si="240"/>
        <v>93117.809999999983</v>
      </c>
      <c r="X343" s="519">
        <f t="shared" si="266"/>
        <v>54249</v>
      </c>
      <c r="Y343" s="287">
        <f t="shared" si="251"/>
        <v>106145.14999999978</v>
      </c>
      <c r="Z343" s="511">
        <f t="shared" si="259"/>
        <v>7.0000000000000007E-2</v>
      </c>
      <c r="AA343" s="287">
        <f t="shared" si="260"/>
        <v>1746.44</v>
      </c>
      <c r="AB343" s="287">
        <f t="shared" si="252"/>
        <v>1127.2600000000002</v>
      </c>
      <c r="AC343" s="287">
        <f t="shared" si="261"/>
        <v>619.17999999999995</v>
      </c>
      <c r="AD343" s="287">
        <f t="shared" si="243"/>
        <v>134.16999999999999</v>
      </c>
      <c r="AE343" s="287">
        <f t="shared" si="244"/>
        <v>188.55</v>
      </c>
      <c r="AF343" s="287">
        <f t="shared" si="253"/>
        <v>2069.1600000000003</v>
      </c>
      <c r="AG343" s="287">
        <f t="shared" si="254"/>
        <v>170930.91000000003</v>
      </c>
      <c r="AH343" s="287">
        <f t="shared" si="255"/>
        <v>294986.4899999997</v>
      </c>
      <c r="AI343" s="530">
        <f t="shared" si="245"/>
        <v>-28009.199999999903</v>
      </c>
      <c r="AJ343" s="530">
        <f t="shared" si="229"/>
        <v>-11900.079999999798</v>
      </c>
      <c r="AK343" s="530">
        <f t="shared" si="246"/>
        <v>-39909.279999999701</v>
      </c>
      <c r="AL343" s="287">
        <f t="shared" si="256"/>
        <v>105017.88999999978</v>
      </c>
      <c r="AM343" s="428">
        <f t="shared" si="267"/>
        <v>23</v>
      </c>
      <c r="AN343" s="14">
        <f t="shared" si="247"/>
        <v>749.98</v>
      </c>
      <c r="AO343" s="14">
        <f t="shared" si="230"/>
        <v>115151.54000000001</v>
      </c>
      <c r="AP343" s="14">
        <f t="shared" si="248"/>
        <v>959.90000000000009</v>
      </c>
      <c r="AS343" s="14">
        <f t="shared" si="262"/>
        <v>749.98</v>
      </c>
      <c r="AT343" s="14">
        <f t="shared" si="268"/>
        <v>213263.74000000092</v>
      </c>
      <c r="AU343" s="287">
        <f t="shared" si="269"/>
        <v>2293.1671858398436</v>
      </c>
      <c r="AV343" s="287">
        <f t="shared" si="270"/>
        <v>459293.32293779304</v>
      </c>
    </row>
    <row r="344" spans="1:48" x14ac:dyDescent="0.25">
      <c r="A344" s="519">
        <f t="shared" si="234"/>
        <v>54279</v>
      </c>
      <c r="B344" s="287">
        <f t="shared" si="263"/>
        <v>23431.469999999994</v>
      </c>
      <c r="C344" s="14">
        <f t="shared" si="257"/>
        <v>786.54</v>
      </c>
      <c r="D344" s="14">
        <f t="shared" si="271"/>
        <v>727.95999999999992</v>
      </c>
      <c r="E344" s="14">
        <f t="shared" si="258"/>
        <v>58.58</v>
      </c>
      <c r="F344" s="14">
        <f t="shared" si="235"/>
        <v>134.16999999999999</v>
      </c>
      <c r="G344" s="14">
        <f t="shared" si="232"/>
        <v>188.55</v>
      </c>
      <c r="H344" s="14">
        <f t="shared" si="233"/>
        <v>1109.26</v>
      </c>
      <c r="I344" s="287">
        <f t="shared" si="236"/>
        <v>164320.88999999996</v>
      </c>
      <c r="J344" s="287">
        <f t="shared" si="237"/>
        <v>95703.709999999919</v>
      </c>
      <c r="K344" s="287">
        <f t="shared" si="238"/>
        <v>22703.509999999995</v>
      </c>
      <c r="L344" s="428">
        <f t="shared" si="231"/>
        <v>23</v>
      </c>
      <c r="M344" s="428">
        <f t="shared" si="264"/>
        <v>285</v>
      </c>
      <c r="N344" s="287">
        <f t="shared" si="265"/>
        <v>93117.809999999983</v>
      </c>
      <c r="O344" s="287">
        <f t="shared" si="249"/>
        <v>1536.52</v>
      </c>
      <c r="P344" s="287">
        <f t="shared" si="272"/>
        <v>993.32999999999993</v>
      </c>
      <c r="Q344" s="287">
        <f t="shared" si="250"/>
        <v>543.19000000000005</v>
      </c>
      <c r="R344" s="287">
        <f t="shared" si="241"/>
        <v>134.16999999999999</v>
      </c>
      <c r="S344" s="287">
        <f t="shared" si="242"/>
        <v>188.55</v>
      </c>
      <c r="T344" s="287">
        <f t="shared" si="239"/>
        <v>1859.24</v>
      </c>
      <c r="U344" s="287">
        <f t="shared" si="273"/>
        <v>138825.51999999993</v>
      </c>
      <c r="V344" s="287">
        <f t="shared" si="274"/>
        <v>300619.19999999984</v>
      </c>
      <c r="W344" s="287">
        <f t="shared" si="240"/>
        <v>92124.479999999981</v>
      </c>
      <c r="X344" s="519">
        <f t="shared" si="266"/>
        <v>54279</v>
      </c>
      <c r="Y344" s="287">
        <f t="shared" si="251"/>
        <v>105017.88999999978</v>
      </c>
      <c r="Z344" s="511">
        <f t="shared" si="259"/>
        <v>7.0000000000000007E-2</v>
      </c>
      <c r="AA344" s="287">
        <f t="shared" si="260"/>
        <v>1746.44</v>
      </c>
      <c r="AB344" s="287">
        <f t="shared" si="252"/>
        <v>1133.8400000000001</v>
      </c>
      <c r="AC344" s="287">
        <f t="shared" si="261"/>
        <v>612.6</v>
      </c>
      <c r="AD344" s="287">
        <f t="shared" si="243"/>
        <v>134.16999999999999</v>
      </c>
      <c r="AE344" s="287">
        <f t="shared" si="244"/>
        <v>188.55</v>
      </c>
      <c r="AF344" s="287">
        <f t="shared" si="253"/>
        <v>2069.1600000000003</v>
      </c>
      <c r="AG344" s="287">
        <f t="shared" si="254"/>
        <v>172064.75000000003</v>
      </c>
      <c r="AH344" s="287">
        <f t="shared" si="255"/>
        <v>295599.08999999968</v>
      </c>
      <c r="AI344" s="530">
        <f t="shared" si="245"/>
        <v>-28219.119999999901</v>
      </c>
      <c r="AJ344" s="530">
        <f t="shared" si="229"/>
        <v>-11759.569999999803</v>
      </c>
      <c r="AK344" s="530">
        <f t="shared" si="246"/>
        <v>-39978.689999999704</v>
      </c>
      <c r="AL344" s="287">
        <f t="shared" si="256"/>
        <v>103884.04999999978</v>
      </c>
      <c r="AM344" s="428">
        <f t="shared" si="267"/>
        <v>23</v>
      </c>
      <c r="AN344" s="14">
        <f t="shared" si="247"/>
        <v>749.98</v>
      </c>
      <c r="AO344" s="14">
        <f t="shared" si="230"/>
        <v>114886.17000000001</v>
      </c>
      <c r="AP344" s="14">
        <f t="shared" si="248"/>
        <v>959.90000000000009</v>
      </c>
      <c r="AS344" s="14">
        <f t="shared" si="262"/>
        <v>749.98</v>
      </c>
      <c r="AT344" s="14">
        <f t="shared" si="268"/>
        <v>214013.72000000093</v>
      </c>
      <c r="AU344" s="287">
        <f t="shared" si="269"/>
        <v>2300.8110764593102</v>
      </c>
      <c r="AV344" s="287">
        <f t="shared" si="270"/>
        <v>461594.13401425234</v>
      </c>
    </row>
    <row r="345" spans="1:48" x14ac:dyDescent="0.25">
      <c r="A345" s="519">
        <f t="shared" si="234"/>
        <v>54309</v>
      </c>
      <c r="B345" s="287">
        <f t="shared" si="263"/>
        <v>22703.509999999995</v>
      </c>
      <c r="C345" s="14">
        <f t="shared" si="257"/>
        <v>786.54</v>
      </c>
      <c r="D345" s="14">
        <f t="shared" si="271"/>
        <v>729.78</v>
      </c>
      <c r="E345" s="14">
        <f t="shared" si="258"/>
        <v>56.76</v>
      </c>
      <c r="F345" s="14">
        <f t="shared" si="235"/>
        <v>134.16999999999999</v>
      </c>
      <c r="G345" s="14">
        <f t="shared" si="232"/>
        <v>188.55</v>
      </c>
      <c r="H345" s="14">
        <f t="shared" si="233"/>
        <v>1109.26</v>
      </c>
      <c r="I345" s="287">
        <f t="shared" si="236"/>
        <v>165050.66999999995</v>
      </c>
      <c r="J345" s="287">
        <f t="shared" si="237"/>
        <v>95760.469999999914</v>
      </c>
      <c r="K345" s="287">
        <f t="shared" si="238"/>
        <v>21973.729999999996</v>
      </c>
      <c r="L345" s="428">
        <f t="shared" si="231"/>
        <v>23</v>
      </c>
      <c r="M345" s="428">
        <f t="shared" si="264"/>
        <v>286</v>
      </c>
      <c r="N345" s="287">
        <f t="shared" si="265"/>
        <v>92124.479999999981</v>
      </c>
      <c r="O345" s="287">
        <f t="shared" si="249"/>
        <v>1536.52</v>
      </c>
      <c r="P345" s="287">
        <f t="shared" si="272"/>
        <v>999.13</v>
      </c>
      <c r="Q345" s="287">
        <f t="shared" si="250"/>
        <v>537.39</v>
      </c>
      <c r="R345" s="287">
        <f t="shared" si="241"/>
        <v>134.16999999999999</v>
      </c>
      <c r="S345" s="287">
        <f t="shared" si="242"/>
        <v>188.55</v>
      </c>
      <c r="T345" s="287">
        <f t="shared" si="239"/>
        <v>1859.24</v>
      </c>
      <c r="U345" s="287">
        <f t="shared" si="273"/>
        <v>139824.64999999994</v>
      </c>
      <c r="V345" s="287">
        <f t="shared" si="274"/>
        <v>301156.58999999985</v>
      </c>
      <c r="W345" s="287">
        <f t="shared" si="240"/>
        <v>91125.349999999977</v>
      </c>
      <c r="X345" s="519">
        <f t="shared" si="266"/>
        <v>54309</v>
      </c>
      <c r="Y345" s="287">
        <f t="shared" si="251"/>
        <v>103884.04999999978</v>
      </c>
      <c r="Z345" s="511">
        <f t="shared" si="259"/>
        <v>7.0000000000000007E-2</v>
      </c>
      <c r="AA345" s="287">
        <f t="shared" si="260"/>
        <v>1746.44</v>
      </c>
      <c r="AB345" s="287">
        <f t="shared" si="252"/>
        <v>1140.45</v>
      </c>
      <c r="AC345" s="287">
        <f t="shared" si="261"/>
        <v>605.99</v>
      </c>
      <c r="AD345" s="287">
        <f t="shared" si="243"/>
        <v>134.16999999999999</v>
      </c>
      <c r="AE345" s="287">
        <f t="shared" si="244"/>
        <v>188.55</v>
      </c>
      <c r="AF345" s="287">
        <f t="shared" si="253"/>
        <v>2069.1600000000003</v>
      </c>
      <c r="AG345" s="287">
        <f t="shared" si="254"/>
        <v>173205.20000000004</v>
      </c>
      <c r="AH345" s="287">
        <f t="shared" si="255"/>
        <v>296205.07999999967</v>
      </c>
      <c r="AI345" s="530">
        <f t="shared" si="245"/>
        <v>-28429.039999999899</v>
      </c>
      <c r="AJ345" s="530">
        <f t="shared" si="229"/>
        <v>-11618.249999999811</v>
      </c>
      <c r="AK345" s="530">
        <f t="shared" si="246"/>
        <v>-40047.28999999971</v>
      </c>
      <c r="AL345" s="287">
        <f t="shared" si="256"/>
        <v>102743.59999999979</v>
      </c>
      <c r="AM345" s="428">
        <f t="shared" si="267"/>
        <v>23</v>
      </c>
      <c r="AN345" s="14">
        <f t="shared" si="247"/>
        <v>749.98</v>
      </c>
      <c r="AO345" s="14">
        <f t="shared" si="230"/>
        <v>114616.82</v>
      </c>
      <c r="AP345" s="14">
        <f t="shared" si="248"/>
        <v>959.90000000000009</v>
      </c>
      <c r="AS345" s="14">
        <f t="shared" si="262"/>
        <v>749.98</v>
      </c>
      <c r="AT345" s="14">
        <f t="shared" si="268"/>
        <v>214763.70000000094</v>
      </c>
      <c r="AU345" s="287">
        <f t="shared" si="269"/>
        <v>2308.4804467141744</v>
      </c>
      <c r="AV345" s="287">
        <f t="shared" si="270"/>
        <v>463902.61446096649</v>
      </c>
    </row>
    <row r="346" spans="1:48" x14ac:dyDescent="0.25">
      <c r="A346" s="519">
        <f t="shared" si="234"/>
        <v>54339</v>
      </c>
      <c r="B346" s="287">
        <f t="shared" si="263"/>
        <v>21973.729999999996</v>
      </c>
      <c r="C346" s="14">
        <f t="shared" si="257"/>
        <v>786.54</v>
      </c>
      <c r="D346" s="14">
        <f t="shared" si="271"/>
        <v>731.61</v>
      </c>
      <c r="E346" s="14">
        <f t="shared" si="258"/>
        <v>54.93</v>
      </c>
      <c r="F346" s="14">
        <f t="shared" si="235"/>
        <v>134.16999999999999</v>
      </c>
      <c r="G346" s="14">
        <f t="shared" si="232"/>
        <v>188.55</v>
      </c>
      <c r="H346" s="14">
        <f t="shared" si="233"/>
        <v>1109.26</v>
      </c>
      <c r="I346" s="287">
        <f t="shared" si="236"/>
        <v>165782.27999999994</v>
      </c>
      <c r="J346" s="287">
        <f t="shared" si="237"/>
        <v>95815.399999999907</v>
      </c>
      <c r="K346" s="287">
        <f t="shared" si="238"/>
        <v>21242.119999999995</v>
      </c>
      <c r="L346" s="428">
        <f t="shared" si="231"/>
        <v>23</v>
      </c>
      <c r="M346" s="428">
        <f t="shared" si="264"/>
        <v>287</v>
      </c>
      <c r="N346" s="287">
        <f t="shared" si="265"/>
        <v>91125.349999999977</v>
      </c>
      <c r="O346" s="287">
        <f t="shared" si="249"/>
        <v>1536.52</v>
      </c>
      <c r="P346" s="287">
        <f t="shared" si="272"/>
        <v>1004.96</v>
      </c>
      <c r="Q346" s="287">
        <f t="shared" si="250"/>
        <v>531.55999999999995</v>
      </c>
      <c r="R346" s="287">
        <f t="shared" si="241"/>
        <v>134.16999999999999</v>
      </c>
      <c r="S346" s="287">
        <f t="shared" si="242"/>
        <v>188.55</v>
      </c>
      <c r="T346" s="287">
        <f t="shared" si="239"/>
        <v>1859.24</v>
      </c>
      <c r="U346" s="287">
        <f t="shared" si="273"/>
        <v>140829.60999999993</v>
      </c>
      <c r="V346" s="287">
        <f t="shared" si="274"/>
        <v>301688.14999999985</v>
      </c>
      <c r="W346" s="287">
        <f t="shared" si="240"/>
        <v>90120.38999999997</v>
      </c>
      <c r="X346" s="519">
        <f t="shared" si="266"/>
        <v>54339</v>
      </c>
      <c r="Y346" s="287">
        <f t="shared" si="251"/>
        <v>102743.59999999979</v>
      </c>
      <c r="Z346" s="511">
        <f t="shared" si="259"/>
        <v>7.0000000000000007E-2</v>
      </c>
      <c r="AA346" s="287">
        <f t="shared" si="260"/>
        <v>1746.44</v>
      </c>
      <c r="AB346" s="287">
        <f t="shared" si="252"/>
        <v>1147.0999999999999</v>
      </c>
      <c r="AC346" s="287">
        <f t="shared" si="261"/>
        <v>599.34</v>
      </c>
      <c r="AD346" s="287">
        <f t="shared" si="243"/>
        <v>134.16999999999999</v>
      </c>
      <c r="AE346" s="287">
        <f t="shared" si="244"/>
        <v>188.55</v>
      </c>
      <c r="AF346" s="287">
        <f t="shared" si="253"/>
        <v>2069.1600000000003</v>
      </c>
      <c r="AG346" s="287">
        <f t="shared" si="254"/>
        <v>174352.30000000005</v>
      </c>
      <c r="AH346" s="287">
        <f t="shared" si="255"/>
        <v>296804.41999999969</v>
      </c>
      <c r="AI346" s="530">
        <f t="shared" si="245"/>
        <v>-28638.959999999897</v>
      </c>
      <c r="AJ346" s="530">
        <f t="shared" si="229"/>
        <v>-11476.109999999811</v>
      </c>
      <c r="AK346" s="530">
        <f t="shared" si="246"/>
        <v>-40115.069999999709</v>
      </c>
      <c r="AL346" s="287">
        <f t="shared" si="256"/>
        <v>101596.49999999978</v>
      </c>
      <c r="AM346" s="428">
        <f t="shared" si="267"/>
        <v>23</v>
      </c>
      <c r="AN346" s="14">
        <f t="shared" si="247"/>
        <v>749.98</v>
      </c>
      <c r="AO346" s="14">
        <f t="shared" si="230"/>
        <v>114343.47</v>
      </c>
      <c r="AP346" s="14">
        <f t="shared" si="248"/>
        <v>959.90000000000009</v>
      </c>
      <c r="AS346" s="14">
        <f t="shared" si="262"/>
        <v>749.98</v>
      </c>
      <c r="AT346" s="14">
        <f t="shared" si="268"/>
        <v>215513.68000000095</v>
      </c>
      <c r="AU346" s="287">
        <f t="shared" si="269"/>
        <v>2316.1753815365551</v>
      </c>
      <c r="AV346" s="287">
        <f t="shared" si="270"/>
        <v>466218.78984250303</v>
      </c>
    </row>
    <row r="347" spans="1:48" x14ac:dyDescent="0.25">
      <c r="A347" s="519">
        <f t="shared" si="234"/>
        <v>54369</v>
      </c>
      <c r="B347" s="287">
        <f t="shared" si="263"/>
        <v>21242.119999999995</v>
      </c>
      <c r="C347" s="14">
        <f t="shared" si="257"/>
        <v>786.54</v>
      </c>
      <c r="D347" s="14">
        <f t="shared" si="271"/>
        <v>733.43</v>
      </c>
      <c r="E347" s="14">
        <f t="shared" si="258"/>
        <v>53.11</v>
      </c>
      <c r="F347" s="14">
        <f t="shared" si="235"/>
        <v>134.16999999999999</v>
      </c>
      <c r="G347" s="14">
        <f t="shared" si="232"/>
        <v>188.55</v>
      </c>
      <c r="H347" s="14">
        <f t="shared" si="233"/>
        <v>1109.26</v>
      </c>
      <c r="I347" s="287">
        <f t="shared" si="236"/>
        <v>166515.70999999993</v>
      </c>
      <c r="J347" s="287">
        <f t="shared" si="237"/>
        <v>95868.509999999907</v>
      </c>
      <c r="K347" s="287">
        <f t="shared" si="238"/>
        <v>20508.689999999995</v>
      </c>
      <c r="L347" s="428">
        <f t="shared" si="231"/>
        <v>24</v>
      </c>
      <c r="M347" s="428">
        <f t="shared" si="264"/>
        <v>288</v>
      </c>
      <c r="N347" s="287">
        <f t="shared" si="265"/>
        <v>90120.38999999997</v>
      </c>
      <c r="O347" s="287">
        <f t="shared" si="249"/>
        <v>1536.52</v>
      </c>
      <c r="P347" s="287">
        <f t="shared" si="272"/>
        <v>1010.8199999999999</v>
      </c>
      <c r="Q347" s="287">
        <f t="shared" si="250"/>
        <v>525.70000000000005</v>
      </c>
      <c r="R347" s="287">
        <f t="shared" si="241"/>
        <v>134.16999999999999</v>
      </c>
      <c r="S347" s="287">
        <f t="shared" si="242"/>
        <v>188.55</v>
      </c>
      <c r="T347" s="287">
        <f t="shared" si="239"/>
        <v>1859.24</v>
      </c>
      <c r="U347" s="287">
        <f t="shared" si="273"/>
        <v>141840.42999999993</v>
      </c>
      <c r="V347" s="287">
        <f t="shared" si="274"/>
        <v>302213.84999999986</v>
      </c>
      <c r="W347" s="287">
        <f t="shared" si="240"/>
        <v>89109.569999999963</v>
      </c>
      <c r="X347" s="519">
        <f t="shared" si="266"/>
        <v>54369</v>
      </c>
      <c r="Y347" s="287">
        <f t="shared" si="251"/>
        <v>101596.49999999978</v>
      </c>
      <c r="Z347" s="511">
        <f t="shared" si="259"/>
        <v>7.0000000000000007E-2</v>
      </c>
      <c r="AA347" s="287">
        <f t="shared" si="260"/>
        <v>1746.44</v>
      </c>
      <c r="AB347" s="287">
        <f t="shared" si="252"/>
        <v>1153.79</v>
      </c>
      <c r="AC347" s="287">
        <f t="shared" si="261"/>
        <v>592.65</v>
      </c>
      <c r="AD347" s="287">
        <f t="shared" si="243"/>
        <v>134.16999999999999</v>
      </c>
      <c r="AE347" s="287">
        <f t="shared" si="244"/>
        <v>188.55</v>
      </c>
      <c r="AF347" s="287">
        <f t="shared" si="253"/>
        <v>2069.1600000000003</v>
      </c>
      <c r="AG347" s="287">
        <f t="shared" si="254"/>
        <v>175506.09000000005</v>
      </c>
      <c r="AH347" s="287">
        <f t="shared" si="255"/>
        <v>297397.06999999972</v>
      </c>
      <c r="AI347" s="530">
        <f t="shared" si="245"/>
        <v>-28848.879999999896</v>
      </c>
      <c r="AJ347" s="530">
        <f t="shared" ref="AJ347:AJ410" si="275">+W347-AL347</f>
        <v>-11333.139999999825</v>
      </c>
      <c r="AK347" s="530">
        <f t="shared" si="246"/>
        <v>-40182.01999999972</v>
      </c>
      <c r="AL347" s="287">
        <f t="shared" si="256"/>
        <v>100442.70999999979</v>
      </c>
      <c r="AM347" s="428">
        <f t="shared" si="267"/>
        <v>24</v>
      </c>
      <c r="AN347" s="14">
        <f t="shared" si="247"/>
        <v>749.98</v>
      </c>
      <c r="AO347" s="14">
        <f t="shared" si="230"/>
        <v>114066.07999999999</v>
      </c>
      <c r="AP347" s="14">
        <f t="shared" si="248"/>
        <v>959.90000000000009</v>
      </c>
      <c r="AS347" s="14">
        <f t="shared" si="262"/>
        <v>749.98</v>
      </c>
      <c r="AT347" s="14">
        <f t="shared" si="268"/>
        <v>216263.66000000096</v>
      </c>
      <c r="AU347" s="287">
        <f t="shared" si="269"/>
        <v>2323.895966141677</v>
      </c>
      <c r="AV347" s="287">
        <f t="shared" si="270"/>
        <v>468542.68580864469</v>
      </c>
    </row>
    <row r="348" spans="1:48" x14ac:dyDescent="0.25">
      <c r="A348" s="519">
        <f t="shared" si="234"/>
        <v>54399</v>
      </c>
      <c r="B348" s="287">
        <f t="shared" si="263"/>
        <v>20508.689999999995</v>
      </c>
      <c r="C348" s="14">
        <f t="shared" si="257"/>
        <v>786.54</v>
      </c>
      <c r="D348" s="14">
        <f t="shared" si="271"/>
        <v>735.27</v>
      </c>
      <c r="E348" s="14">
        <f t="shared" si="258"/>
        <v>51.27</v>
      </c>
      <c r="F348" s="14">
        <f t="shared" si="235"/>
        <v>134.16999999999999</v>
      </c>
      <c r="G348" s="14">
        <f t="shared" si="232"/>
        <v>188.55</v>
      </c>
      <c r="H348" s="14">
        <f t="shared" si="233"/>
        <v>1109.26</v>
      </c>
      <c r="I348" s="287">
        <f t="shared" si="236"/>
        <v>167250.97999999992</v>
      </c>
      <c r="J348" s="287">
        <f t="shared" si="237"/>
        <v>95919.779999999912</v>
      </c>
      <c r="K348" s="287">
        <f t="shared" si="238"/>
        <v>19773.419999999995</v>
      </c>
      <c r="L348" s="428">
        <f t="shared" si="231"/>
        <v>24</v>
      </c>
      <c r="M348" s="428">
        <f t="shared" si="264"/>
        <v>289</v>
      </c>
      <c r="N348" s="287">
        <f t="shared" si="265"/>
        <v>89109.569999999963</v>
      </c>
      <c r="O348" s="287">
        <f t="shared" si="249"/>
        <v>1536.52</v>
      </c>
      <c r="P348" s="287">
        <f t="shared" si="272"/>
        <v>1016.71</v>
      </c>
      <c r="Q348" s="287">
        <f t="shared" si="250"/>
        <v>519.80999999999995</v>
      </c>
      <c r="R348" s="287">
        <f t="shared" si="241"/>
        <v>134.16999999999999</v>
      </c>
      <c r="S348" s="287">
        <f t="shared" si="242"/>
        <v>188.55</v>
      </c>
      <c r="T348" s="287">
        <f t="shared" si="239"/>
        <v>1859.24</v>
      </c>
      <c r="U348" s="287">
        <f t="shared" si="273"/>
        <v>142857.13999999993</v>
      </c>
      <c r="V348" s="287">
        <f t="shared" si="274"/>
        <v>302733.65999999986</v>
      </c>
      <c r="W348" s="287">
        <f t="shared" si="240"/>
        <v>88092.859999999957</v>
      </c>
      <c r="X348" s="519">
        <f t="shared" si="266"/>
        <v>54399</v>
      </c>
      <c r="Y348" s="287">
        <f t="shared" si="251"/>
        <v>100442.70999999979</v>
      </c>
      <c r="Z348" s="511">
        <f t="shared" si="259"/>
        <v>7.0000000000000007E-2</v>
      </c>
      <c r="AA348" s="287">
        <f t="shared" si="260"/>
        <v>1746.44</v>
      </c>
      <c r="AB348" s="287">
        <f t="shared" si="252"/>
        <v>1160.52</v>
      </c>
      <c r="AC348" s="287">
        <f t="shared" si="261"/>
        <v>585.91999999999996</v>
      </c>
      <c r="AD348" s="287">
        <f t="shared" si="243"/>
        <v>134.16999999999999</v>
      </c>
      <c r="AE348" s="287">
        <f t="shared" si="244"/>
        <v>188.55</v>
      </c>
      <c r="AF348" s="287">
        <f t="shared" si="253"/>
        <v>2069.1600000000003</v>
      </c>
      <c r="AG348" s="287">
        <f t="shared" si="254"/>
        <v>176666.61000000004</v>
      </c>
      <c r="AH348" s="287">
        <f t="shared" si="255"/>
        <v>297982.9899999997</v>
      </c>
      <c r="AI348" s="530">
        <f t="shared" si="245"/>
        <v>-29058.799999999894</v>
      </c>
      <c r="AJ348" s="530">
        <f t="shared" si="275"/>
        <v>-11189.329999999827</v>
      </c>
      <c r="AK348" s="530">
        <f t="shared" si="246"/>
        <v>-40248.129999999721</v>
      </c>
      <c r="AL348" s="287">
        <f t="shared" si="256"/>
        <v>99282.189999999784</v>
      </c>
      <c r="AM348" s="428">
        <f t="shared" si="267"/>
        <v>24</v>
      </c>
      <c r="AN348" s="14">
        <f t="shared" si="247"/>
        <v>749.98</v>
      </c>
      <c r="AO348" s="14">
        <f t="shared" si="230"/>
        <v>113784.63999999998</v>
      </c>
      <c r="AP348" s="14">
        <f t="shared" si="248"/>
        <v>959.90000000000009</v>
      </c>
      <c r="AS348" s="14">
        <f t="shared" si="262"/>
        <v>749.98</v>
      </c>
      <c r="AT348" s="14">
        <f t="shared" si="268"/>
        <v>217013.64000000097</v>
      </c>
      <c r="AU348" s="287">
        <f t="shared" si="269"/>
        <v>2331.6422860288153</v>
      </c>
      <c r="AV348" s="287">
        <f t="shared" si="270"/>
        <v>470874.32809467352</v>
      </c>
    </row>
    <row r="349" spans="1:48" x14ac:dyDescent="0.25">
      <c r="A349" s="519">
        <f t="shared" si="234"/>
        <v>54429</v>
      </c>
      <c r="B349" s="287">
        <f t="shared" si="263"/>
        <v>19773.419999999995</v>
      </c>
      <c r="C349" s="14">
        <f t="shared" si="257"/>
        <v>786.54</v>
      </c>
      <c r="D349" s="14">
        <f t="shared" si="271"/>
        <v>737.11</v>
      </c>
      <c r="E349" s="14">
        <f t="shared" si="258"/>
        <v>49.43</v>
      </c>
      <c r="F349" s="14">
        <f t="shared" si="235"/>
        <v>134.16999999999999</v>
      </c>
      <c r="G349" s="14">
        <f t="shared" si="232"/>
        <v>188.55</v>
      </c>
      <c r="H349" s="14">
        <f t="shared" si="233"/>
        <v>1109.26</v>
      </c>
      <c r="I349" s="287">
        <f t="shared" si="236"/>
        <v>167988.08999999991</v>
      </c>
      <c r="J349" s="287">
        <f t="shared" si="237"/>
        <v>95969.209999999905</v>
      </c>
      <c r="K349" s="287">
        <f t="shared" si="238"/>
        <v>19036.309999999994</v>
      </c>
      <c r="L349" s="428">
        <f t="shared" si="231"/>
        <v>24</v>
      </c>
      <c r="M349" s="428">
        <f t="shared" si="264"/>
        <v>290</v>
      </c>
      <c r="N349" s="287">
        <f t="shared" si="265"/>
        <v>88092.859999999957</v>
      </c>
      <c r="O349" s="287">
        <f t="shared" si="249"/>
        <v>1536.52</v>
      </c>
      <c r="P349" s="287">
        <f t="shared" si="272"/>
        <v>1022.64</v>
      </c>
      <c r="Q349" s="287">
        <f t="shared" si="250"/>
        <v>513.88</v>
      </c>
      <c r="R349" s="287">
        <f t="shared" si="241"/>
        <v>134.16999999999999</v>
      </c>
      <c r="S349" s="287">
        <f t="shared" si="242"/>
        <v>188.55</v>
      </c>
      <c r="T349" s="287">
        <f t="shared" si="239"/>
        <v>1859.24</v>
      </c>
      <c r="U349" s="287">
        <f t="shared" si="273"/>
        <v>143879.77999999994</v>
      </c>
      <c r="V349" s="287">
        <f t="shared" si="274"/>
        <v>303247.53999999986</v>
      </c>
      <c r="W349" s="287">
        <f t="shared" si="240"/>
        <v>87070.219999999958</v>
      </c>
      <c r="X349" s="519">
        <f t="shared" si="266"/>
        <v>54429</v>
      </c>
      <c r="Y349" s="287">
        <f t="shared" si="251"/>
        <v>99282.189999999784</v>
      </c>
      <c r="Z349" s="511">
        <f t="shared" si="259"/>
        <v>7.0000000000000007E-2</v>
      </c>
      <c r="AA349" s="287">
        <f t="shared" si="260"/>
        <v>1746.44</v>
      </c>
      <c r="AB349" s="287">
        <f t="shared" si="252"/>
        <v>1167.29</v>
      </c>
      <c r="AC349" s="287">
        <f t="shared" si="261"/>
        <v>579.15</v>
      </c>
      <c r="AD349" s="287">
        <f t="shared" si="243"/>
        <v>134.16999999999999</v>
      </c>
      <c r="AE349" s="287">
        <f t="shared" si="244"/>
        <v>188.55</v>
      </c>
      <c r="AF349" s="287">
        <f t="shared" si="253"/>
        <v>2069.1600000000003</v>
      </c>
      <c r="AG349" s="287">
        <f t="shared" si="254"/>
        <v>177833.90000000005</v>
      </c>
      <c r="AH349" s="287">
        <f t="shared" si="255"/>
        <v>298562.13999999972</v>
      </c>
      <c r="AI349" s="530">
        <f t="shared" si="245"/>
        <v>-29268.719999999892</v>
      </c>
      <c r="AJ349" s="530">
        <f t="shared" si="275"/>
        <v>-11044.679999999833</v>
      </c>
      <c r="AK349" s="530">
        <f t="shared" si="246"/>
        <v>-40313.399999999725</v>
      </c>
      <c r="AL349" s="287">
        <f t="shared" si="256"/>
        <v>98114.89999999979</v>
      </c>
      <c r="AM349" s="428">
        <f t="shared" si="267"/>
        <v>24</v>
      </c>
      <c r="AN349" s="14">
        <f t="shared" si="247"/>
        <v>749.98</v>
      </c>
      <c r="AO349" s="14">
        <f t="shared" si="230"/>
        <v>113499.10999999996</v>
      </c>
      <c r="AP349" s="14">
        <f t="shared" si="248"/>
        <v>959.90000000000009</v>
      </c>
      <c r="AS349" s="14">
        <f t="shared" si="262"/>
        <v>749.98</v>
      </c>
      <c r="AT349" s="14">
        <f t="shared" si="268"/>
        <v>217763.62000000098</v>
      </c>
      <c r="AU349" s="287">
        <f t="shared" si="269"/>
        <v>2339.414426982245</v>
      </c>
      <c r="AV349" s="287">
        <f t="shared" si="270"/>
        <v>473213.74252165575</v>
      </c>
    </row>
    <row r="350" spans="1:48" ht="15.75" thickBot="1" x14ac:dyDescent="0.3">
      <c r="A350" s="522">
        <f t="shared" si="234"/>
        <v>54459</v>
      </c>
      <c r="B350" s="348">
        <f t="shared" si="263"/>
        <v>19036.309999999994</v>
      </c>
      <c r="C350" s="21">
        <f t="shared" si="257"/>
        <v>786.54</v>
      </c>
      <c r="D350" s="21">
        <f t="shared" si="271"/>
        <v>738.94999999999993</v>
      </c>
      <c r="E350" s="21">
        <f t="shared" si="258"/>
        <v>47.59</v>
      </c>
      <c r="F350" s="21">
        <f t="shared" si="235"/>
        <v>134.16999999999999</v>
      </c>
      <c r="G350" s="21">
        <f t="shared" si="232"/>
        <v>188.55</v>
      </c>
      <c r="H350" s="21">
        <f t="shared" si="233"/>
        <v>1109.26</v>
      </c>
      <c r="I350" s="348">
        <f t="shared" si="236"/>
        <v>168727.03999999992</v>
      </c>
      <c r="J350" s="348">
        <f t="shared" si="237"/>
        <v>96016.799999999901</v>
      </c>
      <c r="K350" s="348">
        <f t="shared" si="238"/>
        <v>18297.359999999993</v>
      </c>
      <c r="L350" s="429">
        <f t="shared" si="231"/>
        <v>24</v>
      </c>
      <c r="M350" s="429">
        <f t="shared" si="264"/>
        <v>291</v>
      </c>
      <c r="N350" s="348">
        <f t="shared" si="265"/>
        <v>87070.219999999958</v>
      </c>
      <c r="O350" s="348">
        <f t="shared" si="249"/>
        <v>1536.52</v>
      </c>
      <c r="P350" s="348">
        <f t="shared" si="272"/>
        <v>1028.6099999999999</v>
      </c>
      <c r="Q350" s="348">
        <f t="shared" si="250"/>
        <v>507.91</v>
      </c>
      <c r="R350" s="348">
        <f t="shared" si="241"/>
        <v>134.16999999999999</v>
      </c>
      <c r="S350" s="348">
        <f t="shared" si="242"/>
        <v>188.55</v>
      </c>
      <c r="T350" s="348">
        <f t="shared" si="239"/>
        <v>1859.24</v>
      </c>
      <c r="U350" s="348">
        <f t="shared" si="273"/>
        <v>144908.38999999993</v>
      </c>
      <c r="V350" s="348">
        <f t="shared" si="274"/>
        <v>303755.44999999984</v>
      </c>
      <c r="W350" s="348">
        <f t="shared" si="240"/>
        <v>86041.609999999957</v>
      </c>
      <c r="X350" s="522">
        <f t="shared" si="266"/>
        <v>54459</v>
      </c>
      <c r="Y350" s="348">
        <f t="shared" si="251"/>
        <v>98114.89999999979</v>
      </c>
      <c r="Z350" s="512">
        <f t="shared" si="259"/>
        <v>7.0000000000000007E-2</v>
      </c>
      <c r="AA350" s="348">
        <f t="shared" si="260"/>
        <v>1746.44</v>
      </c>
      <c r="AB350" s="348">
        <f t="shared" si="252"/>
        <v>1174.0999999999999</v>
      </c>
      <c r="AC350" s="348">
        <f t="shared" si="261"/>
        <v>572.34</v>
      </c>
      <c r="AD350" s="348">
        <f t="shared" si="243"/>
        <v>134.16999999999999</v>
      </c>
      <c r="AE350" s="348">
        <f t="shared" si="244"/>
        <v>188.55</v>
      </c>
      <c r="AF350" s="348">
        <f t="shared" si="253"/>
        <v>2069.1600000000003</v>
      </c>
      <c r="AG350" s="348">
        <f t="shared" si="254"/>
        <v>179008.00000000006</v>
      </c>
      <c r="AH350" s="348">
        <f t="shared" si="255"/>
        <v>299134.47999999975</v>
      </c>
      <c r="AI350" s="531">
        <f t="shared" si="245"/>
        <v>-29478.63999999989</v>
      </c>
      <c r="AJ350" s="531">
        <f t="shared" si="275"/>
        <v>-10899.189999999828</v>
      </c>
      <c r="AK350" s="530">
        <f t="shared" si="246"/>
        <v>-40377.829999999718</v>
      </c>
      <c r="AL350" s="348">
        <f t="shared" si="256"/>
        <v>96940.799999999785</v>
      </c>
      <c r="AM350" s="429">
        <f t="shared" si="267"/>
        <v>24</v>
      </c>
      <c r="AN350" s="21">
        <f t="shared" si="247"/>
        <v>749.98</v>
      </c>
      <c r="AO350" s="21">
        <f t="shared" si="230"/>
        <v>113209.44999999998</v>
      </c>
      <c r="AP350" s="21">
        <f t="shared" si="248"/>
        <v>959.90000000000009</v>
      </c>
      <c r="AQ350" s="21"/>
      <c r="AR350" s="23"/>
      <c r="AS350" s="21">
        <f t="shared" si="262"/>
        <v>749.98</v>
      </c>
      <c r="AT350" s="21">
        <f t="shared" si="268"/>
        <v>218513.600000001</v>
      </c>
      <c r="AU350" s="348">
        <f t="shared" si="269"/>
        <v>2347.212475072186</v>
      </c>
      <c r="AV350" s="348">
        <f t="shared" si="270"/>
        <v>475560.95499672793</v>
      </c>
    </row>
    <row r="351" spans="1:48" x14ac:dyDescent="0.25">
      <c r="A351" s="519">
        <f t="shared" si="234"/>
        <v>54489</v>
      </c>
      <c r="B351" s="287">
        <f t="shared" si="263"/>
        <v>18297.359999999993</v>
      </c>
      <c r="C351" s="14">
        <f t="shared" si="257"/>
        <v>786.54</v>
      </c>
      <c r="D351" s="14">
        <f t="shared" si="271"/>
        <v>740.8</v>
      </c>
      <c r="E351" s="14">
        <f t="shared" si="258"/>
        <v>45.74</v>
      </c>
      <c r="F351" s="14">
        <f t="shared" si="235"/>
        <v>134.16999999999999</v>
      </c>
      <c r="G351" s="14">
        <f t="shared" si="232"/>
        <v>188.55</v>
      </c>
      <c r="H351" s="14">
        <f t="shared" si="233"/>
        <v>1109.26</v>
      </c>
      <c r="I351" s="287">
        <f t="shared" si="236"/>
        <v>169467.83999999991</v>
      </c>
      <c r="J351" s="287">
        <f t="shared" si="237"/>
        <v>96062.539999999906</v>
      </c>
      <c r="K351" s="287">
        <f t="shared" si="238"/>
        <v>17556.559999999994</v>
      </c>
      <c r="L351" s="428">
        <f t="shared" si="231"/>
        <v>24</v>
      </c>
      <c r="M351" s="428">
        <f t="shared" si="264"/>
        <v>292</v>
      </c>
      <c r="N351" s="287">
        <f t="shared" si="265"/>
        <v>86041.609999999957</v>
      </c>
      <c r="O351" s="287">
        <f t="shared" si="249"/>
        <v>1536.52</v>
      </c>
      <c r="P351" s="287">
        <f t="shared" si="272"/>
        <v>1034.6099999999999</v>
      </c>
      <c r="Q351" s="287">
        <f t="shared" si="250"/>
        <v>501.91</v>
      </c>
      <c r="R351" s="287">
        <f t="shared" si="241"/>
        <v>134.16999999999999</v>
      </c>
      <c r="S351" s="287">
        <f t="shared" si="242"/>
        <v>188.55</v>
      </c>
      <c r="T351" s="287">
        <f t="shared" si="239"/>
        <v>1859.24</v>
      </c>
      <c r="U351" s="287">
        <f t="shared" si="273"/>
        <v>145942.99999999991</v>
      </c>
      <c r="V351" s="287">
        <f t="shared" si="274"/>
        <v>304257.35999999981</v>
      </c>
      <c r="W351" s="287">
        <f t="shared" si="240"/>
        <v>85006.999999999956</v>
      </c>
      <c r="X351" s="519">
        <f t="shared" si="266"/>
        <v>54489</v>
      </c>
      <c r="Y351" s="287">
        <f t="shared" si="251"/>
        <v>96940.799999999785</v>
      </c>
      <c r="Z351" s="511">
        <f t="shared" si="259"/>
        <v>7.0000000000000007E-2</v>
      </c>
      <c r="AA351" s="287">
        <f t="shared" si="260"/>
        <v>1746.44</v>
      </c>
      <c r="AB351" s="287">
        <f t="shared" si="252"/>
        <v>1180.95</v>
      </c>
      <c r="AC351" s="287">
        <f t="shared" si="261"/>
        <v>565.49</v>
      </c>
      <c r="AD351" s="287">
        <f t="shared" si="243"/>
        <v>134.16999999999999</v>
      </c>
      <c r="AE351" s="287">
        <f t="shared" si="244"/>
        <v>188.55</v>
      </c>
      <c r="AF351" s="287">
        <f t="shared" si="253"/>
        <v>2069.1600000000003</v>
      </c>
      <c r="AG351" s="287">
        <f t="shared" si="254"/>
        <v>180188.95000000007</v>
      </c>
      <c r="AH351" s="287">
        <f t="shared" si="255"/>
        <v>299699.96999999974</v>
      </c>
      <c r="AI351" s="530">
        <f t="shared" si="245"/>
        <v>-29688.559999999889</v>
      </c>
      <c r="AJ351" s="530">
        <f t="shared" si="275"/>
        <v>-10752.849999999831</v>
      </c>
      <c r="AK351" s="530">
        <f t="shared" si="246"/>
        <v>-40441.40999999972</v>
      </c>
      <c r="AL351" s="287">
        <f t="shared" si="256"/>
        <v>95759.849999999788</v>
      </c>
      <c r="AM351" s="428">
        <f t="shared" si="267"/>
        <v>24</v>
      </c>
      <c r="AN351" s="14">
        <f t="shared" si="247"/>
        <v>749.98</v>
      </c>
      <c r="AO351" s="14">
        <f t="shared" si="230"/>
        <v>112915.63999999998</v>
      </c>
      <c r="AP351" s="14">
        <f t="shared" si="248"/>
        <v>959.90000000000009</v>
      </c>
      <c r="AS351" s="14">
        <f t="shared" si="262"/>
        <v>749.98</v>
      </c>
      <c r="AT351" s="14">
        <f t="shared" si="268"/>
        <v>219263.58000000101</v>
      </c>
      <c r="AU351" s="287">
        <f t="shared" si="269"/>
        <v>2355.0365166557599</v>
      </c>
      <c r="AV351" s="287">
        <f t="shared" si="270"/>
        <v>477915.99151338369</v>
      </c>
    </row>
    <row r="352" spans="1:48" x14ac:dyDescent="0.25">
      <c r="A352" s="519">
        <f t="shared" si="234"/>
        <v>54519</v>
      </c>
      <c r="B352" s="287">
        <f t="shared" si="263"/>
        <v>17556.559999999994</v>
      </c>
      <c r="C352" s="14">
        <f t="shared" si="257"/>
        <v>786.54</v>
      </c>
      <c r="D352" s="14">
        <f t="shared" si="271"/>
        <v>742.65</v>
      </c>
      <c r="E352" s="14">
        <f t="shared" si="258"/>
        <v>43.89</v>
      </c>
      <c r="F352" s="14">
        <f t="shared" si="235"/>
        <v>134.16999999999999</v>
      </c>
      <c r="G352" s="14">
        <f t="shared" si="232"/>
        <v>188.55</v>
      </c>
      <c r="H352" s="14">
        <f t="shared" si="233"/>
        <v>1109.26</v>
      </c>
      <c r="I352" s="287">
        <f t="shared" si="236"/>
        <v>170210.4899999999</v>
      </c>
      <c r="J352" s="287">
        <f t="shared" si="237"/>
        <v>96106.429999999906</v>
      </c>
      <c r="K352" s="287">
        <f t="shared" si="238"/>
        <v>16813.909999999993</v>
      </c>
      <c r="L352" s="428">
        <f t="shared" si="231"/>
        <v>24</v>
      </c>
      <c r="M352" s="428">
        <f t="shared" si="264"/>
        <v>293</v>
      </c>
      <c r="N352" s="287">
        <f t="shared" si="265"/>
        <v>85006.999999999956</v>
      </c>
      <c r="O352" s="287">
        <f t="shared" si="249"/>
        <v>1536.52</v>
      </c>
      <c r="P352" s="287">
        <f t="shared" si="272"/>
        <v>1040.6500000000001</v>
      </c>
      <c r="Q352" s="287">
        <f t="shared" si="250"/>
        <v>495.87</v>
      </c>
      <c r="R352" s="287">
        <f t="shared" si="241"/>
        <v>134.16999999999999</v>
      </c>
      <c r="S352" s="287">
        <f t="shared" si="242"/>
        <v>188.55</v>
      </c>
      <c r="T352" s="287">
        <f t="shared" si="239"/>
        <v>1859.24</v>
      </c>
      <c r="U352" s="287">
        <f t="shared" si="273"/>
        <v>146983.64999999991</v>
      </c>
      <c r="V352" s="287">
        <f t="shared" si="274"/>
        <v>304753.22999999981</v>
      </c>
      <c r="W352" s="287">
        <f t="shared" si="240"/>
        <v>83966.349999999962</v>
      </c>
      <c r="X352" s="519">
        <f t="shared" si="266"/>
        <v>54519</v>
      </c>
      <c r="Y352" s="287">
        <f t="shared" si="251"/>
        <v>95759.849999999788</v>
      </c>
      <c r="Z352" s="511">
        <f t="shared" si="259"/>
        <v>7.0000000000000007E-2</v>
      </c>
      <c r="AA352" s="287">
        <f t="shared" si="260"/>
        <v>1746.44</v>
      </c>
      <c r="AB352" s="287">
        <f t="shared" si="252"/>
        <v>1187.8400000000001</v>
      </c>
      <c r="AC352" s="287">
        <f t="shared" si="261"/>
        <v>558.6</v>
      </c>
      <c r="AD352" s="287">
        <f t="shared" si="243"/>
        <v>134.16999999999999</v>
      </c>
      <c r="AE352" s="287">
        <f t="shared" si="244"/>
        <v>188.55</v>
      </c>
      <c r="AF352" s="287">
        <f t="shared" si="253"/>
        <v>2069.1600000000003</v>
      </c>
      <c r="AG352" s="287">
        <f t="shared" si="254"/>
        <v>181376.79000000007</v>
      </c>
      <c r="AH352" s="287">
        <f t="shared" si="255"/>
        <v>300258.56999999972</v>
      </c>
      <c r="AI352" s="530">
        <f t="shared" si="245"/>
        <v>-29898.479999999887</v>
      </c>
      <c r="AJ352" s="530">
        <f t="shared" si="275"/>
        <v>-10605.659999999829</v>
      </c>
      <c r="AK352" s="530">
        <f t="shared" si="246"/>
        <v>-40504.139999999716</v>
      </c>
      <c r="AL352" s="287">
        <f t="shared" si="256"/>
        <v>94572.009999999791</v>
      </c>
      <c r="AM352" s="428">
        <f t="shared" si="267"/>
        <v>24</v>
      </c>
      <c r="AN352" s="14">
        <f t="shared" si="247"/>
        <v>749.98</v>
      </c>
      <c r="AO352" s="14">
        <f t="shared" si="230"/>
        <v>112617.63999999998</v>
      </c>
      <c r="AP352" s="14">
        <f t="shared" si="248"/>
        <v>959.90000000000009</v>
      </c>
      <c r="AS352" s="14">
        <f t="shared" si="262"/>
        <v>749.98</v>
      </c>
      <c r="AT352" s="14">
        <f t="shared" si="268"/>
        <v>220013.56000000102</v>
      </c>
      <c r="AU352" s="287">
        <f t="shared" si="269"/>
        <v>2362.8866383779455</v>
      </c>
      <c r="AV352" s="287">
        <f t="shared" si="270"/>
        <v>480278.87815176166</v>
      </c>
    </row>
    <row r="353" spans="1:48" x14ac:dyDescent="0.25">
      <c r="A353" s="519">
        <f t="shared" si="234"/>
        <v>54549</v>
      </c>
      <c r="B353" s="287">
        <f t="shared" si="263"/>
        <v>16813.909999999993</v>
      </c>
      <c r="C353" s="14">
        <f t="shared" si="257"/>
        <v>786.54</v>
      </c>
      <c r="D353" s="14">
        <f t="shared" si="271"/>
        <v>744.51</v>
      </c>
      <c r="E353" s="14">
        <f t="shared" si="258"/>
        <v>42.03</v>
      </c>
      <c r="F353" s="14">
        <f t="shared" si="235"/>
        <v>134.16999999999999</v>
      </c>
      <c r="G353" s="14">
        <f t="shared" si="232"/>
        <v>188.55</v>
      </c>
      <c r="H353" s="14">
        <f t="shared" si="233"/>
        <v>1109.26</v>
      </c>
      <c r="I353" s="287">
        <f t="shared" si="236"/>
        <v>170954.99999999991</v>
      </c>
      <c r="J353" s="287">
        <f t="shared" si="237"/>
        <v>96148.459999999905</v>
      </c>
      <c r="K353" s="287">
        <f t="shared" si="238"/>
        <v>16069.399999999992</v>
      </c>
      <c r="L353" s="428">
        <f t="shared" si="231"/>
        <v>24</v>
      </c>
      <c r="M353" s="428">
        <f t="shared" si="264"/>
        <v>294</v>
      </c>
      <c r="N353" s="287">
        <f t="shared" si="265"/>
        <v>83966.349999999962</v>
      </c>
      <c r="O353" s="287">
        <f t="shared" si="249"/>
        <v>1536.52</v>
      </c>
      <c r="P353" s="287">
        <f t="shared" si="272"/>
        <v>1046.72</v>
      </c>
      <c r="Q353" s="287">
        <f t="shared" si="250"/>
        <v>489.8</v>
      </c>
      <c r="R353" s="287">
        <f t="shared" si="241"/>
        <v>134.16999999999999</v>
      </c>
      <c r="S353" s="287">
        <f t="shared" si="242"/>
        <v>188.55</v>
      </c>
      <c r="T353" s="287">
        <f t="shared" si="239"/>
        <v>1859.24</v>
      </c>
      <c r="U353" s="287">
        <f t="shared" si="273"/>
        <v>148030.36999999991</v>
      </c>
      <c r="V353" s="287">
        <f t="shared" si="274"/>
        <v>305243.0299999998</v>
      </c>
      <c r="W353" s="287">
        <f t="shared" si="240"/>
        <v>82919.629999999961</v>
      </c>
      <c r="X353" s="519">
        <f t="shared" si="266"/>
        <v>54549</v>
      </c>
      <c r="Y353" s="287">
        <f t="shared" si="251"/>
        <v>94572.009999999791</v>
      </c>
      <c r="Z353" s="511">
        <f t="shared" si="259"/>
        <v>7.0000000000000007E-2</v>
      </c>
      <c r="AA353" s="287">
        <f t="shared" si="260"/>
        <v>1746.44</v>
      </c>
      <c r="AB353" s="287">
        <f t="shared" si="252"/>
        <v>1194.77</v>
      </c>
      <c r="AC353" s="287">
        <f t="shared" si="261"/>
        <v>551.66999999999996</v>
      </c>
      <c r="AD353" s="287">
        <f t="shared" si="243"/>
        <v>134.16999999999999</v>
      </c>
      <c r="AE353" s="287">
        <f t="shared" si="244"/>
        <v>188.55</v>
      </c>
      <c r="AF353" s="287">
        <f t="shared" si="253"/>
        <v>2069.1600000000003</v>
      </c>
      <c r="AG353" s="287">
        <f t="shared" si="254"/>
        <v>182571.56000000006</v>
      </c>
      <c r="AH353" s="287">
        <f t="shared" si="255"/>
        <v>300810.2399999997</v>
      </c>
      <c r="AI353" s="530">
        <f t="shared" si="245"/>
        <v>-30108.399999999885</v>
      </c>
      <c r="AJ353" s="530">
        <f t="shared" si="275"/>
        <v>-10457.609999999826</v>
      </c>
      <c r="AK353" s="530">
        <f t="shared" si="246"/>
        <v>-40566.009999999711</v>
      </c>
      <c r="AL353" s="287">
        <f t="shared" si="256"/>
        <v>93377.239999999787</v>
      </c>
      <c r="AM353" s="428">
        <f t="shared" si="267"/>
        <v>24</v>
      </c>
      <c r="AN353" s="14">
        <f t="shared" si="247"/>
        <v>749.98</v>
      </c>
      <c r="AO353" s="14">
        <f t="shared" si="230"/>
        <v>112315.43</v>
      </c>
      <c r="AP353" s="14">
        <f t="shared" si="248"/>
        <v>959.90000000000009</v>
      </c>
      <c r="AS353" s="14">
        <f t="shared" si="262"/>
        <v>749.98</v>
      </c>
      <c r="AT353" s="14">
        <f t="shared" si="268"/>
        <v>220763.54000000103</v>
      </c>
      <c r="AU353" s="287">
        <f t="shared" si="269"/>
        <v>2370.7629271725386</v>
      </c>
      <c r="AV353" s="287">
        <f t="shared" si="270"/>
        <v>482649.64107893419</v>
      </c>
    </row>
    <row r="354" spans="1:48" x14ac:dyDescent="0.25">
      <c r="A354" s="519">
        <f t="shared" si="234"/>
        <v>54579</v>
      </c>
      <c r="B354" s="287">
        <f t="shared" si="263"/>
        <v>16069.399999999992</v>
      </c>
      <c r="C354" s="14">
        <f t="shared" si="257"/>
        <v>786.54</v>
      </c>
      <c r="D354" s="14">
        <f t="shared" si="271"/>
        <v>746.37</v>
      </c>
      <c r="E354" s="14">
        <f t="shared" si="258"/>
        <v>40.17</v>
      </c>
      <c r="F354" s="14">
        <f t="shared" si="235"/>
        <v>134.16999999999999</v>
      </c>
      <c r="G354" s="14">
        <f t="shared" si="232"/>
        <v>188.55</v>
      </c>
      <c r="H354" s="14">
        <f t="shared" si="233"/>
        <v>1109.26</v>
      </c>
      <c r="I354" s="287">
        <f t="shared" si="236"/>
        <v>171701.36999999991</v>
      </c>
      <c r="J354" s="287">
        <f t="shared" si="237"/>
        <v>96188.629999999903</v>
      </c>
      <c r="K354" s="287">
        <f t="shared" si="238"/>
        <v>15323.029999999992</v>
      </c>
      <c r="L354" s="428">
        <f t="shared" si="231"/>
        <v>24</v>
      </c>
      <c r="M354" s="428">
        <f t="shared" si="264"/>
        <v>295</v>
      </c>
      <c r="N354" s="287">
        <f t="shared" si="265"/>
        <v>82919.629999999961</v>
      </c>
      <c r="O354" s="287">
        <f t="shared" si="249"/>
        <v>1536.52</v>
      </c>
      <c r="P354" s="287">
        <f t="shared" si="272"/>
        <v>1052.82</v>
      </c>
      <c r="Q354" s="287">
        <f t="shared" si="250"/>
        <v>483.7</v>
      </c>
      <c r="R354" s="287">
        <f t="shared" si="241"/>
        <v>134.16999999999999</v>
      </c>
      <c r="S354" s="287">
        <f t="shared" si="242"/>
        <v>188.55</v>
      </c>
      <c r="T354" s="287">
        <f t="shared" si="239"/>
        <v>1859.24</v>
      </c>
      <c r="U354" s="287">
        <f t="shared" si="273"/>
        <v>149083.18999999992</v>
      </c>
      <c r="V354" s="287">
        <f t="shared" si="274"/>
        <v>305726.72999999981</v>
      </c>
      <c r="W354" s="287">
        <f t="shared" si="240"/>
        <v>81866.809999999954</v>
      </c>
      <c r="X354" s="519">
        <f t="shared" si="266"/>
        <v>54579</v>
      </c>
      <c r="Y354" s="287">
        <f t="shared" si="251"/>
        <v>93377.239999999787</v>
      </c>
      <c r="Z354" s="511">
        <f t="shared" si="259"/>
        <v>7.0000000000000007E-2</v>
      </c>
      <c r="AA354" s="287">
        <f t="shared" si="260"/>
        <v>1746.44</v>
      </c>
      <c r="AB354" s="287">
        <f t="shared" si="252"/>
        <v>1201.74</v>
      </c>
      <c r="AC354" s="287">
        <f t="shared" si="261"/>
        <v>544.70000000000005</v>
      </c>
      <c r="AD354" s="287">
        <f t="shared" si="243"/>
        <v>134.16999999999999</v>
      </c>
      <c r="AE354" s="287">
        <f t="shared" si="244"/>
        <v>188.55</v>
      </c>
      <c r="AF354" s="287">
        <f t="shared" si="253"/>
        <v>2069.1600000000003</v>
      </c>
      <c r="AG354" s="287">
        <f t="shared" si="254"/>
        <v>183773.30000000005</v>
      </c>
      <c r="AH354" s="287">
        <f t="shared" si="255"/>
        <v>301354.93999999971</v>
      </c>
      <c r="AI354" s="530">
        <f t="shared" si="245"/>
        <v>-30318.319999999883</v>
      </c>
      <c r="AJ354" s="530">
        <f t="shared" si="275"/>
        <v>-10308.689999999828</v>
      </c>
      <c r="AK354" s="530">
        <f t="shared" si="246"/>
        <v>-40627.009999999711</v>
      </c>
      <c r="AL354" s="287">
        <f t="shared" si="256"/>
        <v>92175.499999999782</v>
      </c>
      <c r="AM354" s="428">
        <f t="shared" si="267"/>
        <v>24</v>
      </c>
      <c r="AN354" s="14">
        <f t="shared" si="247"/>
        <v>749.98</v>
      </c>
      <c r="AO354" s="14">
        <f t="shared" si="230"/>
        <v>112008.97999999998</v>
      </c>
      <c r="AP354" s="14">
        <f t="shared" si="248"/>
        <v>959.90000000000009</v>
      </c>
      <c r="AS354" s="14">
        <f t="shared" si="262"/>
        <v>749.98</v>
      </c>
      <c r="AT354" s="14">
        <f t="shared" si="268"/>
        <v>221513.52000000104</v>
      </c>
      <c r="AU354" s="287">
        <f t="shared" si="269"/>
        <v>2378.665470263114</v>
      </c>
      <c r="AV354" s="287">
        <f t="shared" si="270"/>
        <v>485028.3065491973</v>
      </c>
    </row>
    <row r="355" spans="1:48" x14ac:dyDescent="0.25">
      <c r="A355" s="519">
        <f t="shared" si="234"/>
        <v>54609</v>
      </c>
      <c r="B355" s="287">
        <f t="shared" si="263"/>
        <v>15323.029999999992</v>
      </c>
      <c r="C355" s="14">
        <f t="shared" si="257"/>
        <v>786.54</v>
      </c>
      <c r="D355" s="14">
        <f t="shared" si="271"/>
        <v>748.23</v>
      </c>
      <c r="E355" s="14">
        <f t="shared" si="258"/>
        <v>38.31</v>
      </c>
      <c r="F355" s="14">
        <f t="shared" si="235"/>
        <v>134.16999999999999</v>
      </c>
      <c r="G355" s="14">
        <f t="shared" si="232"/>
        <v>188.55</v>
      </c>
      <c r="H355" s="14">
        <f t="shared" si="233"/>
        <v>1109.26</v>
      </c>
      <c r="I355" s="287">
        <f t="shared" si="236"/>
        <v>172449.59999999992</v>
      </c>
      <c r="J355" s="287">
        <f t="shared" si="237"/>
        <v>96226.9399999999</v>
      </c>
      <c r="K355" s="287">
        <f t="shared" si="238"/>
        <v>14574.799999999992</v>
      </c>
      <c r="L355" s="428">
        <f t="shared" si="231"/>
        <v>24</v>
      </c>
      <c r="M355" s="428">
        <f t="shared" si="264"/>
        <v>296</v>
      </c>
      <c r="N355" s="287">
        <f t="shared" si="265"/>
        <v>81866.809999999954</v>
      </c>
      <c r="O355" s="287">
        <f t="shared" si="249"/>
        <v>1536.52</v>
      </c>
      <c r="P355" s="287">
        <f t="shared" si="272"/>
        <v>1058.96</v>
      </c>
      <c r="Q355" s="287">
        <f t="shared" si="250"/>
        <v>477.56</v>
      </c>
      <c r="R355" s="287">
        <f t="shared" si="241"/>
        <v>134.16999999999999</v>
      </c>
      <c r="S355" s="287">
        <f t="shared" si="242"/>
        <v>188.55</v>
      </c>
      <c r="T355" s="287">
        <f t="shared" si="239"/>
        <v>1859.24</v>
      </c>
      <c r="U355" s="287">
        <f t="shared" si="273"/>
        <v>150142.14999999991</v>
      </c>
      <c r="V355" s="287">
        <f t="shared" si="274"/>
        <v>306204.2899999998</v>
      </c>
      <c r="W355" s="287">
        <f t="shared" si="240"/>
        <v>80807.849999999948</v>
      </c>
      <c r="X355" s="519">
        <f t="shared" si="266"/>
        <v>54609</v>
      </c>
      <c r="Y355" s="287">
        <f t="shared" si="251"/>
        <v>92175.499999999782</v>
      </c>
      <c r="Z355" s="511">
        <f t="shared" si="259"/>
        <v>7.0000000000000007E-2</v>
      </c>
      <c r="AA355" s="287">
        <f t="shared" si="260"/>
        <v>1746.44</v>
      </c>
      <c r="AB355" s="287">
        <f t="shared" si="252"/>
        <v>1208.75</v>
      </c>
      <c r="AC355" s="287">
        <f t="shared" si="261"/>
        <v>537.69000000000005</v>
      </c>
      <c r="AD355" s="287">
        <f t="shared" si="243"/>
        <v>134.16999999999999</v>
      </c>
      <c r="AE355" s="287">
        <f t="shared" si="244"/>
        <v>188.55</v>
      </c>
      <c r="AF355" s="287">
        <f t="shared" si="253"/>
        <v>2069.1600000000003</v>
      </c>
      <c r="AG355" s="287">
        <f t="shared" si="254"/>
        <v>184982.05000000005</v>
      </c>
      <c r="AH355" s="287">
        <f t="shared" si="255"/>
        <v>301892.62999999971</v>
      </c>
      <c r="AI355" s="530">
        <f t="shared" si="245"/>
        <v>-30528.239999999882</v>
      </c>
      <c r="AJ355" s="530">
        <f t="shared" si="275"/>
        <v>-10158.899999999834</v>
      </c>
      <c r="AK355" s="530">
        <f t="shared" si="246"/>
        <v>-40687.139999999716</v>
      </c>
      <c r="AL355" s="287">
        <f t="shared" si="256"/>
        <v>90966.749999999782</v>
      </c>
      <c r="AM355" s="428">
        <f t="shared" si="267"/>
        <v>24</v>
      </c>
      <c r="AN355" s="14">
        <f t="shared" si="247"/>
        <v>749.98</v>
      </c>
      <c r="AO355" s="14">
        <f t="shared" si="230"/>
        <v>111698.25</v>
      </c>
      <c r="AP355" s="14">
        <f t="shared" si="248"/>
        <v>959.90000000000009</v>
      </c>
      <c r="AS355" s="14">
        <f t="shared" si="262"/>
        <v>749.98</v>
      </c>
      <c r="AT355" s="14">
        <f t="shared" si="268"/>
        <v>222263.50000000105</v>
      </c>
      <c r="AU355" s="287">
        <f t="shared" si="269"/>
        <v>2386.5943551639912</v>
      </c>
      <c r="AV355" s="287">
        <f t="shared" si="270"/>
        <v>487414.90090436128</v>
      </c>
    </row>
    <row r="356" spans="1:48" x14ac:dyDescent="0.25">
      <c r="A356" s="519">
        <f t="shared" si="234"/>
        <v>54639</v>
      </c>
      <c r="B356" s="287">
        <f t="shared" si="263"/>
        <v>14574.799999999992</v>
      </c>
      <c r="C356" s="14">
        <f t="shared" si="257"/>
        <v>786.54</v>
      </c>
      <c r="D356" s="14">
        <f t="shared" si="271"/>
        <v>750.09999999999991</v>
      </c>
      <c r="E356" s="14">
        <f t="shared" si="258"/>
        <v>36.44</v>
      </c>
      <c r="F356" s="14">
        <f t="shared" si="235"/>
        <v>134.16999999999999</v>
      </c>
      <c r="G356" s="14">
        <f t="shared" si="232"/>
        <v>188.55</v>
      </c>
      <c r="H356" s="14">
        <f t="shared" si="233"/>
        <v>1109.26</v>
      </c>
      <c r="I356" s="287">
        <f t="shared" si="236"/>
        <v>173199.69999999992</v>
      </c>
      <c r="J356" s="287">
        <f t="shared" si="237"/>
        <v>96263.379999999903</v>
      </c>
      <c r="K356" s="287">
        <f t="shared" si="238"/>
        <v>13824.699999999992</v>
      </c>
      <c r="L356" s="428">
        <f t="shared" si="231"/>
        <v>24</v>
      </c>
      <c r="M356" s="428">
        <f t="shared" si="264"/>
        <v>297</v>
      </c>
      <c r="N356" s="287">
        <f t="shared" si="265"/>
        <v>80807.849999999948</v>
      </c>
      <c r="O356" s="287">
        <f t="shared" si="249"/>
        <v>1536.52</v>
      </c>
      <c r="P356" s="287">
        <f t="shared" si="272"/>
        <v>1065.1399999999999</v>
      </c>
      <c r="Q356" s="287">
        <f t="shared" si="250"/>
        <v>471.38</v>
      </c>
      <c r="R356" s="287">
        <f t="shared" si="241"/>
        <v>134.16999999999999</v>
      </c>
      <c r="S356" s="287">
        <f t="shared" si="242"/>
        <v>188.55</v>
      </c>
      <c r="T356" s="287">
        <f t="shared" si="239"/>
        <v>1859.24</v>
      </c>
      <c r="U356" s="287">
        <f t="shared" si="273"/>
        <v>151207.28999999992</v>
      </c>
      <c r="V356" s="287">
        <f t="shared" si="274"/>
        <v>306675.66999999981</v>
      </c>
      <c r="W356" s="287">
        <f t="shared" si="240"/>
        <v>79742.709999999948</v>
      </c>
      <c r="X356" s="519">
        <f t="shared" si="266"/>
        <v>54639</v>
      </c>
      <c r="Y356" s="287">
        <f t="shared" si="251"/>
        <v>90966.749999999782</v>
      </c>
      <c r="Z356" s="511">
        <f t="shared" si="259"/>
        <v>7.0000000000000007E-2</v>
      </c>
      <c r="AA356" s="287">
        <f t="shared" si="260"/>
        <v>1746.44</v>
      </c>
      <c r="AB356" s="287">
        <f t="shared" si="252"/>
        <v>1215.8000000000002</v>
      </c>
      <c r="AC356" s="287">
        <f t="shared" si="261"/>
        <v>530.64</v>
      </c>
      <c r="AD356" s="287">
        <f t="shared" si="243"/>
        <v>134.16999999999999</v>
      </c>
      <c r="AE356" s="287">
        <f t="shared" si="244"/>
        <v>188.55</v>
      </c>
      <c r="AF356" s="287">
        <f t="shared" si="253"/>
        <v>2069.1600000000003</v>
      </c>
      <c r="AG356" s="287">
        <f t="shared" si="254"/>
        <v>186197.85000000003</v>
      </c>
      <c r="AH356" s="287">
        <f t="shared" si="255"/>
        <v>302423.26999999973</v>
      </c>
      <c r="AI356" s="530">
        <f t="shared" si="245"/>
        <v>-30738.15999999988</v>
      </c>
      <c r="AJ356" s="530">
        <f t="shared" si="275"/>
        <v>-10008.239999999831</v>
      </c>
      <c r="AK356" s="530">
        <f t="shared" si="246"/>
        <v>-40746.39999999971</v>
      </c>
      <c r="AL356" s="287">
        <f t="shared" si="256"/>
        <v>89750.949999999779</v>
      </c>
      <c r="AM356" s="428">
        <f t="shared" si="267"/>
        <v>24</v>
      </c>
      <c r="AN356" s="14">
        <f t="shared" si="247"/>
        <v>749.98</v>
      </c>
      <c r="AO356" s="14">
        <f t="shared" si="230"/>
        <v>111383.20999999996</v>
      </c>
      <c r="AP356" s="14">
        <f t="shared" si="248"/>
        <v>959.90000000000009</v>
      </c>
      <c r="AS356" s="14">
        <f t="shared" si="262"/>
        <v>749.98</v>
      </c>
      <c r="AT356" s="14">
        <f t="shared" si="268"/>
        <v>223013.48000000106</v>
      </c>
      <c r="AU356" s="287">
        <f t="shared" si="269"/>
        <v>2394.5496696812043</v>
      </c>
      <c r="AV356" s="287">
        <f t="shared" si="270"/>
        <v>489809.45057404251</v>
      </c>
    </row>
    <row r="357" spans="1:48" x14ac:dyDescent="0.25">
      <c r="A357" s="519">
        <f t="shared" si="234"/>
        <v>54669</v>
      </c>
      <c r="B357" s="287">
        <f t="shared" si="263"/>
        <v>13824.699999999992</v>
      </c>
      <c r="C357" s="14">
        <f t="shared" si="257"/>
        <v>786.54</v>
      </c>
      <c r="D357" s="14">
        <f t="shared" si="271"/>
        <v>751.98</v>
      </c>
      <c r="E357" s="14">
        <f t="shared" si="258"/>
        <v>34.56</v>
      </c>
      <c r="F357" s="14">
        <f t="shared" si="235"/>
        <v>134.16999999999999</v>
      </c>
      <c r="G357" s="14">
        <f t="shared" si="232"/>
        <v>188.55</v>
      </c>
      <c r="H357" s="14">
        <f t="shared" si="233"/>
        <v>1109.26</v>
      </c>
      <c r="I357" s="287">
        <f t="shared" si="236"/>
        <v>173951.67999999993</v>
      </c>
      <c r="J357" s="287">
        <f t="shared" si="237"/>
        <v>96297.9399999999</v>
      </c>
      <c r="K357" s="287">
        <f t="shared" si="238"/>
        <v>13072.719999999992</v>
      </c>
      <c r="L357" s="428">
        <f t="shared" si="231"/>
        <v>24</v>
      </c>
      <c r="M357" s="428">
        <f t="shared" si="264"/>
        <v>298</v>
      </c>
      <c r="N357" s="287">
        <f t="shared" si="265"/>
        <v>79742.709999999948</v>
      </c>
      <c r="O357" s="287">
        <f t="shared" si="249"/>
        <v>1536.52</v>
      </c>
      <c r="P357" s="287">
        <f t="shared" si="272"/>
        <v>1071.3499999999999</v>
      </c>
      <c r="Q357" s="287">
        <f t="shared" si="250"/>
        <v>465.17</v>
      </c>
      <c r="R357" s="287">
        <f t="shared" si="241"/>
        <v>134.16999999999999</v>
      </c>
      <c r="S357" s="287">
        <f t="shared" si="242"/>
        <v>188.55</v>
      </c>
      <c r="T357" s="287">
        <f t="shared" si="239"/>
        <v>1859.24</v>
      </c>
      <c r="U357" s="287">
        <f t="shared" si="273"/>
        <v>152278.63999999993</v>
      </c>
      <c r="V357" s="287">
        <f t="shared" si="274"/>
        <v>307140.83999999979</v>
      </c>
      <c r="W357" s="287">
        <f t="shared" si="240"/>
        <v>78671.359999999942</v>
      </c>
      <c r="X357" s="519">
        <f t="shared" si="266"/>
        <v>54669</v>
      </c>
      <c r="Y357" s="287">
        <f t="shared" si="251"/>
        <v>89750.949999999779</v>
      </c>
      <c r="Z357" s="511">
        <f t="shared" si="259"/>
        <v>7.0000000000000007E-2</v>
      </c>
      <c r="AA357" s="287">
        <f t="shared" si="260"/>
        <v>1746.44</v>
      </c>
      <c r="AB357" s="287">
        <f t="shared" si="252"/>
        <v>1222.8900000000001</v>
      </c>
      <c r="AC357" s="287">
        <f t="shared" si="261"/>
        <v>523.54999999999995</v>
      </c>
      <c r="AD357" s="287">
        <f t="shared" si="243"/>
        <v>134.16999999999999</v>
      </c>
      <c r="AE357" s="287">
        <f t="shared" si="244"/>
        <v>188.55</v>
      </c>
      <c r="AF357" s="287">
        <f t="shared" si="253"/>
        <v>2069.1600000000003</v>
      </c>
      <c r="AG357" s="287">
        <f t="shared" si="254"/>
        <v>187420.74000000005</v>
      </c>
      <c r="AH357" s="287">
        <f t="shared" si="255"/>
        <v>302946.81999999972</v>
      </c>
      <c r="AI357" s="530">
        <f t="shared" si="245"/>
        <v>-30948.079999999878</v>
      </c>
      <c r="AJ357" s="530">
        <f t="shared" si="275"/>
        <v>-9856.699999999837</v>
      </c>
      <c r="AK357" s="530">
        <f t="shared" si="246"/>
        <v>-40804.779999999715</v>
      </c>
      <c r="AL357" s="287">
        <f t="shared" si="256"/>
        <v>88528.059999999779</v>
      </c>
      <c r="AM357" s="428">
        <f t="shared" si="267"/>
        <v>24</v>
      </c>
      <c r="AN357" s="14">
        <f t="shared" si="247"/>
        <v>749.98</v>
      </c>
      <c r="AO357" s="14">
        <f t="shared" si="230"/>
        <v>111063.84</v>
      </c>
      <c r="AP357" s="14">
        <f t="shared" si="248"/>
        <v>959.90000000000009</v>
      </c>
      <c r="AS357" s="14">
        <f t="shared" si="262"/>
        <v>749.98</v>
      </c>
      <c r="AT357" s="14">
        <f t="shared" si="268"/>
        <v>223763.46000000107</v>
      </c>
      <c r="AU357" s="287">
        <f t="shared" si="269"/>
        <v>2402.531501913475</v>
      </c>
      <c r="AV357" s="287">
        <f t="shared" si="270"/>
        <v>492211.98207595601</v>
      </c>
    </row>
    <row r="358" spans="1:48" x14ac:dyDescent="0.25">
      <c r="A358" s="519">
        <f t="shared" si="234"/>
        <v>54699</v>
      </c>
      <c r="B358" s="287">
        <f t="shared" si="263"/>
        <v>13072.719999999992</v>
      </c>
      <c r="C358" s="14">
        <f t="shared" si="257"/>
        <v>786.54</v>
      </c>
      <c r="D358" s="14">
        <f t="shared" si="271"/>
        <v>753.86</v>
      </c>
      <c r="E358" s="14">
        <f t="shared" si="258"/>
        <v>32.68</v>
      </c>
      <c r="F358" s="14">
        <f t="shared" si="235"/>
        <v>134.16999999999999</v>
      </c>
      <c r="G358" s="14">
        <f t="shared" si="232"/>
        <v>188.55</v>
      </c>
      <c r="H358" s="14">
        <f t="shared" si="233"/>
        <v>1109.26</v>
      </c>
      <c r="I358" s="287">
        <f t="shared" si="236"/>
        <v>174705.53999999992</v>
      </c>
      <c r="J358" s="287">
        <f t="shared" si="237"/>
        <v>96330.619999999893</v>
      </c>
      <c r="K358" s="287">
        <f t="shared" si="238"/>
        <v>12318.859999999991</v>
      </c>
      <c r="L358" s="428">
        <f t="shared" si="231"/>
        <v>24</v>
      </c>
      <c r="M358" s="428">
        <f t="shared" si="264"/>
        <v>299</v>
      </c>
      <c r="N358" s="287">
        <f t="shared" si="265"/>
        <v>78671.359999999942</v>
      </c>
      <c r="O358" s="287">
        <f t="shared" si="249"/>
        <v>1536.52</v>
      </c>
      <c r="P358" s="287">
        <f t="shared" si="272"/>
        <v>1077.5999999999999</v>
      </c>
      <c r="Q358" s="287">
        <f t="shared" si="250"/>
        <v>458.92</v>
      </c>
      <c r="R358" s="287">
        <f t="shared" si="241"/>
        <v>134.16999999999999</v>
      </c>
      <c r="S358" s="287">
        <f t="shared" si="242"/>
        <v>188.55</v>
      </c>
      <c r="T358" s="287">
        <f t="shared" si="239"/>
        <v>1859.24</v>
      </c>
      <c r="U358" s="287">
        <f t="shared" si="273"/>
        <v>153356.23999999993</v>
      </c>
      <c r="V358" s="287">
        <f t="shared" si="274"/>
        <v>307599.75999999978</v>
      </c>
      <c r="W358" s="287">
        <f t="shared" si="240"/>
        <v>77593.759999999937</v>
      </c>
      <c r="X358" s="519">
        <f t="shared" si="266"/>
        <v>54699</v>
      </c>
      <c r="Y358" s="287">
        <f t="shared" si="251"/>
        <v>88528.059999999779</v>
      </c>
      <c r="Z358" s="511">
        <f t="shared" si="259"/>
        <v>7.0000000000000007E-2</v>
      </c>
      <c r="AA358" s="287">
        <f t="shared" si="260"/>
        <v>1746.44</v>
      </c>
      <c r="AB358" s="287">
        <f t="shared" si="252"/>
        <v>1230.0300000000002</v>
      </c>
      <c r="AC358" s="287">
        <f t="shared" si="261"/>
        <v>516.41</v>
      </c>
      <c r="AD358" s="287">
        <f t="shared" si="243"/>
        <v>134.16999999999999</v>
      </c>
      <c r="AE358" s="287">
        <f t="shared" si="244"/>
        <v>188.55</v>
      </c>
      <c r="AF358" s="287">
        <f t="shared" si="253"/>
        <v>2069.1600000000003</v>
      </c>
      <c r="AG358" s="287">
        <f t="shared" si="254"/>
        <v>188650.77000000005</v>
      </c>
      <c r="AH358" s="287">
        <f t="shared" si="255"/>
        <v>303463.22999999969</v>
      </c>
      <c r="AI358" s="530">
        <f t="shared" si="245"/>
        <v>-31157.999999999876</v>
      </c>
      <c r="AJ358" s="530">
        <f t="shared" si="275"/>
        <v>-9704.269999999844</v>
      </c>
      <c r="AK358" s="530">
        <f t="shared" si="246"/>
        <v>-40862.26999999972</v>
      </c>
      <c r="AL358" s="287">
        <f t="shared" si="256"/>
        <v>87298.029999999781</v>
      </c>
      <c r="AM358" s="428">
        <f t="shared" si="267"/>
        <v>24</v>
      </c>
      <c r="AN358" s="14">
        <f t="shared" si="247"/>
        <v>749.98</v>
      </c>
      <c r="AO358" s="14">
        <f t="shared" si="230"/>
        <v>110740.09999999998</v>
      </c>
      <c r="AP358" s="14">
        <f t="shared" si="248"/>
        <v>959.90000000000009</v>
      </c>
      <c r="AS358" s="14">
        <f t="shared" si="262"/>
        <v>749.98</v>
      </c>
      <c r="AT358" s="14">
        <f t="shared" si="268"/>
        <v>224513.44000000108</v>
      </c>
      <c r="AU358" s="287">
        <f t="shared" si="269"/>
        <v>2410.5399402531866</v>
      </c>
      <c r="AV358" s="287">
        <f t="shared" si="270"/>
        <v>494622.5220162092</v>
      </c>
    </row>
    <row r="359" spans="1:48" x14ac:dyDescent="0.25">
      <c r="A359" s="519">
        <f t="shared" si="234"/>
        <v>54729</v>
      </c>
      <c r="B359" s="287">
        <f t="shared" si="263"/>
        <v>12318.859999999991</v>
      </c>
      <c r="C359" s="14">
        <f t="shared" si="257"/>
        <v>786.54</v>
      </c>
      <c r="D359" s="14">
        <f t="shared" si="271"/>
        <v>755.74</v>
      </c>
      <c r="E359" s="14">
        <f t="shared" si="258"/>
        <v>30.8</v>
      </c>
      <c r="F359" s="14">
        <f t="shared" si="235"/>
        <v>134.16999999999999</v>
      </c>
      <c r="G359" s="14">
        <f t="shared" si="232"/>
        <v>188.55</v>
      </c>
      <c r="H359" s="14">
        <f t="shared" si="233"/>
        <v>1109.26</v>
      </c>
      <c r="I359" s="287">
        <f t="shared" si="236"/>
        <v>175461.27999999991</v>
      </c>
      <c r="J359" s="287">
        <f t="shared" si="237"/>
        <v>96361.419999999896</v>
      </c>
      <c r="K359" s="287">
        <f t="shared" si="238"/>
        <v>11563.119999999992</v>
      </c>
      <c r="L359" s="428">
        <f t="shared" si="231"/>
        <v>25</v>
      </c>
      <c r="M359" s="428">
        <f t="shared" si="264"/>
        <v>300</v>
      </c>
      <c r="N359" s="287">
        <f t="shared" si="265"/>
        <v>77593.759999999937</v>
      </c>
      <c r="O359" s="287">
        <f t="shared" si="249"/>
        <v>1536.52</v>
      </c>
      <c r="P359" s="287">
        <f t="shared" si="272"/>
        <v>1083.8899999999999</v>
      </c>
      <c r="Q359" s="287">
        <f t="shared" si="250"/>
        <v>452.63</v>
      </c>
      <c r="R359" s="287">
        <f t="shared" si="241"/>
        <v>134.16999999999999</v>
      </c>
      <c r="S359" s="287">
        <f t="shared" si="242"/>
        <v>188.55</v>
      </c>
      <c r="T359" s="287">
        <f t="shared" si="239"/>
        <v>1859.24</v>
      </c>
      <c r="U359" s="287">
        <f t="shared" si="273"/>
        <v>154440.12999999995</v>
      </c>
      <c r="V359" s="287">
        <f t="shared" si="274"/>
        <v>308052.38999999978</v>
      </c>
      <c r="W359" s="287">
        <f t="shared" si="240"/>
        <v>76509.869999999937</v>
      </c>
      <c r="X359" s="519">
        <f t="shared" si="266"/>
        <v>54729</v>
      </c>
      <c r="Y359" s="287">
        <f t="shared" si="251"/>
        <v>87298.029999999781</v>
      </c>
      <c r="Z359" s="511">
        <f t="shared" si="259"/>
        <v>7.0000000000000007E-2</v>
      </c>
      <c r="AA359" s="287">
        <f t="shared" si="260"/>
        <v>1746.44</v>
      </c>
      <c r="AB359" s="287">
        <f t="shared" si="252"/>
        <v>1237.2</v>
      </c>
      <c r="AC359" s="287">
        <f t="shared" si="261"/>
        <v>509.24</v>
      </c>
      <c r="AD359" s="287">
        <f t="shared" si="243"/>
        <v>134.16999999999999</v>
      </c>
      <c r="AE359" s="287">
        <f t="shared" si="244"/>
        <v>188.55</v>
      </c>
      <c r="AF359" s="287">
        <f t="shared" si="253"/>
        <v>2069.1600000000003</v>
      </c>
      <c r="AG359" s="287">
        <f t="shared" si="254"/>
        <v>189887.97000000006</v>
      </c>
      <c r="AH359" s="287">
        <f t="shared" si="255"/>
        <v>303972.46999999968</v>
      </c>
      <c r="AI359" s="530">
        <f t="shared" si="245"/>
        <v>-31367.919999999875</v>
      </c>
      <c r="AJ359" s="530">
        <f t="shared" si="275"/>
        <v>-9550.9599999998463</v>
      </c>
      <c r="AK359" s="530">
        <f t="shared" si="246"/>
        <v>-40918.879999999721</v>
      </c>
      <c r="AL359" s="287">
        <f t="shared" si="256"/>
        <v>86060.829999999783</v>
      </c>
      <c r="AM359" s="428">
        <f t="shared" si="267"/>
        <v>25</v>
      </c>
      <c r="AN359" s="14">
        <f t="shared" si="247"/>
        <v>749.98</v>
      </c>
      <c r="AO359" s="14">
        <f t="shared" si="230"/>
        <v>110411.94999999995</v>
      </c>
      <c r="AP359" s="14">
        <f t="shared" si="248"/>
        <v>959.90000000000009</v>
      </c>
      <c r="AS359" s="14">
        <f t="shared" si="262"/>
        <v>749.98</v>
      </c>
      <c r="AT359" s="14">
        <f t="shared" si="268"/>
        <v>225263.42000000109</v>
      </c>
      <c r="AU359" s="287">
        <f t="shared" si="269"/>
        <v>2418.5750733873642</v>
      </c>
      <c r="AV359" s="287">
        <f t="shared" si="270"/>
        <v>497041.09708959656</v>
      </c>
    </row>
    <row r="360" spans="1:48" x14ac:dyDescent="0.25">
      <c r="A360" s="519">
        <f t="shared" si="234"/>
        <v>54759</v>
      </c>
      <c r="B360" s="287">
        <f t="shared" si="263"/>
        <v>11563.119999999992</v>
      </c>
      <c r="C360" s="14">
        <f t="shared" si="257"/>
        <v>786.54</v>
      </c>
      <c r="D360" s="14">
        <f t="shared" si="271"/>
        <v>757.63</v>
      </c>
      <c r="E360" s="14">
        <f t="shared" si="258"/>
        <v>28.91</v>
      </c>
      <c r="F360" s="14">
        <f t="shared" si="235"/>
        <v>134.16999999999999</v>
      </c>
      <c r="G360" s="14">
        <f t="shared" si="232"/>
        <v>188.55</v>
      </c>
      <c r="H360" s="14">
        <f t="shared" si="233"/>
        <v>1109.26</v>
      </c>
      <c r="I360" s="287">
        <f t="shared" si="236"/>
        <v>176218.90999999992</v>
      </c>
      <c r="J360" s="287">
        <f t="shared" si="237"/>
        <v>96390.3299999999</v>
      </c>
      <c r="K360" s="287">
        <f t="shared" si="238"/>
        <v>10805.489999999993</v>
      </c>
      <c r="L360" s="428">
        <f t="shared" si="231"/>
        <v>25</v>
      </c>
      <c r="M360" s="428">
        <f t="shared" si="264"/>
        <v>301</v>
      </c>
      <c r="N360" s="287">
        <f t="shared" si="265"/>
        <v>76509.869999999937</v>
      </c>
      <c r="O360" s="287">
        <f t="shared" si="249"/>
        <v>1536.52</v>
      </c>
      <c r="P360" s="287">
        <f t="shared" si="272"/>
        <v>1090.21</v>
      </c>
      <c r="Q360" s="287">
        <f t="shared" si="250"/>
        <v>446.31</v>
      </c>
      <c r="R360" s="287">
        <f t="shared" si="241"/>
        <v>134.16999999999999</v>
      </c>
      <c r="S360" s="287">
        <f t="shared" si="242"/>
        <v>188.55</v>
      </c>
      <c r="T360" s="287">
        <f t="shared" si="239"/>
        <v>1859.24</v>
      </c>
      <c r="U360" s="287">
        <f t="shared" si="273"/>
        <v>155530.33999999994</v>
      </c>
      <c r="V360" s="287">
        <f t="shared" si="274"/>
        <v>308498.69999999978</v>
      </c>
      <c r="W360" s="287">
        <f t="shared" si="240"/>
        <v>75419.659999999931</v>
      </c>
      <c r="X360" s="519">
        <f t="shared" si="266"/>
        <v>54759</v>
      </c>
      <c r="Y360" s="287">
        <f t="shared" si="251"/>
        <v>86060.829999999783</v>
      </c>
      <c r="Z360" s="511">
        <f t="shared" si="259"/>
        <v>7.0000000000000007E-2</v>
      </c>
      <c r="AA360" s="287">
        <f t="shared" si="260"/>
        <v>1746.44</v>
      </c>
      <c r="AB360" s="287">
        <f t="shared" si="252"/>
        <v>1244.42</v>
      </c>
      <c r="AC360" s="287">
        <f t="shared" si="261"/>
        <v>502.02</v>
      </c>
      <c r="AD360" s="287">
        <f t="shared" si="243"/>
        <v>134.16999999999999</v>
      </c>
      <c r="AE360" s="287">
        <f t="shared" si="244"/>
        <v>188.55</v>
      </c>
      <c r="AF360" s="287">
        <f t="shared" si="253"/>
        <v>2069.1600000000003</v>
      </c>
      <c r="AG360" s="287">
        <f t="shared" si="254"/>
        <v>191132.39000000007</v>
      </c>
      <c r="AH360" s="287">
        <f t="shared" si="255"/>
        <v>304474.4899999997</v>
      </c>
      <c r="AI360" s="530">
        <f t="shared" si="245"/>
        <v>-31577.839999999873</v>
      </c>
      <c r="AJ360" s="530">
        <f t="shared" si="275"/>
        <v>-9396.7499999998545</v>
      </c>
      <c r="AK360" s="530">
        <f t="shared" si="246"/>
        <v>-40974.589999999727</v>
      </c>
      <c r="AL360" s="287">
        <f t="shared" si="256"/>
        <v>84816.409999999785</v>
      </c>
      <c r="AM360" s="428">
        <f t="shared" si="267"/>
        <v>25</v>
      </c>
      <c r="AN360" s="14">
        <f t="shared" si="247"/>
        <v>749.98</v>
      </c>
      <c r="AO360" s="14">
        <f t="shared" si="230"/>
        <v>110079.36999999997</v>
      </c>
      <c r="AP360" s="14">
        <f t="shared" si="248"/>
        <v>959.90000000000009</v>
      </c>
      <c r="AS360" s="14">
        <f t="shared" si="262"/>
        <v>749.98</v>
      </c>
      <c r="AT360" s="14">
        <f t="shared" si="268"/>
        <v>226013.4000000011</v>
      </c>
      <c r="AU360" s="287">
        <f t="shared" si="269"/>
        <v>2426.6369902986553</v>
      </c>
      <c r="AV360" s="287">
        <f t="shared" si="270"/>
        <v>499467.73407989519</v>
      </c>
    </row>
    <row r="361" spans="1:48" x14ac:dyDescent="0.25">
      <c r="A361" s="519">
        <f t="shared" si="234"/>
        <v>54789</v>
      </c>
      <c r="B361" s="287">
        <f t="shared" si="263"/>
        <v>10805.489999999993</v>
      </c>
      <c r="C361" s="14">
        <f t="shared" si="257"/>
        <v>786.54</v>
      </c>
      <c r="D361" s="14">
        <f t="shared" si="271"/>
        <v>759.53</v>
      </c>
      <c r="E361" s="14">
        <f t="shared" si="258"/>
        <v>27.01</v>
      </c>
      <c r="F361" s="14">
        <f t="shared" si="235"/>
        <v>134.16999999999999</v>
      </c>
      <c r="G361" s="14">
        <f t="shared" si="232"/>
        <v>188.55</v>
      </c>
      <c r="H361" s="14">
        <f t="shared" si="233"/>
        <v>1109.26</v>
      </c>
      <c r="I361" s="287">
        <f t="shared" si="236"/>
        <v>176978.43999999992</v>
      </c>
      <c r="J361" s="287">
        <f t="shared" si="237"/>
        <v>96417.339999999895</v>
      </c>
      <c r="K361" s="287">
        <f t="shared" si="238"/>
        <v>10045.959999999992</v>
      </c>
      <c r="L361" s="428">
        <f t="shared" si="231"/>
        <v>25</v>
      </c>
      <c r="M361" s="428">
        <f t="shared" si="264"/>
        <v>302</v>
      </c>
      <c r="N361" s="287">
        <f t="shared" si="265"/>
        <v>75419.659999999931</v>
      </c>
      <c r="O361" s="287">
        <f t="shared" si="249"/>
        <v>1536.52</v>
      </c>
      <c r="P361" s="287">
        <f t="shared" si="272"/>
        <v>1096.57</v>
      </c>
      <c r="Q361" s="287">
        <f t="shared" si="250"/>
        <v>439.95</v>
      </c>
      <c r="R361" s="287">
        <f t="shared" si="241"/>
        <v>134.16999999999999</v>
      </c>
      <c r="S361" s="287">
        <f t="shared" si="242"/>
        <v>188.55</v>
      </c>
      <c r="T361" s="287">
        <f t="shared" si="239"/>
        <v>1859.24</v>
      </c>
      <c r="U361" s="287">
        <f t="shared" si="273"/>
        <v>156626.90999999995</v>
      </c>
      <c r="V361" s="287">
        <f t="shared" si="274"/>
        <v>308938.64999999979</v>
      </c>
      <c r="W361" s="287">
        <f t="shared" si="240"/>
        <v>74323.089999999924</v>
      </c>
      <c r="X361" s="519">
        <f t="shared" si="266"/>
        <v>54789</v>
      </c>
      <c r="Y361" s="287">
        <f t="shared" si="251"/>
        <v>84816.409999999785</v>
      </c>
      <c r="Z361" s="511">
        <f t="shared" si="259"/>
        <v>7.0000000000000007E-2</v>
      </c>
      <c r="AA361" s="287">
        <f t="shared" si="260"/>
        <v>1746.44</v>
      </c>
      <c r="AB361" s="287">
        <f t="shared" si="252"/>
        <v>1251.68</v>
      </c>
      <c r="AC361" s="287">
        <f t="shared" si="261"/>
        <v>494.76</v>
      </c>
      <c r="AD361" s="287">
        <f t="shared" si="243"/>
        <v>134.16999999999999</v>
      </c>
      <c r="AE361" s="287">
        <f t="shared" si="244"/>
        <v>188.55</v>
      </c>
      <c r="AF361" s="287">
        <f t="shared" si="253"/>
        <v>2069.1600000000003</v>
      </c>
      <c r="AG361" s="287">
        <f t="shared" si="254"/>
        <v>192384.07000000007</v>
      </c>
      <c r="AH361" s="287">
        <f t="shared" si="255"/>
        <v>304969.24999999971</v>
      </c>
      <c r="AI361" s="530">
        <f t="shared" si="245"/>
        <v>-31787.759999999871</v>
      </c>
      <c r="AJ361" s="530">
        <f t="shared" si="275"/>
        <v>-9241.6399999998685</v>
      </c>
      <c r="AK361" s="530">
        <f t="shared" si="246"/>
        <v>-41029.39999999974</v>
      </c>
      <c r="AL361" s="287">
        <f t="shared" si="256"/>
        <v>83564.729999999792</v>
      </c>
      <c r="AM361" s="428">
        <f t="shared" si="267"/>
        <v>25</v>
      </c>
      <c r="AN361" s="14">
        <f t="shared" si="247"/>
        <v>749.98</v>
      </c>
      <c r="AO361" s="14">
        <f t="shared" si="230"/>
        <v>109742.32999999993</v>
      </c>
      <c r="AP361" s="14">
        <f t="shared" si="248"/>
        <v>959.90000000000009</v>
      </c>
      <c r="AS361" s="14">
        <f t="shared" si="262"/>
        <v>749.98</v>
      </c>
      <c r="AT361" s="14">
        <f t="shared" si="268"/>
        <v>226763.38000000111</v>
      </c>
      <c r="AU361" s="287">
        <f t="shared" si="269"/>
        <v>2434.7257802663175</v>
      </c>
      <c r="AV361" s="287">
        <f t="shared" si="270"/>
        <v>501902.45986016153</v>
      </c>
    </row>
    <row r="362" spans="1:48" ht="15.75" thickBot="1" x14ac:dyDescent="0.3">
      <c r="A362" s="522">
        <f t="shared" si="234"/>
        <v>54819</v>
      </c>
      <c r="B362" s="348">
        <f t="shared" si="263"/>
        <v>10045.959999999992</v>
      </c>
      <c r="C362" s="21">
        <f t="shared" si="257"/>
        <v>786.54</v>
      </c>
      <c r="D362" s="21">
        <f t="shared" si="271"/>
        <v>761.43</v>
      </c>
      <c r="E362" s="21">
        <f t="shared" si="258"/>
        <v>25.11</v>
      </c>
      <c r="F362" s="21">
        <f t="shared" si="235"/>
        <v>134.16999999999999</v>
      </c>
      <c r="G362" s="21">
        <f t="shared" si="232"/>
        <v>188.55</v>
      </c>
      <c r="H362" s="21">
        <f t="shared" si="233"/>
        <v>1109.26</v>
      </c>
      <c r="I362" s="348">
        <f t="shared" si="236"/>
        <v>177739.86999999991</v>
      </c>
      <c r="J362" s="348">
        <f t="shared" si="237"/>
        <v>96442.449999999895</v>
      </c>
      <c r="K362" s="348">
        <f t="shared" si="238"/>
        <v>9284.5299999999916</v>
      </c>
      <c r="L362" s="429">
        <f t="shared" si="231"/>
        <v>25</v>
      </c>
      <c r="M362" s="429">
        <f t="shared" si="264"/>
        <v>303</v>
      </c>
      <c r="N362" s="348">
        <f t="shared" si="265"/>
        <v>74323.089999999924</v>
      </c>
      <c r="O362" s="348">
        <f t="shared" si="249"/>
        <v>1536.52</v>
      </c>
      <c r="P362" s="348">
        <f t="shared" si="272"/>
        <v>1102.97</v>
      </c>
      <c r="Q362" s="348">
        <f t="shared" si="250"/>
        <v>433.55</v>
      </c>
      <c r="R362" s="348">
        <f t="shared" si="241"/>
        <v>134.16999999999999</v>
      </c>
      <c r="S362" s="348">
        <f t="shared" si="242"/>
        <v>188.55</v>
      </c>
      <c r="T362" s="348">
        <f t="shared" si="239"/>
        <v>1859.24</v>
      </c>
      <c r="U362" s="348">
        <f t="shared" si="273"/>
        <v>157729.87999999995</v>
      </c>
      <c r="V362" s="348">
        <f t="shared" si="274"/>
        <v>309372.19999999978</v>
      </c>
      <c r="W362" s="348">
        <f t="shared" si="240"/>
        <v>73220.119999999923</v>
      </c>
      <c r="X362" s="522">
        <f t="shared" si="266"/>
        <v>54819</v>
      </c>
      <c r="Y362" s="348">
        <f t="shared" si="251"/>
        <v>83564.729999999792</v>
      </c>
      <c r="Z362" s="512">
        <f t="shared" si="259"/>
        <v>7.0000000000000007E-2</v>
      </c>
      <c r="AA362" s="348">
        <f t="shared" si="260"/>
        <v>1746.44</v>
      </c>
      <c r="AB362" s="348">
        <f t="shared" si="252"/>
        <v>1258.98</v>
      </c>
      <c r="AC362" s="348">
        <f t="shared" si="261"/>
        <v>487.46</v>
      </c>
      <c r="AD362" s="348">
        <f t="shared" si="243"/>
        <v>134.16999999999999</v>
      </c>
      <c r="AE362" s="348">
        <f t="shared" si="244"/>
        <v>188.55</v>
      </c>
      <c r="AF362" s="348">
        <f t="shared" si="253"/>
        <v>2069.1600000000003</v>
      </c>
      <c r="AG362" s="348">
        <f t="shared" si="254"/>
        <v>193643.05000000008</v>
      </c>
      <c r="AH362" s="348">
        <f t="shared" si="255"/>
        <v>305456.70999999973</v>
      </c>
      <c r="AI362" s="531">
        <f t="shared" si="245"/>
        <v>-31997.679999999869</v>
      </c>
      <c r="AJ362" s="531">
        <f t="shared" si="275"/>
        <v>-9085.6299999998737</v>
      </c>
      <c r="AK362" s="530">
        <f t="shared" si="246"/>
        <v>-41083.309999999743</v>
      </c>
      <c r="AL362" s="348">
        <f t="shared" si="256"/>
        <v>82305.749999999796</v>
      </c>
      <c r="AM362" s="429">
        <f t="shared" si="267"/>
        <v>25</v>
      </c>
      <c r="AN362" s="21">
        <f t="shared" si="247"/>
        <v>749.98</v>
      </c>
      <c r="AO362" s="21">
        <f t="shared" si="230"/>
        <v>109400.78999999998</v>
      </c>
      <c r="AP362" s="21">
        <f t="shared" si="248"/>
        <v>959.90000000000009</v>
      </c>
      <c r="AQ362" s="21"/>
      <c r="AR362" s="23"/>
      <c r="AS362" s="21">
        <f t="shared" si="262"/>
        <v>749.98</v>
      </c>
      <c r="AT362" s="21">
        <f t="shared" si="268"/>
        <v>227513.36000000112</v>
      </c>
      <c r="AU362" s="348">
        <f t="shared" si="269"/>
        <v>2442.8415328672049</v>
      </c>
      <c r="AV362" s="348">
        <f t="shared" si="270"/>
        <v>504345.30139302876</v>
      </c>
    </row>
    <row r="363" spans="1:48" x14ac:dyDescent="0.25">
      <c r="A363" s="519">
        <f t="shared" si="234"/>
        <v>54849</v>
      </c>
      <c r="B363" s="287">
        <f t="shared" si="263"/>
        <v>9284.5299999999916</v>
      </c>
      <c r="C363" s="14">
        <f t="shared" si="257"/>
        <v>786.54</v>
      </c>
      <c r="D363" s="14">
        <f t="shared" si="271"/>
        <v>763.32999999999993</v>
      </c>
      <c r="E363" s="14">
        <f t="shared" si="258"/>
        <v>23.21</v>
      </c>
      <c r="F363" s="14">
        <f t="shared" si="235"/>
        <v>134.16999999999999</v>
      </c>
      <c r="G363" s="14">
        <f t="shared" si="232"/>
        <v>188.55</v>
      </c>
      <c r="H363" s="14">
        <f t="shared" si="233"/>
        <v>1109.26</v>
      </c>
      <c r="I363" s="287">
        <f t="shared" si="236"/>
        <v>178503.1999999999</v>
      </c>
      <c r="J363" s="287">
        <f t="shared" si="237"/>
        <v>96465.659999999902</v>
      </c>
      <c r="K363" s="287">
        <f t="shared" si="238"/>
        <v>8521.1999999999916</v>
      </c>
      <c r="L363" s="428">
        <f t="shared" si="231"/>
        <v>25</v>
      </c>
      <c r="M363" s="428">
        <f t="shared" si="264"/>
        <v>304</v>
      </c>
      <c r="N363" s="287">
        <f t="shared" si="265"/>
        <v>73220.119999999923</v>
      </c>
      <c r="O363" s="287">
        <f t="shared" si="249"/>
        <v>1536.52</v>
      </c>
      <c r="P363" s="287">
        <f t="shared" si="272"/>
        <v>1109.4000000000001</v>
      </c>
      <c r="Q363" s="287">
        <f t="shared" si="250"/>
        <v>427.12</v>
      </c>
      <c r="R363" s="287">
        <f t="shared" si="241"/>
        <v>134.16999999999999</v>
      </c>
      <c r="S363" s="287">
        <f t="shared" si="242"/>
        <v>188.55</v>
      </c>
      <c r="T363" s="287">
        <f t="shared" si="239"/>
        <v>1859.24</v>
      </c>
      <c r="U363" s="287">
        <f t="shared" si="273"/>
        <v>158839.27999999994</v>
      </c>
      <c r="V363" s="287">
        <f t="shared" si="274"/>
        <v>309799.31999999977</v>
      </c>
      <c r="W363" s="287">
        <f t="shared" si="240"/>
        <v>72110.719999999928</v>
      </c>
      <c r="X363" s="519">
        <f t="shared" si="266"/>
        <v>54849</v>
      </c>
      <c r="Y363" s="287">
        <f t="shared" si="251"/>
        <v>82305.749999999796</v>
      </c>
      <c r="Z363" s="511">
        <f t="shared" si="259"/>
        <v>7.0000000000000007E-2</v>
      </c>
      <c r="AA363" s="287">
        <f t="shared" si="260"/>
        <v>1746.44</v>
      </c>
      <c r="AB363" s="287">
        <f t="shared" si="252"/>
        <v>1266.3200000000002</v>
      </c>
      <c r="AC363" s="287">
        <f t="shared" si="261"/>
        <v>480.12</v>
      </c>
      <c r="AD363" s="287">
        <f t="shared" si="243"/>
        <v>134.16999999999999</v>
      </c>
      <c r="AE363" s="287">
        <f t="shared" si="244"/>
        <v>188.55</v>
      </c>
      <c r="AF363" s="287">
        <f t="shared" si="253"/>
        <v>2069.1600000000003</v>
      </c>
      <c r="AG363" s="287">
        <f t="shared" si="254"/>
        <v>194909.37000000008</v>
      </c>
      <c r="AH363" s="287">
        <f t="shared" si="255"/>
        <v>305936.82999999973</v>
      </c>
      <c r="AI363" s="530">
        <f t="shared" si="245"/>
        <v>-32207.599999999868</v>
      </c>
      <c r="AJ363" s="530">
        <f t="shared" si="275"/>
        <v>-8928.7099999998609</v>
      </c>
      <c r="AK363" s="530">
        <f t="shared" si="246"/>
        <v>-41136.309999999728</v>
      </c>
      <c r="AL363" s="287">
        <f t="shared" si="256"/>
        <v>81039.429999999789</v>
      </c>
      <c r="AM363" s="428">
        <f t="shared" si="267"/>
        <v>25</v>
      </c>
      <c r="AN363" s="14">
        <f t="shared" si="247"/>
        <v>749.98</v>
      </c>
      <c r="AO363" s="14">
        <f t="shared" si="230"/>
        <v>109054.71999999994</v>
      </c>
      <c r="AP363" s="14">
        <f t="shared" si="248"/>
        <v>959.90000000000009</v>
      </c>
      <c r="AS363" s="14">
        <f t="shared" si="262"/>
        <v>749.98</v>
      </c>
      <c r="AT363" s="14">
        <f t="shared" si="268"/>
        <v>228263.34000000113</v>
      </c>
      <c r="AU363" s="287">
        <f t="shared" si="269"/>
        <v>2450.9843379767626</v>
      </c>
      <c r="AV363" s="287">
        <f t="shared" si="270"/>
        <v>506796.28573100554</v>
      </c>
    </row>
    <row r="364" spans="1:48" x14ac:dyDescent="0.25">
      <c r="A364" s="519">
        <f t="shared" si="234"/>
        <v>54879</v>
      </c>
      <c r="B364" s="287">
        <f t="shared" si="263"/>
        <v>8521.1999999999916</v>
      </c>
      <c r="C364" s="14">
        <f t="shared" si="257"/>
        <v>786.54</v>
      </c>
      <c r="D364" s="14">
        <f t="shared" si="271"/>
        <v>765.24</v>
      </c>
      <c r="E364" s="14">
        <f t="shared" si="258"/>
        <v>21.3</v>
      </c>
      <c r="F364" s="14">
        <f t="shared" si="235"/>
        <v>134.16999999999999</v>
      </c>
      <c r="G364" s="14">
        <f t="shared" si="232"/>
        <v>188.55</v>
      </c>
      <c r="H364" s="14">
        <f t="shared" si="233"/>
        <v>1109.26</v>
      </c>
      <c r="I364" s="287">
        <f t="shared" si="236"/>
        <v>179268.43999999989</v>
      </c>
      <c r="J364" s="287">
        <f t="shared" si="237"/>
        <v>96486.959999999905</v>
      </c>
      <c r="K364" s="287">
        <f t="shared" si="238"/>
        <v>7755.9599999999919</v>
      </c>
      <c r="L364" s="428">
        <f t="shared" si="231"/>
        <v>25</v>
      </c>
      <c r="M364" s="428">
        <f t="shared" si="264"/>
        <v>305</v>
      </c>
      <c r="N364" s="287">
        <f t="shared" si="265"/>
        <v>72110.719999999928</v>
      </c>
      <c r="O364" s="287">
        <f t="shared" si="249"/>
        <v>1536.52</v>
      </c>
      <c r="P364" s="287">
        <f t="shared" si="272"/>
        <v>1115.8699999999999</v>
      </c>
      <c r="Q364" s="287">
        <f t="shared" si="250"/>
        <v>420.65</v>
      </c>
      <c r="R364" s="287">
        <f t="shared" si="241"/>
        <v>134.16999999999999</v>
      </c>
      <c r="S364" s="287">
        <f t="shared" si="242"/>
        <v>188.55</v>
      </c>
      <c r="T364" s="287">
        <f t="shared" si="239"/>
        <v>1859.24</v>
      </c>
      <c r="U364" s="287">
        <f t="shared" si="273"/>
        <v>159955.14999999994</v>
      </c>
      <c r="V364" s="287">
        <f t="shared" si="274"/>
        <v>310219.9699999998</v>
      </c>
      <c r="W364" s="287">
        <f t="shared" si="240"/>
        <v>70994.849999999933</v>
      </c>
      <c r="X364" s="519">
        <f t="shared" si="266"/>
        <v>54879</v>
      </c>
      <c r="Y364" s="287">
        <f t="shared" si="251"/>
        <v>81039.429999999789</v>
      </c>
      <c r="Z364" s="511">
        <f t="shared" si="259"/>
        <v>7.0000000000000007E-2</v>
      </c>
      <c r="AA364" s="287">
        <f t="shared" si="260"/>
        <v>1746.44</v>
      </c>
      <c r="AB364" s="287">
        <f t="shared" si="252"/>
        <v>1273.71</v>
      </c>
      <c r="AC364" s="287">
        <f t="shared" si="261"/>
        <v>472.73</v>
      </c>
      <c r="AD364" s="287">
        <f t="shared" si="243"/>
        <v>134.16999999999999</v>
      </c>
      <c r="AE364" s="287">
        <f t="shared" si="244"/>
        <v>188.55</v>
      </c>
      <c r="AF364" s="287">
        <f t="shared" si="253"/>
        <v>2069.1600000000003</v>
      </c>
      <c r="AG364" s="287">
        <f t="shared" si="254"/>
        <v>196183.08000000007</v>
      </c>
      <c r="AH364" s="287">
        <f t="shared" si="255"/>
        <v>306409.55999999971</v>
      </c>
      <c r="AI364" s="530">
        <f t="shared" si="245"/>
        <v>-32417.519999999866</v>
      </c>
      <c r="AJ364" s="530">
        <f t="shared" si="275"/>
        <v>-8770.8699999998498</v>
      </c>
      <c r="AK364" s="530">
        <f t="shared" si="246"/>
        <v>-41188.389999999716</v>
      </c>
      <c r="AL364" s="287">
        <f t="shared" si="256"/>
        <v>79765.719999999783</v>
      </c>
      <c r="AM364" s="428">
        <f t="shared" si="267"/>
        <v>25</v>
      </c>
      <c r="AN364" s="14">
        <f t="shared" si="247"/>
        <v>749.98</v>
      </c>
      <c r="AO364" s="14">
        <f t="shared" si="230"/>
        <v>108704.08999999994</v>
      </c>
      <c r="AP364" s="14">
        <f t="shared" si="248"/>
        <v>959.90000000000009</v>
      </c>
      <c r="AS364" s="14">
        <f t="shared" si="262"/>
        <v>749.98</v>
      </c>
      <c r="AT364" s="14">
        <f t="shared" si="268"/>
        <v>229013.32000000114</v>
      </c>
      <c r="AU364" s="287">
        <f t="shared" si="269"/>
        <v>2459.1542857700183</v>
      </c>
      <c r="AV364" s="287">
        <f t="shared" si="270"/>
        <v>509255.44001677557</v>
      </c>
    </row>
    <row r="365" spans="1:48" x14ac:dyDescent="0.25">
      <c r="A365" s="519">
        <f t="shared" si="234"/>
        <v>54909</v>
      </c>
      <c r="B365" s="287">
        <f t="shared" si="263"/>
        <v>7755.9599999999919</v>
      </c>
      <c r="C365" s="14">
        <f t="shared" si="257"/>
        <v>786.54</v>
      </c>
      <c r="D365" s="14">
        <f t="shared" si="271"/>
        <v>767.15</v>
      </c>
      <c r="E365" s="14">
        <f t="shared" si="258"/>
        <v>19.39</v>
      </c>
      <c r="F365" s="14">
        <f t="shared" si="235"/>
        <v>134.16999999999999</v>
      </c>
      <c r="G365" s="14">
        <f t="shared" si="232"/>
        <v>188.55</v>
      </c>
      <c r="H365" s="14">
        <f t="shared" si="233"/>
        <v>1109.26</v>
      </c>
      <c r="I365" s="287">
        <f t="shared" si="236"/>
        <v>180035.58999999988</v>
      </c>
      <c r="J365" s="287">
        <f t="shared" si="237"/>
        <v>96506.349999999904</v>
      </c>
      <c r="K365" s="287">
        <f t="shared" si="238"/>
        <v>6988.8099999999922</v>
      </c>
      <c r="L365" s="428">
        <f t="shared" si="231"/>
        <v>25</v>
      </c>
      <c r="M365" s="428">
        <f t="shared" si="264"/>
        <v>306</v>
      </c>
      <c r="N365" s="287">
        <f t="shared" si="265"/>
        <v>70994.849999999933</v>
      </c>
      <c r="O365" s="287">
        <f t="shared" si="249"/>
        <v>1536.52</v>
      </c>
      <c r="P365" s="287">
        <f t="shared" si="272"/>
        <v>1122.3800000000001</v>
      </c>
      <c r="Q365" s="287">
        <f t="shared" si="250"/>
        <v>414.14</v>
      </c>
      <c r="R365" s="287">
        <f t="shared" si="241"/>
        <v>134.16999999999999</v>
      </c>
      <c r="S365" s="287">
        <f t="shared" si="242"/>
        <v>188.55</v>
      </c>
      <c r="T365" s="287">
        <f t="shared" si="239"/>
        <v>1859.24</v>
      </c>
      <c r="U365" s="287">
        <f t="shared" si="273"/>
        <v>161077.52999999994</v>
      </c>
      <c r="V365" s="287">
        <f t="shared" si="274"/>
        <v>310634.10999999981</v>
      </c>
      <c r="W365" s="287">
        <f t="shared" si="240"/>
        <v>69872.469999999928</v>
      </c>
      <c r="X365" s="519">
        <f t="shared" si="266"/>
        <v>54909</v>
      </c>
      <c r="Y365" s="287">
        <f t="shared" si="251"/>
        <v>79765.719999999783</v>
      </c>
      <c r="Z365" s="511">
        <f t="shared" si="259"/>
        <v>7.0000000000000007E-2</v>
      </c>
      <c r="AA365" s="287">
        <f t="shared" si="260"/>
        <v>1746.44</v>
      </c>
      <c r="AB365" s="287">
        <f t="shared" si="252"/>
        <v>1281.1400000000001</v>
      </c>
      <c r="AC365" s="287">
        <f t="shared" si="261"/>
        <v>465.3</v>
      </c>
      <c r="AD365" s="287">
        <f t="shared" si="243"/>
        <v>134.16999999999999</v>
      </c>
      <c r="AE365" s="287">
        <f t="shared" si="244"/>
        <v>188.55</v>
      </c>
      <c r="AF365" s="287">
        <f t="shared" si="253"/>
        <v>2069.1600000000003</v>
      </c>
      <c r="AG365" s="287">
        <f t="shared" si="254"/>
        <v>197464.22000000009</v>
      </c>
      <c r="AH365" s="287">
        <f t="shared" si="255"/>
        <v>306874.85999999969</v>
      </c>
      <c r="AI365" s="530">
        <f t="shared" si="245"/>
        <v>-32627.439999999864</v>
      </c>
      <c r="AJ365" s="530">
        <f t="shared" si="275"/>
        <v>-8612.1099999998551</v>
      </c>
      <c r="AK365" s="530">
        <f t="shared" si="246"/>
        <v>-41239.549999999719</v>
      </c>
      <c r="AL365" s="287">
        <f t="shared" si="256"/>
        <v>78484.579999999783</v>
      </c>
      <c r="AM365" s="428">
        <f t="shared" si="267"/>
        <v>25</v>
      </c>
      <c r="AN365" s="14">
        <f t="shared" si="247"/>
        <v>749.98</v>
      </c>
      <c r="AO365" s="14">
        <f t="shared" ref="AO365:AO428" si="276">IF(W365&lt;=0,0,+$AA$5-$C$2+I365-U365)</f>
        <v>108348.85999999996</v>
      </c>
      <c r="AP365" s="14">
        <f t="shared" si="248"/>
        <v>959.90000000000009</v>
      </c>
      <c r="AS365" s="14">
        <f t="shared" si="262"/>
        <v>749.98</v>
      </c>
      <c r="AT365" s="14">
        <f t="shared" si="268"/>
        <v>229763.30000000115</v>
      </c>
      <c r="AU365" s="287">
        <f t="shared" si="269"/>
        <v>2467.3514667225854</v>
      </c>
      <c r="AV365" s="287">
        <f t="shared" si="270"/>
        <v>511722.79148349818</v>
      </c>
    </row>
    <row r="366" spans="1:48" x14ac:dyDescent="0.25">
      <c r="A366" s="519">
        <f t="shared" si="234"/>
        <v>54939</v>
      </c>
      <c r="B366" s="287">
        <f t="shared" si="263"/>
        <v>6988.8099999999922</v>
      </c>
      <c r="C366" s="14">
        <f t="shared" si="257"/>
        <v>786.54</v>
      </c>
      <c r="D366" s="14">
        <f t="shared" si="271"/>
        <v>769.06999999999994</v>
      </c>
      <c r="E366" s="14">
        <f t="shared" si="258"/>
        <v>17.47</v>
      </c>
      <c r="F366" s="14">
        <f t="shared" si="235"/>
        <v>134.16999999999999</v>
      </c>
      <c r="G366" s="14">
        <f t="shared" si="232"/>
        <v>188.55</v>
      </c>
      <c r="H366" s="14">
        <f t="shared" si="233"/>
        <v>1109.26</v>
      </c>
      <c r="I366" s="287">
        <f t="shared" si="236"/>
        <v>180804.65999999989</v>
      </c>
      <c r="J366" s="287">
        <f t="shared" si="237"/>
        <v>96523.819999999905</v>
      </c>
      <c r="K366" s="287">
        <f t="shared" si="238"/>
        <v>6219.7399999999925</v>
      </c>
      <c r="L366" s="428">
        <f t="shared" si="231"/>
        <v>25</v>
      </c>
      <c r="M366" s="428">
        <f t="shared" si="264"/>
        <v>307</v>
      </c>
      <c r="N366" s="287">
        <f t="shared" si="265"/>
        <v>69872.469999999928</v>
      </c>
      <c r="O366" s="287">
        <f t="shared" si="249"/>
        <v>1536.52</v>
      </c>
      <c r="P366" s="287">
        <f t="shared" si="272"/>
        <v>1128.93</v>
      </c>
      <c r="Q366" s="287">
        <f t="shared" si="250"/>
        <v>407.59</v>
      </c>
      <c r="R366" s="287">
        <f t="shared" si="241"/>
        <v>134.16999999999999</v>
      </c>
      <c r="S366" s="287">
        <f t="shared" si="242"/>
        <v>188.55</v>
      </c>
      <c r="T366" s="287">
        <f t="shared" si="239"/>
        <v>1859.24</v>
      </c>
      <c r="U366" s="287">
        <f t="shared" si="273"/>
        <v>162206.45999999993</v>
      </c>
      <c r="V366" s="287">
        <f t="shared" si="274"/>
        <v>311041.69999999984</v>
      </c>
      <c r="W366" s="287">
        <f t="shared" si="240"/>
        <v>68743.539999999935</v>
      </c>
      <c r="X366" s="519">
        <f t="shared" si="266"/>
        <v>54939</v>
      </c>
      <c r="Y366" s="287">
        <f t="shared" si="251"/>
        <v>78484.579999999783</v>
      </c>
      <c r="Z366" s="511">
        <f t="shared" si="259"/>
        <v>7.0000000000000007E-2</v>
      </c>
      <c r="AA366" s="287">
        <f t="shared" si="260"/>
        <v>1746.44</v>
      </c>
      <c r="AB366" s="287">
        <f t="shared" si="252"/>
        <v>1288.6100000000001</v>
      </c>
      <c r="AC366" s="287">
        <f t="shared" si="261"/>
        <v>457.83</v>
      </c>
      <c r="AD366" s="287">
        <f t="shared" si="243"/>
        <v>134.16999999999999</v>
      </c>
      <c r="AE366" s="287">
        <f t="shared" si="244"/>
        <v>188.55</v>
      </c>
      <c r="AF366" s="287">
        <f t="shared" si="253"/>
        <v>2069.1600000000003</v>
      </c>
      <c r="AG366" s="287">
        <f t="shared" si="254"/>
        <v>198752.83000000007</v>
      </c>
      <c r="AH366" s="287">
        <f t="shared" si="255"/>
        <v>307332.68999999971</v>
      </c>
      <c r="AI366" s="530">
        <f t="shared" si="245"/>
        <v>-32837.359999999862</v>
      </c>
      <c r="AJ366" s="530">
        <f t="shared" si="275"/>
        <v>-8452.4299999998475</v>
      </c>
      <c r="AK366" s="530">
        <f t="shared" si="246"/>
        <v>-41289.78999999971</v>
      </c>
      <c r="AL366" s="287">
        <f t="shared" si="256"/>
        <v>77195.969999999783</v>
      </c>
      <c r="AM366" s="428">
        <f t="shared" si="267"/>
        <v>25</v>
      </c>
      <c r="AN366" s="14">
        <f t="shared" si="247"/>
        <v>749.98</v>
      </c>
      <c r="AO366" s="14">
        <f t="shared" si="276"/>
        <v>107988.99999999991</v>
      </c>
      <c r="AP366" s="14">
        <f t="shared" si="248"/>
        <v>959.90000000000009</v>
      </c>
      <c r="AS366" s="14">
        <f t="shared" si="262"/>
        <v>749.98</v>
      </c>
      <c r="AT366" s="14">
        <f t="shared" si="268"/>
        <v>230513.28000000116</v>
      </c>
      <c r="AU366" s="287">
        <f t="shared" si="269"/>
        <v>2475.5759716116604</v>
      </c>
      <c r="AV366" s="287">
        <f t="shared" si="270"/>
        <v>514198.36745510984</v>
      </c>
    </row>
    <row r="367" spans="1:48" x14ac:dyDescent="0.25">
      <c r="A367" s="519">
        <f t="shared" si="234"/>
        <v>54969</v>
      </c>
      <c r="B367" s="287">
        <f t="shared" si="263"/>
        <v>6219.7399999999925</v>
      </c>
      <c r="C367" s="14">
        <f t="shared" si="257"/>
        <v>786.54</v>
      </c>
      <c r="D367" s="14">
        <f t="shared" si="271"/>
        <v>770.99</v>
      </c>
      <c r="E367" s="14">
        <f t="shared" si="258"/>
        <v>15.55</v>
      </c>
      <c r="F367" s="14">
        <f t="shared" si="235"/>
        <v>134.16999999999999</v>
      </c>
      <c r="G367" s="14">
        <f t="shared" si="232"/>
        <v>188.55</v>
      </c>
      <c r="H367" s="14">
        <f t="shared" si="233"/>
        <v>1109.26</v>
      </c>
      <c r="I367" s="287">
        <f t="shared" si="236"/>
        <v>181575.64999999988</v>
      </c>
      <c r="J367" s="287">
        <f t="shared" si="237"/>
        <v>96539.369999999908</v>
      </c>
      <c r="K367" s="287">
        <f t="shared" si="238"/>
        <v>5448.7499999999927</v>
      </c>
      <c r="L367" s="428">
        <f t="shared" ref="L367:L430" si="277">IF(MOD(M367,12)=0,M367/12,L366)</f>
        <v>25</v>
      </c>
      <c r="M367" s="428">
        <f t="shared" si="264"/>
        <v>308</v>
      </c>
      <c r="N367" s="287">
        <f t="shared" si="265"/>
        <v>68743.539999999935</v>
      </c>
      <c r="O367" s="287">
        <f t="shared" si="249"/>
        <v>1536.52</v>
      </c>
      <c r="P367" s="287">
        <f t="shared" si="272"/>
        <v>1135.52</v>
      </c>
      <c r="Q367" s="287">
        <f t="shared" si="250"/>
        <v>401</v>
      </c>
      <c r="R367" s="287">
        <f t="shared" si="241"/>
        <v>134.16999999999999</v>
      </c>
      <c r="S367" s="287">
        <f t="shared" si="242"/>
        <v>188.55</v>
      </c>
      <c r="T367" s="287">
        <f t="shared" si="239"/>
        <v>1859.24</v>
      </c>
      <c r="U367" s="287">
        <f t="shared" si="273"/>
        <v>163341.97999999992</v>
      </c>
      <c r="V367" s="287">
        <f t="shared" si="274"/>
        <v>311442.69999999984</v>
      </c>
      <c r="W367" s="287">
        <f t="shared" si="240"/>
        <v>67608.019999999931</v>
      </c>
      <c r="X367" s="519">
        <f t="shared" si="266"/>
        <v>54969</v>
      </c>
      <c r="Y367" s="287">
        <f t="shared" si="251"/>
        <v>77195.969999999783</v>
      </c>
      <c r="Z367" s="511">
        <f t="shared" si="259"/>
        <v>7.0000000000000007E-2</v>
      </c>
      <c r="AA367" s="287">
        <f t="shared" si="260"/>
        <v>1746.44</v>
      </c>
      <c r="AB367" s="287">
        <f t="shared" si="252"/>
        <v>1296.1300000000001</v>
      </c>
      <c r="AC367" s="287">
        <f t="shared" si="261"/>
        <v>450.31</v>
      </c>
      <c r="AD367" s="287">
        <f t="shared" si="243"/>
        <v>134.16999999999999</v>
      </c>
      <c r="AE367" s="287">
        <f t="shared" si="244"/>
        <v>188.55</v>
      </c>
      <c r="AF367" s="287">
        <f t="shared" si="253"/>
        <v>2069.1600000000003</v>
      </c>
      <c r="AG367" s="287">
        <f t="shared" si="254"/>
        <v>200048.96000000008</v>
      </c>
      <c r="AH367" s="287">
        <f t="shared" si="255"/>
        <v>307782.99999999971</v>
      </c>
      <c r="AI367" s="530">
        <f t="shared" si="245"/>
        <v>-33047.279999999861</v>
      </c>
      <c r="AJ367" s="530">
        <f t="shared" si="275"/>
        <v>-8291.8199999998469</v>
      </c>
      <c r="AK367" s="530">
        <f t="shared" si="246"/>
        <v>-41339.099999999708</v>
      </c>
      <c r="AL367" s="287">
        <f t="shared" si="256"/>
        <v>75899.839999999778</v>
      </c>
      <c r="AM367" s="428">
        <f t="shared" si="267"/>
        <v>25</v>
      </c>
      <c r="AN367" s="14">
        <f t="shared" si="247"/>
        <v>749.98</v>
      </c>
      <c r="AO367" s="14">
        <f t="shared" si="276"/>
        <v>107624.46999999991</v>
      </c>
      <c r="AP367" s="14">
        <f t="shared" si="248"/>
        <v>959.90000000000009</v>
      </c>
      <c r="AS367" s="14">
        <f t="shared" si="262"/>
        <v>749.98</v>
      </c>
      <c r="AT367" s="14">
        <f t="shared" si="268"/>
        <v>231263.26000000117</v>
      </c>
      <c r="AU367" s="287">
        <f t="shared" si="269"/>
        <v>2483.8278915170326</v>
      </c>
      <c r="AV367" s="287">
        <f t="shared" si="270"/>
        <v>516682.19534662686</v>
      </c>
    </row>
    <row r="368" spans="1:48" x14ac:dyDescent="0.25">
      <c r="A368" s="519">
        <f t="shared" si="234"/>
        <v>54999</v>
      </c>
      <c r="B368" s="287">
        <f t="shared" si="263"/>
        <v>5448.7499999999927</v>
      </c>
      <c r="C368" s="14">
        <f t="shared" si="257"/>
        <v>786.54</v>
      </c>
      <c r="D368" s="14">
        <f t="shared" si="271"/>
        <v>772.92</v>
      </c>
      <c r="E368" s="14">
        <f t="shared" si="258"/>
        <v>13.62</v>
      </c>
      <c r="F368" s="14">
        <f t="shared" si="235"/>
        <v>134.16999999999999</v>
      </c>
      <c r="G368" s="14">
        <f t="shared" si="232"/>
        <v>188.55</v>
      </c>
      <c r="H368" s="14">
        <f t="shared" si="233"/>
        <v>1109.26</v>
      </c>
      <c r="I368" s="287">
        <f t="shared" si="236"/>
        <v>182348.56999999989</v>
      </c>
      <c r="J368" s="287">
        <f t="shared" si="237"/>
        <v>96552.989999999903</v>
      </c>
      <c r="K368" s="287">
        <f t="shared" si="238"/>
        <v>4675.8299999999927</v>
      </c>
      <c r="L368" s="428">
        <f t="shared" si="277"/>
        <v>25</v>
      </c>
      <c r="M368" s="428">
        <f t="shared" si="264"/>
        <v>309</v>
      </c>
      <c r="N368" s="287">
        <f t="shared" si="265"/>
        <v>67608.019999999931</v>
      </c>
      <c r="O368" s="287">
        <f t="shared" si="249"/>
        <v>1536.52</v>
      </c>
      <c r="P368" s="287">
        <f t="shared" si="272"/>
        <v>1142.1399999999999</v>
      </c>
      <c r="Q368" s="287">
        <f t="shared" si="250"/>
        <v>394.38</v>
      </c>
      <c r="R368" s="287">
        <f t="shared" si="241"/>
        <v>134.16999999999999</v>
      </c>
      <c r="S368" s="287">
        <f t="shared" si="242"/>
        <v>188.55</v>
      </c>
      <c r="T368" s="287">
        <f t="shared" si="239"/>
        <v>1859.24</v>
      </c>
      <c r="U368" s="287">
        <f t="shared" si="273"/>
        <v>164484.11999999994</v>
      </c>
      <c r="V368" s="287">
        <f t="shared" si="274"/>
        <v>311837.07999999984</v>
      </c>
      <c r="W368" s="287">
        <f t="shared" si="240"/>
        <v>66465.879999999932</v>
      </c>
      <c r="X368" s="519">
        <f t="shared" si="266"/>
        <v>54999</v>
      </c>
      <c r="Y368" s="287">
        <f t="shared" si="251"/>
        <v>75899.839999999778</v>
      </c>
      <c r="Z368" s="511">
        <f t="shared" si="259"/>
        <v>7.0000000000000007E-2</v>
      </c>
      <c r="AA368" s="287">
        <f t="shared" si="260"/>
        <v>1746.44</v>
      </c>
      <c r="AB368" s="287">
        <f t="shared" si="252"/>
        <v>1303.69</v>
      </c>
      <c r="AC368" s="287">
        <f t="shared" si="261"/>
        <v>442.75</v>
      </c>
      <c r="AD368" s="287">
        <f t="shared" si="243"/>
        <v>134.16999999999999</v>
      </c>
      <c r="AE368" s="287">
        <f t="shared" si="244"/>
        <v>188.55</v>
      </c>
      <c r="AF368" s="287">
        <f t="shared" si="253"/>
        <v>2069.1600000000003</v>
      </c>
      <c r="AG368" s="287">
        <f t="shared" si="254"/>
        <v>201352.65000000008</v>
      </c>
      <c r="AH368" s="287">
        <f t="shared" si="255"/>
        <v>308225.74999999971</v>
      </c>
      <c r="AI368" s="530">
        <f t="shared" si="245"/>
        <v>-33257.199999999859</v>
      </c>
      <c r="AJ368" s="530">
        <f t="shared" si="275"/>
        <v>-8130.269999999844</v>
      </c>
      <c r="AK368" s="530">
        <f t="shared" si="246"/>
        <v>-41387.469999999703</v>
      </c>
      <c r="AL368" s="287">
        <f t="shared" si="256"/>
        <v>74596.149999999776</v>
      </c>
      <c r="AM368" s="428">
        <f t="shared" si="267"/>
        <v>25</v>
      </c>
      <c r="AN368" s="14">
        <f t="shared" si="247"/>
        <v>749.98</v>
      </c>
      <c r="AO368" s="14">
        <f t="shared" si="276"/>
        <v>107255.24999999994</v>
      </c>
      <c r="AP368" s="14">
        <f t="shared" si="248"/>
        <v>959.90000000000009</v>
      </c>
      <c r="AS368" s="14">
        <f t="shared" si="262"/>
        <v>749.98</v>
      </c>
      <c r="AT368" s="14">
        <f t="shared" si="268"/>
        <v>232013.24000000118</v>
      </c>
      <c r="AU368" s="287">
        <f t="shared" si="269"/>
        <v>2492.10731782209</v>
      </c>
      <c r="AV368" s="287">
        <f t="shared" si="270"/>
        <v>519174.30266444897</v>
      </c>
    </row>
    <row r="369" spans="1:48" x14ac:dyDescent="0.25">
      <c r="A369" s="519">
        <f t="shared" si="234"/>
        <v>55029</v>
      </c>
      <c r="B369" s="287">
        <f t="shared" si="263"/>
        <v>4675.8299999999927</v>
      </c>
      <c r="C369" s="14">
        <f t="shared" si="257"/>
        <v>786.54</v>
      </c>
      <c r="D369" s="14">
        <f t="shared" si="271"/>
        <v>774.84999999999991</v>
      </c>
      <c r="E369" s="14">
        <f t="shared" si="258"/>
        <v>11.69</v>
      </c>
      <c r="F369" s="14">
        <f t="shared" si="235"/>
        <v>134.16999999999999</v>
      </c>
      <c r="G369" s="14">
        <f t="shared" si="232"/>
        <v>188.55</v>
      </c>
      <c r="H369" s="14">
        <f t="shared" si="233"/>
        <v>1109.26</v>
      </c>
      <c r="I369" s="287">
        <f t="shared" si="236"/>
        <v>183123.4199999999</v>
      </c>
      <c r="J369" s="287">
        <f t="shared" si="237"/>
        <v>96564.679999999906</v>
      </c>
      <c r="K369" s="287">
        <f t="shared" si="238"/>
        <v>3900.9799999999927</v>
      </c>
      <c r="L369" s="428">
        <f t="shared" si="277"/>
        <v>25</v>
      </c>
      <c r="M369" s="428">
        <f t="shared" si="264"/>
        <v>310</v>
      </c>
      <c r="N369" s="287">
        <f t="shared" si="265"/>
        <v>66465.879999999932</v>
      </c>
      <c r="O369" s="287">
        <f t="shared" si="249"/>
        <v>1536.52</v>
      </c>
      <c r="P369" s="287">
        <f t="shared" si="272"/>
        <v>1148.8</v>
      </c>
      <c r="Q369" s="287">
        <f t="shared" si="250"/>
        <v>387.72</v>
      </c>
      <c r="R369" s="287">
        <f t="shared" si="241"/>
        <v>134.16999999999999</v>
      </c>
      <c r="S369" s="287">
        <f t="shared" si="242"/>
        <v>188.55</v>
      </c>
      <c r="T369" s="287">
        <f t="shared" si="239"/>
        <v>1859.24</v>
      </c>
      <c r="U369" s="287">
        <f t="shared" si="273"/>
        <v>165632.91999999993</v>
      </c>
      <c r="V369" s="287">
        <f t="shared" si="274"/>
        <v>312224.79999999981</v>
      </c>
      <c r="W369" s="287">
        <f t="shared" si="240"/>
        <v>65317.079999999929</v>
      </c>
      <c r="X369" s="519">
        <f t="shared" si="266"/>
        <v>55029</v>
      </c>
      <c r="Y369" s="287">
        <f t="shared" si="251"/>
        <v>74596.149999999776</v>
      </c>
      <c r="Z369" s="511">
        <f t="shared" si="259"/>
        <v>7.0000000000000007E-2</v>
      </c>
      <c r="AA369" s="287">
        <f t="shared" si="260"/>
        <v>1746.44</v>
      </c>
      <c r="AB369" s="287">
        <f t="shared" si="252"/>
        <v>1311.3000000000002</v>
      </c>
      <c r="AC369" s="287">
        <f t="shared" si="261"/>
        <v>435.14</v>
      </c>
      <c r="AD369" s="287">
        <f t="shared" si="243"/>
        <v>134.16999999999999</v>
      </c>
      <c r="AE369" s="287">
        <f t="shared" si="244"/>
        <v>188.55</v>
      </c>
      <c r="AF369" s="287">
        <f t="shared" si="253"/>
        <v>2069.1600000000003</v>
      </c>
      <c r="AG369" s="287">
        <f t="shared" si="254"/>
        <v>202663.95000000007</v>
      </c>
      <c r="AH369" s="287">
        <f t="shared" si="255"/>
        <v>308660.88999999972</v>
      </c>
      <c r="AI369" s="530">
        <f t="shared" si="245"/>
        <v>-33467.119999999857</v>
      </c>
      <c r="AJ369" s="530">
        <f t="shared" si="275"/>
        <v>-7967.769999999844</v>
      </c>
      <c r="AK369" s="530">
        <f t="shared" si="246"/>
        <v>-41434.889999999701</v>
      </c>
      <c r="AL369" s="287">
        <f t="shared" si="256"/>
        <v>73284.849999999773</v>
      </c>
      <c r="AM369" s="428">
        <f t="shared" si="267"/>
        <v>25</v>
      </c>
      <c r="AN369" s="14">
        <f t="shared" si="247"/>
        <v>749.98</v>
      </c>
      <c r="AO369" s="14">
        <f t="shared" si="276"/>
        <v>106881.29999999993</v>
      </c>
      <c r="AP369" s="14">
        <f t="shared" si="248"/>
        <v>959.90000000000009</v>
      </c>
      <c r="AS369" s="14">
        <f t="shared" si="262"/>
        <v>749.98</v>
      </c>
      <c r="AT369" s="14">
        <f t="shared" si="268"/>
        <v>232763.22000000119</v>
      </c>
      <c r="AU369" s="287">
        <f t="shared" si="269"/>
        <v>2500.41434221483</v>
      </c>
      <c r="AV369" s="287">
        <f t="shared" si="270"/>
        <v>521674.71700666379</v>
      </c>
    </row>
    <row r="370" spans="1:48" x14ac:dyDescent="0.25">
      <c r="A370" s="519">
        <f t="shared" si="234"/>
        <v>55059</v>
      </c>
      <c r="B370" s="287">
        <f t="shared" si="263"/>
        <v>3900.9799999999927</v>
      </c>
      <c r="C370" s="14">
        <f t="shared" si="257"/>
        <v>786.54</v>
      </c>
      <c r="D370" s="14">
        <f t="shared" si="271"/>
        <v>776.79</v>
      </c>
      <c r="E370" s="14">
        <f t="shared" si="258"/>
        <v>9.75</v>
      </c>
      <c r="F370" s="14">
        <f t="shared" si="235"/>
        <v>134.16999999999999</v>
      </c>
      <c r="G370" s="14">
        <f t="shared" si="232"/>
        <v>188.55</v>
      </c>
      <c r="H370" s="14">
        <f t="shared" si="233"/>
        <v>1109.26</v>
      </c>
      <c r="I370" s="287">
        <f t="shared" si="236"/>
        <v>183900.2099999999</v>
      </c>
      <c r="J370" s="287">
        <f t="shared" si="237"/>
        <v>96574.429999999906</v>
      </c>
      <c r="K370" s="287">
        <f t="shared" si="238"/>
        <v>3124.1899999999928</v>
      </c>
      <c r="L370" s="428">
        <f t="shared" si="277"/>
        <v>25</v>
      </c>
      <c r="M370" s="428">
        <f t="shared" si="264"/>
        <v>311</v>
      </c>
      <c r="N370" s="287">
        <f t="shared" si="265"/>
        <v>65317.079999999929</v>
      </c>
      <c r="O370" s="287">
        <f t="shared" si="249"/>
        <v>1536.52</v>
      </c>
      <c r="P370" s="287">
        <f t="shared" si="272"/>
        <v>1155.5</v>
      </c>
      <c r="Q370" s="287">
        <f t="shared" si="250"/>
        <v>381.02</v>
      </c>
      <c r="R370" s="287">
        <f t="shared" si="241"/>
        <v>134.16999999999999</v>
      </c>
      <c r="S370" s="287">
        <f t="shared" si="242"/>
        <v>188.55</v>
      </c>
      <c r="T370" s="287">
        <f t="shared" si="239"/>
        <v>1859.24</v>
      </c>
      <c r="U370" s="287">
        <f t="shared" si="273"/>
        <v>166788.41999999993</v>
      </c>
      <c r="V370" s="287">
        <f t="shared" si="274"/>
        <v>312605.81999999983</v>
      </c>
      <c r="W370" s="287">
        <f t="shared" si="240"/>
        <v>64161.579999999929</v>
      </c>
      <c r="X370" s="519">
        <f t="shared" si="266"/>
        <v>55059</v>
      </c>
      <c r="Y370" s="287">
        <f t="shared" si="251"/>
        <v>73284.849999999773</v>
      </c>
      <c r="Z370" s="511">
        <f t="shared" si="259"/>
        <v>7.0000000000000007E-2</v>
      </c>
      <c r="AA370" s="287">
        <f t="shared" si="260"/>
        <v>1746.44</v>
      </c>
      <c r="AB370" s="287">
        <f t="shared" si="252"/>
        <v>1318.95</v>
      </c>
      <c r="AC370" s="287">
        <f t="shared" si="261"/>
        <v>427.49</v>
      </c>
      <c r="AD370" s="287">
        <f t="shared" si="243"/>
        <v>134.16999999999999</v>
      </c>
      <c r="AE370" s="287">
        <f t="shared" si="244"/>
        <v>188.55</v>
      </c>
      <c r="AF370" s="287">
        <f t="shared" si="253"/>
        <v>2069.1600000000003</v>
      </c>
      <c r="AG370" s="287">
        <f t="shared" si="254"/>
        <v>203982.90000000008</v>
      </c>
      <c r="AH370" s="287">
        <f t="shared" si="255"/>
        <v>309088.37999999971</v>
      </c>
      <c r="AI370" s="530">
        <f t="shared" si="245"/>
        <v>-33677.039999999855</v>
      </c>
      <c r="AJ370" s="530">
        <f t="shared" si="275"/>
        <v>-7804.3199999998469</v>
      </c>
      <c r="AK370" s="530">
        <f t="shared" si="246"/>
        <v>-41481.359999999702</v>
      </c>
      <c r="AL370" s="287">
        <f t="shared" si="256"/>
        <v>71965.899999999776</v>
      </c>
      <c r="AM370" s="428">
        <f t="shared" si="267"/>
        <v>25</v>
      </c>
      <c r="AN370" s="14">
        <f t="shared" si="247"/>
        <v>749.98</v>
      </c>
      <c r="AO370" s="14">
        <f t="shared" si="276"/>
        <v>106502.58999999997</v>
      </c>
      <c r="AP370" s="14">
        <f t="shared" si="248"/>
        <v>959.90000000000009</v>
      </c>
      <c r="AS370" s="14">
        <f t="shared" si="262"/>
        <v>749.98</v>
      </c>
      <c r="AT370" s="14">
        <f t="shared" si="268"/>
        <v>233513.2000000012</v>
      </c>
      <c r="AU370" s="287">
        <f t="shared" si="269"/>
        <v>2508.7490566888796</v>
      </c>
      <c r="AV370" s="287">
        <f t="shared" si="270"/>
        <v>524183.46606335265</v>
      </c>
    </row>
    <row r="371" spans="1:48" x14ac:dyDescent="0.25">
      <c r="A371" s="519">
        <f t="shared" si="234"/>
        <v>55089</v>
      </c>
      <c r="B371" s="287">
        <f t="shared" si="263"/>
        <v>3124.1899999999928</v>
      </c>
      <c r="C371" s="14">
        <f t="shared" si="257"/>
        <v>786.54</v>
      </c>
      <c r="D371" s="14">
        <f t="shared" si="271"/>
        <v>778.73</v>
      </c>
      <c r="E371" s="14">
        <f t="shared" si="258"/>
        <v>7.81</v>
      </c>
      <c r="F371" s="14">
        <f t="shared" si="235"/>
        <v>134.16999999999999</v>
      </c>
      <c r="G371" s="14">
        <f t="shared" si="232"/>
        <v>188.55</v>
      </c>
      <c r="H371" s="14">
        <f t="shared" si="233"/>
        <v>1109.26</v>
      </c>
      <c r="I371" s="287">
        <f t="shared" si="236"/>
        <v>184678.93999999992</v>
      </c>
      <c r="J371" s="287">
        <f t="shared" si="237"/>
        <v>96582.239999999903</v>
      </c>
      <c r="K371" s="287">
        <f t="shared" si="238"/>
        <v>2345.4599999999928</v>
      </c>
      <c r="L371" s="428">
        <f t="shared" si="277"/>
        <v>26</v>
      </c>
      <c r="M371" s="428">
        <f t="shared" si="264"/>
        <v>312</v>
      </c>
      <c r="N371" s="287">
        <f t="shared" si="265"/>
        <v>64161.579999999929</v>
      </c>
      <c r="O371" s="287">
        <f t="shared" si="249"/>
        <v>1536.52</v>
      </c>
      <c r="P371" s="287">
        <f t="shared" si="272"/>
        <v>1162.24</v>
      </c>
      <c r="Q371" s="287">
        <f t="shared" si="250"/>
        <v>374.28</v>
      </c>
      <c r="R371" s="287">
        <f t="shared" si="241"/>
        <v>134.16999999999999</v>
      </c>
      <c r="S371" s="287">
        <f t="shared" si="242"/>
        <v>188.55</v>
      </c>
      <c r="T371" s="287">
        <f t="shared" si="239"/>
        <v>1859.24</v>
      </c>
      <c r="U371" s="287">
        <f t="shared" si="273"/>
        <v>167950.65999999992</v>
      </c>
      <c r="V371" s="287">
        <f t="shared" si="274"/>
        <v>312980.09999999986</v>
      </c>
      <c r="W371" s="287">
        <f t="shared" si="240"/>
        <v>62999.339999999931</v>
      </c>
      <c r="X371" s="519">
        <f t="shared" si="266"/>
        <v>55089</v>
      </c>
      <c r="Y371" s="287">
        <f t="shared" si="251"/>
        <v>71965.899999999776</v>
      </c>
      <c r="Z371" s="511">
        <f t="shared" si="259"/>
        <v>7.0000000000000007E-2</v>
      </c>
      <c r="AA371" s="287">
        <f t="shared" si="260"/>
        <v>1746.44</v>
      </c>
      <c r="AB371" s="287">
        <f t="shared" si="252"/>
        <v>1326.64</v>
      </c>
      <c r="AC371" s="287">
        <f t="shared" si="261"/>
        <v>419.8</v>
      </c>
      <c r="AD371" s="287">
        <f t="shared" si="243"/>
        <v>134.16999999999999</v>
      </c>
      <c r="AE371" s="287">
        <f t="shared" si="244"/>
        <v>188.55</v>
      </c>
      <c r="AF371" s="287">
        <f t="shared" si="253"/>
        <v>2069.1600000000003</v>
      </c>
      <c r="AG371" s="287">
        <f t="shared" si="254"/>
        <v>205309.5400000001</v>
      </c>
      <c r="AH371" s="287">
        <f t="shared" si="255"/>
        <v>309508.1799999997</v>
      </c>
      <c r="AI371" s="530">
        <f t="shared" si="245"/>
        <v>-33886.959999999854</v>
      </c>
      <c r="AJ371" s="530">
        <f t="shared" si="275"/>
        <v>-7639.9199999998455</v>
      </c>
      <c r="AK371" s="530">
        <f t="shared" si="246"/>
        <v>-41526.879999999699</v>
      </c>
      <c r="AL371" s="287">
        <f t="shared" si="256"/>
        <v>70639.259999999776</v>
      </c>
      <c r="AM371" s="428">
        <f t="shared" si="267"/>
        <v>26</v>
      </c>
      <c r="AN371" s="14">
        <f t="shared" si="247"/>
        <v>749.98</v>
      </c>
      <c r="AO371" s="14">
        <f t="shared" si="276"/>
        <v>106119.07999999996</v>
      </c>
      <c r="AP371" s="14">
        <f t="shared" si="248"/>
        <v>959.90000000000009</v>
      </c>
      <c r="AS371" s="14">
        <f t="shared" si="262"/>
        <v>749.98</v>
      </c>
      <c r="AT371" s="14">
        <f t="shared" si="268"/>
        <v>234263.18000000122</v>
      </c>
      <c r="AU371" s="287">
        <f t="shared" si="269"/>
        <v>2517.1115535445088</v>
      </c>
      <c r="AV371" s="287">
        <f t="shared" si="270"/>
        <v>526700.57761689718</v>
      </c>
    </row>
    <row r="372" spans="1:48" x14ac:dyDescent="0.25">
      <c r="A372" s="519">
        <f t="shared" si="234"/>
        <v>55119</v>
      </c>
      <c r="B372" s="287">
        <f t="shared" si="263"/>
        <v>2345.4599999999928</v>
      </c>
      <c r="C372" s="14">
        <f t="shared" si="257"/>
        <v>786.54</v>
      </c>
      <c r="D372" s="14">
        <f t="shared" si="271"/>
        <v>780.68</v>
      </c>
      <c r="E372" s="14">
        <f t="shared" si="258"/>
        <v>5.86</v>
      </c>
      <c r="F372" s="14">
        <f t="shared" si="235"/>
        <v>134.16999999999999</v>
      </c>
      <c r="G372" s="14">
        <f t="shared" si="232"/>
        <v>188.55</v>
      </c>
      <c r="H372" s="14">
        <f t="shared" si="233"/>
        <v>1109.26</v>
      </c>
      <c r="I372" s="287">
        <f t="shared" si="236"/>
        <v>185459.61999999991</v>
      </c>
      <c r="J372" s="287">
        <f t="shared" si="237"/>
        <v>96588.099999999904</v>
      </c>
      <c r="K372" s="287">
        <f t="shared" si="238"/>
        <v>1564.7799999999929</v>
      </c>
      <c r="L372" s="428">
        <f t="shared" si="277"/>
        <v>26</v>
      </c>
      <c r="M372" s="428">
        <f t="shared" si="264"/>
        <v>313</v>
      </c>
      <c r="N372" s="287">
        <f t="shared" si="265"/>
        <v>62999.339999999931</v>
      </c>
      <c r="O372" s="287">
        <f t="shared" si="249"/>
        <v>1536.52</v>
      </c>
      <c r="P372" s="287">
        <f t="shared" si="272"/>
        <v>1169.02</v>
      </c>
      <c r="Q372" s="287">
        <f t="shared" si="250"/>
        <v>367.5</v>
      </c>
      <c r="R372" s="287">
        <f t="shared" si="241"/>
        <v>134.16999999999999</v>
      </c>
      <c r="S372" s="287">
        <f t="shared" si="242"/>
        <v>188.55</v>
      </c>
      <c r="T372" s="287">
        <f t="shared" si="239"/>
        <v>1859.24</v>
      </c>
      <c r="U372" s="287">
        <f t="shared" si="273"/>
        <v>169119.67999999991</v>
      </c>
      <c r="V372" s="287">
        <f t="shared" si="274"/>
        <v>313347.59999999986</v>
      </c>
      <c r="W372" s="287">
        <f t="shared" si="240"/>
        <v>61830.319999999934</v>
      </c>
      <c r="X372" s="519">
        <f t="shared" si="266"/>
        <v>55119</v>
      </c>
      <c r="Y372" s="287">
        <f t="shared" si="251"/>
        <v>70639.259999999776</v>
      </c>
      <c r="Z372" s="511">
        <f t="shared" si="259"/>
        <v>7.0000000000000007E-2</v>
      </c>
      <c r="AA372" s="287">
        <f t="shared" si="260"/>
        <v>1746.44</v>
      </c>
      <c r="AB372" s="287">
        <f t="shared" si="252"/>
        <v>1334.38</v>
      </c>
      <c r="AC372" s="287">
        <f t="shared" si="261"/>
        <v>412.06</v>
      </c>
      <c r="AD372" s="287">
        <f t="shared" si="243"/>
        <v>134.16999999999999</v>
      </c>
      <c r="AE372" s="287">
        <f t="shared" si="244"/>
        <v>188.55</v>
      </c>
      <c r="AF372" s="287">
        <f t="shared" si="253"/>
        <v>2069.1600000000003</v>
      </c>
      <c r="AG372" s="287">
        <f t="shared" si="254"/>
        <v>206643.9200000001</v>
      </c>
      <c r="AH372" s="287">
        <f t="shared" si="255"/>
        <v>309920.2399999997</v>
      </c>
      <c r="AI372" s="530">
        <f t="shared" si="245"/>
        <v>-34096.879999999852</v>
      </c>
      <c r="AJ372" s="530">
        <f t="shared" si="275"/>
        <v>-7474.5599999998376</v>
      </c>
      <c r="AK372" s="530">
        <f t="shared" si="246"/>
        <v>-41571.439999999689</v>
      </c>
      <c r="AL372" s="287">
        <f t="shared" si="256"/>
        <v>69304.879999999772</v>
      </c>
      <c r="AM372" s="428">
        <f t="shared" si="267"/>
        <v>26</v>
      </c>
      <c r="AN372" s="14">
        <f t="shared" si="247"/>
        <v>749.98</v>
      </c>
      <c r="AO372" s="14">
        <f t="shared" si="276"/>
        <v>105730.74000000002</v>
      </c>
      <c r="AP372" s="14">
        <f t="shared" si="248"/>
        <v>959.90000000000009</v>
      </c>
      <c r="AS372" s="14">
        <f t="shared" si="262"/>
        <v>749.98</v>
      </c>
      <c r="AT372" s="14">
        <f t="shared" si="268"/>
        <v>235013.16000000123</v>
      </c>
      <c r="AU372" s="287">
        <f t="shared" si="269"/>
        <v>2525.5019253896576</v>
      </c>
      <c r="AV372" s="287">
        <f t="shared" si="270"/>
        <v>529226.07954228681</v>
      </c>
    </row>
    <row r="373" spans="1:48" x14ac:dyDescent="0.25">
      <c r="A373" s="519">
        <f t="shared" si="234"/>
        <v>55149</v>
      </c>
      <c r="B373" s="287">
        <f t="shared" si="263"/>
        <v>1564.7799999999929</v>
      </c>
      <c r="C373" s="14">
        <f t="shared" si="257"/>
        <v>786.54</v>
      </c>
      <c r="D373" s="14">
        <f t="shared" si="271"/>
        <v>782.63</v>
      </c>
      <c r="E373" s="14">
        <f t="shared" si="258"/>
        <v>3.91</v>
      </c>
      <c r="F373" s="14">
        <f t="shared" si="235"/>
        <v>134.16999999999999</v>
      </c>
      <c r="G373" s="14">
        <f t="shared" si="232"/>
        <v>188.55</v>
      </c>
      <c r="H373" s="14">
        <f t="shared" si="233"/>
        <v>1109.26</v>
      </c>
      <c r="I373" s="287">
        <f t="shared" si="236"/>
        <v>186242.24999999991</v>
      </c>
      <c r="J373" s="287">
        <f t="shared" si="237"/>
        <v>96592.009999999907</v>
      </c>
      <c r="K373" s="287">
        <f t="shared" si="238"/>
        <v>782.14999999999293</v>
      </c>
      <c r="L373" s="428">
        <f t="shared" si="277"/>
        <v>26</v>
      </c>
      <c r="M373" s="428">
        <f t="shared" si="264"/>
        <v>314</v>
      </c>
      <c r="N373" s="287">
        <f t="shared" si="265"/>
        <v>61830.319999999934</v>
      </c>
      <c r="O373" s="287">
        <f t="shared" si="249"/>
        <v>1536.52</v>
      </c>
      <c r="P373" s="287">
        <f t="shared" si="272"/>
        <v>1175.8399999999999</v>
      </c>
      <c r="Q373" s="287">
        <f t="shared" si="250"/>
        <v>360.68</v>
      </c>
      <c r="R373" s="287">
        <f t="shared" si="241"/>
        <v>134.16999999999999</v>
      </c>
      <c r="S373" s="287">
        <f t="shared" si="242"/>
        <v>188.55</v>
      </c>
      <c r="T373" s="287">
        <f t="shared" si="239"/>
        <v>1859.24</v>
      </c>
      <c r="U373" s="287">
        <f t="shared" si="273"/>
        <v>170295.5199999999</v>
      </c>
      <c r="V373" s="287">
        <f t="shared" si="274"/>
        <v>313708.27999999985</v>
      </c>
      <c r="W373" s="287">
        <f t="shared" si="240"/>
        <v>60654.479999999938</v>
      </c>
      <c r="X373" s="519">
        <f t="shared" si="266"/>
        <v>55149</v>
      </c>
      <c r="Y373" s="287">
        <f t="shared" si="251"/>
        <v>69304.879999999772</v>
      </c>
      <c r="Z373" s="511">
        <f t="shared" si="259"/>
        <v>7.0000000000000007E-2</v>
      </c>
      <c r="AA373" s="287">
        <f t="shared" si="260"/>
        <v>1746.44</v>
      </c>
      <c r="AB373" s="287">
        <f t="shared" si="252"/>
        <v>1342.16</v>
      </c>
      <c r="AC373" s="287">
        <f t="shared" si="261"/>
        <v>404.28</v>
      </c>
      <c r="AD373" s="287">
        <f t="shared" si="243"/>
        <v>134.16999999999999</v>
      </c>
      <c r="AE373" s="287">
        <f t="shared" si="244"/>
        <v>188.55</v>
      </c>
      <c r="AF373" s="287">
        <f t="shared" si="253"/>
        <v>2069.1600000000003</v>
      </c>
      <c r="AG373" s="287">
        <f t="shared" si="254"/>
        <v>207986.0800000001</v>
      </c>
      <c r="AH373" s="287">
        <f t="shared" si="255"/>
        <v>310324.51999999973</v>
      </c>
      <c r="AI373" s="530">
        <f t="shared" si="245"/>
        <v>-34306.79999999985</v>
      </c>
      <c r="AJ373" s="530">
        <f t="shared" si="275"/>
        <v>-7308.2399999998306</v>
      </c>
      <c r="AK373" s="530">
        <f t="shared" si="246"/>
        <v>-41615.039999999681</v>
      </c>
      <c r="AL373" s="287">
        <f t="shared" si="256"/>
        <v>67962.719999999768</v>
      </c>
      <c r="AM373" s="428">
        <f t="shared" si="267"/>
        <v>26</v>
      </c>
      <c r="AN373" s="14">
        <f t="shared" si="247"/>
        <v>749.98</v>
      </c>
      <c r="AO373" s="14">
        <f t="shared" si="276"/>
        <v>105337.53000000003</v>
      </c>
      <c r="AP373" s="14">
        <f t="shared" si="248"/>
        <v>959.90000000000009</v>
      </c>
      <c r="AS373" s="14">
        <f t="shared" si="262"/>
        <v>749.98</v>
      </c>
      <c r="AT373" s="14">
        <f t="shared" si="268"/>
        <v>235763.14000000124</v>
      </c>
      <c r="AU373" s="287">
        <f t="shared" si="269"/>
        <v>2533.920265140956</v>
      </c>
      <c r="AV373" s="287">
        <f t="shared" si="270"/>
        <v>531759.99980742775</v>
      </c>
    </row>
    <row r="374" spans="1:48" ht="15.75" thickBot="1" x14ac:dyDescent="0.3">
      <c r="A374" s="522" t="str">
        <f t="shared" si="234"/>
        <v xml:space="preserve"> </v>
      </c>
      <c r="B374" s="348">
        <f>IF(+K373&lt;0,0,+K373)</f>
        <v>782.14999999999293</v>
      </c>
      <c r="C374" s="21">
        <f t="shared" si="257"/>
        <v>786.54</v>
      </c>
      <c r="D374" s="21">
        <f t="shared" si="271"/>
        <v>784.57999999999993</v>
      </c>
      <c r="E374" s="21">
        <f t="shared" si="258"/>
        <v>1.96</v>
      </c>
      <c r="F374" s="21">
        <f t="shared" si="235"/>
        <v>134.16999999999999</v>
      </c>
      <c r="G374" s="21">
        <f t="shared" si="232"/>
        <v>188.55</v>
      </c>
      <c r="H374" s="21">
        <f t="shared" si="233"/>
        <v>1109.26</v>
      </c>
      <c r="I374" s="348">
        <f t="shared" si="236"/>
        <v>187026.8299999999</v>
      </c>
      <c r="J374" s="348">
        <f t="shared" si="237"/>
        <v>96593.969999999914</v>
      </c>
      <c r="K374" s="348">
        <f t="shared" si="238"/>
        <v>-2.4300000000069986</v>
      </c>
      <c r="L374" s="429">
        <f t="shared" si="277"/>
        <v>26</v>
      </c>
      <c r="M374" s="429">
        <f t="shared" si="264"/>
        <v>315</v>
      </c>
      <c r="N374" s="348">
        <f t="shared" si="265"/>
        <v>60654.479999999938</v>
      </c>
      <c r="O374" s="348">
        <f t="shared" si="249"/>
        <v>1536.52</v>
      </c>
      <c r="P374" s="348">
        <f t="shared" si="272"/>
        <v>1182.7</v>
      </c>
      <c r="Q374" s="348">
        <f t="shared" si="250"/>
        <v>353.82</v>
      </c>
      <c r="R374" s="348">
        <f t="shared" si="241"/>
        <v>134.16999999999999</v>
      </c>
      <c r="S374" s="348">
        <f t="shared" si="242"/>
        <v>188.55</v>
      </c>
      <c r="T374" s="348">
        <f t="shared" si="239"/>
        <v>1859.24</v>
      </c>
      <c r="U374" s="348">
        <f t="shared" si="273"/>
        <v>171478.21999999991</v>
      </c>
      <c r="V374" s="348">
        <f t="shared" si="274"/>
        <v>314062.09999999986</v>
      </c>
      <c r="W374" s="348">
        <f t="shared" si="240"/>
        <v>59471.779999999941</v>
      </c>
      <c r="X374" s="522" t="str">
        <f t="shared" si="266"/>
        <v xml:space="preserve"> </v>
      </c>
      <c r="Y374" s="348">
        <f t="shared" si="251"/>
        <v>67962.719999999768</v>
      </c>
      <c r="Z374" s="512">
        <f t="shared" si="259"/>
        <v>7.0000000000000007E-2</v>
      </c>
      <c r="AA374" s="348">
        <f t="shared" si="260"/>
        <v>1746.44</v>
      </c>
      <c r="AB374" s="348">
        <f t="shared" si="252"/>
        <v>1349.99</v>
      </c>
      <c r="AC374" s="348">
        <f t="shared" si="261"/>
        <v>396.45</v>
      </c>
      <c r="AD374" s="348">
        <f t="shared" si="243"/>
        <v>134.16999999999999</v>
      </c>
      <c r="AE374" s="348">
        <f t="shared" si="244"/>
        <v>188.55</v>
      </c>
      <c r="AF374" s="348">
        <f t="shared" si="253"/>
        <v>2069.1600000000003</v>
      </c>
      <c r="AG374" s="348">
        <f t="shared" si="254"/>
        <v>209336.07000000009</v>
      </c>
      <c r="AH374" s="348">
        <f t="shared" si="255"/>
        <v>310720.96999999974</v>
      </c>
      <c r="AI374" s="531">
        <f t="shared" si="245"/>
        <v>-34516.719999999848</v>
      </c>
      <c r="AJ374" s="531">
        <f t="shared" si="275"/>
        <v>-7140.9499999998225</v>
      </c>
      <c r="AK374" s="530">
        <f t="shared" si="246"/>
        <v>-41657.669999999671</v>
      </c>
      <c r="AL374" s="348">
        <f t="shared" si="256"/>
        <v>66612.729999999763</v>
      </c>
      <c r="AM374" s="429">
        <f t="shared" si="267"/>
        <v>26</v>
      </c>
      <c r="AN374" s="21">
        <f t="shared" si="247"/>
        <v>749.98</v>
      </c>
      <c r="AO374" s="21">
        <f t="shared" si="276"/>
        <v>104939.40999999997</v>
      </c>
      <c r="AP374" s="21">
        <f t="shared" si="248"/>
        <v>959.90000000000009</v>
      </c>
      <c r="AQ374" s="21"/>
      <c r="AR374" s="23"/>
      <c r="AS374" s="21">
        <f t="shared" si="262"/>
        <v>749.98</v>
      </c>
      <c r="AT374" s="21">
        <f t="shared" si="268"/>
        <v>236513.12000000125</v>
      </c>
      <c r="AU374" s="348">
        <f t="shared" si="269"/>
        <v>2542.3666660247595</v>
      </c>
      <c r="AV374" s="348">
        <f t="shared" si="270"/>
        <v>534302.36647345254</v>
      </c>
    </row>
    <row r="375" spans="1:48" x14ac:dyDescent="0.25">
      <c r="A375" s="519" t="str">
        <f t="shared" si="234"/>
        <v xml:space="preserve"> </v>
      </c>
      <c r="B375" s="287">
        <f>IF(+$K374&lt;0,0,+K374)</f>
        <v>0</v>
      </c>
      <c r="C375" s="14">
        <f t="shared" si="257"/>
        <v>0</v>
      </c>
      <c r="D375" s="14">
        <f t="shared" si="271"/>
        <v>0</v>
      </c>
      <c r="E375" s="14">
        <f t="shared" si="258"/>
        <v>0</v>
      </c>
      <c r="F375" s="14">
        <f t="shared" si="235"/>
        <v>134.16999999999999</v>
      </c>
      <c r="G375" s="14">
        <f t="shared" si="232"/>
        <v>188.55</v>
      </c>
      <c r="H375" s="14">
        <f t="shared" si="233"/>
        <v>322.72000000000003</v>
      </c>
      <c r="I375" s="287">
        <f t="shared" si="236"/>
        <v>187026.8299999999</v>
      </c>
      <c r="J375" s="287">
        <f t="shared" si="237"/>
        <v>96593.969999999914</v>
      </c>
      <c r="K375" s="287">
        <f t="shared" si="238"/>
        <v>0</v>
      </c>
      <c r="L375" s="428">
        <f t="shared" si="277"/>
        <v>26</v>
      </c>
      <c r="M375" s="428">
        <f t="shared" si="264"/>
        <v>316</v>
      </c>
      <c r="N375" s="287">
        <f t="shared" si="265"/>
        <v>59471.779999999941</v>
      </c>
      <c r="O375" s="287">
        <f t="shared" si="249"/>
        <v>1536.52</v>
      </c>
      <c r="P375" s="287">
        <f t="shared" si="272"/>
        <v>1189.5999999999999</v>
      </c>
      <c r="Q375" s="287">
        <f t="shared" si="250"/>
        <v>346.92</v>
      </c>
      <c r="R375" s="287">
        <f t="shared" si="241"/>
        <v>134.16999999999999</v>
      </c>
      <c r="S375" s="287">
        <f t="shared" si="242"/>
        <v>188.55</v>
      </c>
      <c r="T375" s="287">
        <f t="shared" si="239"/>
        <v>1859.24</v>
      </c>
      <c r="U375" s="287">
        <f t="shared" si="273"/>
        <v>172667.81999999992</v>
      </c>
      <c r="V375" s="287">
        <f t="shared" si="274"/>
        <v>314409.01999999984</v>
      </c>
      <c r="W375" s="287">
        <f t="shared" si="240"/>
        <v>58282.179999999942</v>
      </c>
      <c r="X375" s="519" t="str">
        <f t="shared" si="266"/>
        <v xml:space="preserve"> </v>
      </c>
      <c r="Y375" s="287">
        <f t="shared" si="251"/>
        <v>66612.729999999763</v>
      </c>
      <c r="Z375" s="511">
        <f t="shared" si="259"/>
        <v>7.0000000000000007E-2</v>
      </c>
      <c r="AA375" s="287">
        <f t="shared" si="260"/>
        <v>1746.44</v>
      </c>
      <c r="AB375" s="287">
        <f t="shared" si="252"/>
        <v>1357.8700000000001</v>
      </c>
      <c r="AC375" s="287">
        <f t="shared" si="261"/>
        <v>388.57</v>
      </c>
      <c r="AD375" s="287">
        <f t="shared" si="243"/>
        <v>134.16999999999999</v>
      </c>
      <c r="AE375" s="287">
        <f t="shared" si="244"/>
        <v>188.55</v>
      </c>
      <c r="AF375" s="287">
        <f t="shared" si="253"/>
        <v>2069.1600000000003</v>
      </c>
      <c r="AG375" s="287">
        <f t="shared" si="254"/>
        <v>210693.94000000009</v>
      </c>
      <c r="AH375" s="287">
        <f t="shared" si="255"/>
        <v>311109.53999999975</v>
      </c>
      <c r="AI375" s="530">
        <f t="shared" si="245"/>
        <v>-34726.639999999847</v>
      </c>
      <c r="AJ375" s="530">
        <f t="shared" si="275"/>
        <v>-6972.6799999998184</v>
      </c>
      <c r="AK375" s="530">
        <f t="shared" si="246"/>
        <v>-41699.319999999665</v>
      </c>
      <c r="AL375" s="287">
        <f t="shared" si="256"/>
        <v>65254.85999999976</v>
      </c>
      <c r="AM375" s="428">
        <f t="shared" si="267"/>
        <v>26</v>
      </c>
      <c r="AN375" s="14">
        <f t="shared" si="247"/>
        <v>1536.52</v>
      </c>
      <c r="AO375" s="14">
        <f t="shared" si="276"/>
        <v>103749.80999999997</v>
      </c>
      <c r="AP375" s="14">
        <f t="shared" si="248"/>
        <v>1746.44</v>
      </c>
      <c r="AS375" s="14">
        <f t="shared" si="262"/>
        <v>1536.52</v>
      </c>
      <c r="AT375" s="14">
        <f t="shared" si="268"/>
        <v>238049.64000000124</v>
      </c>
      <c r="AU375" s="287">
        <f t="shared" si="269"/>
        <v>2550.841221578175</v>
      </c>
      <c r="AV375" s="287">
        <f t="shared" si="270"/>
        <v>536853.20769503072</v>
      </c>
    </row>
    <row r="376" spans="1:48" x14ac:dyDescent="0.25">
      <c r="A376" s="519" t="str">
        <f t="shared" si="234"/>
        <v xml:space="preserve"> </v>
      </c>
      <c r="B376" s="287">
        <f t="shared" ref="B376:B439" si="278">IF(+K375&lt;0,0,+K375)</f>
        <v>0</v>
      </c>
      <c r="C376" s="14">
        <f t="shared" si="257"/>
        <v>0</v>
      </c>
      <c r="D376" s="14">
        <f t="shared" si="271"/>
        <v>0</v>
      </c>
      <c r="E376" s="14">
        <f t="shared" si="258"/>
        <v>0</v>
      </c>
      <c r="F376" s="14">
        <f t="shared" si="235"/>
        <v>134.16999999999999</v>
      </c>
      <c r="G376" s="14">
        <f t="shared" si="232"/>
        <v>188.55</v>
      </c>
      <c r="H376" s="14">
        <f t="shared" si="233"/>
        <v>322.72000000000003</v>
      </c>
      <c r="I376" s="287">
        <f t="shared" si="236"/>
        <v>187026.8299999999</v>
      </c>
      <c r="J376" s="287">
        <f t="shared" si="237"/>
        <v>96593.969999999914</v>
      </c>
      <c r="K376" s="287">
        <f t="shared" si="238"/>
        <v>0</v>
      </c>
      <c r="L376" s="428">
        <f t="shared" si="277"/>
        <v>26</v>
      </c>
      <c r="M376" s="428">
        <f t="shared" si="264"/>
        <v>317</v>
      </c>
      <c r="N376" s="287">
        <f t="shared" si="265"/>
        <v>58282.179999999942</v>
      </c>
      <c r="O376" s="287">
        <f t="shared" si="249"/>
        <v>1536.52</v>
      </c>
      <c r="P376" s="287">
        <f t="shared" si="272"/>
        <v>1196.54</v>
      </c>
      <c r="Q376" s="287">
        <f t="shared" si="250"/>
        <v>339.98</v>
      </c>
      <c r="R376" s="287">
        <f t="shared" si="241"/>
        <v>134.16999999999999</v>
      </c>
      <c r="S376" s="287">
        <f t="shared" si="242"/>
        <v>188.55</v>
      </c>
      <c r="T376" s="287">
        <f t="shared" si="239"/>
        <v>1859.24</v>
      </c>
      <c r="U376" s="287">
        <f t="shared" si="273"/>
        <v>173864.35999999993</v>
      </c>
      <c r="V376" s="287">
        <f t="shared" si="274"/>
        <v>314748.99999999983</v>
      </c>
      <c r="W376" s="287">
        <f t="shared" si="240"/>
        <v>57085.639999999941</v>
      </c>
      <c r="X376" s="519" t="str">
        <f t="shared" si="266"/>
        <v xml:space="preserve"> </v>
      </c>
      <c r="Y376" s="287">
        <f t="shared" si="251"/>
        <v>65254.85999999976</v>
      </c>
      <c r="Z376" s="511">
        <f t="shared" si="259"/>
        <v>7.0000000000000007E-2</v>
      </c>
      <c r="AA376" s="287">
        <f t="shared" si="260"/>
        <v>1746.44</v>
      </c>
      <c r="AB376" s="287">
        <f t="shared" si="252"/>
        <v>1365.79</v>
      </c>
      <c r="AC376" s="287">
        <f t="shared" si="261"/>
        <v>380.65</v>
      </c>
      <c r="AD376" s="287">
        <f t="shared" si="243"/>
        <v>134.16999999999999</v>
      </c>
      <c r="AE376" s="287">
        <f t="shared" si="244"/>
        <v>188.55</v>
      </c>
      <c r="AF376" s="287">
        <f t="shared" si="253"/>
        <v>2069.1600000000003</v>
      </c>
      <c r="AG376" s="287">
        <f t="shared" si="254"/>
        <v>212059.7300000001</v>
      </c>
      <c r="AH376" s="287">
        <f t="shared" si="255"/>
        <v>311490.18999999977</v>
      </c>
      <c r="AI376" s="530">
        <f t="shared" si="245"/>
        <v>-34936.559999999845</v>
      </c>
      <c r="AJ376" s="530">
        <f t="shared" si="275"/>
        <v>-6803.4299999998184</v>
      </c>
      <c r="AK376" s="530">
        <f t="shared" si="246"/>
        <v>-41739.989999999663</v>
      </c>
      <c r="AL376" s="287">
        <f t="shared" si="256"/>
        <v>63889.06999999976</v>
      </c>
      <c r="AM376" s="428">
        <f t="shared" si="267"/>
        <v>26</v>
      </c>
      <c r="AN376" s="14">
        <f t="shared" si="247"/>
        <v>1536.52</v>
      </c>
      <c r="AO376" s="14">
        <f t="shared" si="276"/>
        <v>102553.26999999996</v>
      </c>
      <c r="AP376" s="14">
        <f t="shared" si="248"/>
        <v>1746.44</v>
      </c>
      <c r="AS376" s="14">
        <f t="shared" si="262"/>
        <v>1536.52</v>
      </c>
      <c r="AT376" s="14">
        <f t="shared" si="268"/>
        <v>239586.16000000123</v>
      </c>
      <c r="AU376" s="287">
        <f t="shared" si="269"/>
        <v>2559.3440256501026</v>
      </c>
      <c r="AV376" s="287">
        <f t="shared" si="270"/>
        <v>539412.55172068079</v>
      </c>
    </row>
    <row r="377" spans="1:48" x14ac:dyDescent="0.25">
      <c r="A377" s="519" t="str">
        <f t="shared" si="234"/>
        <v xml:space="preserve"> </v>
      </c>
      <c r="B377" s="287">
        <f t="shared" si="278"/>
        <v>0</v>
      </c>
      <c r="C377" s="14">
        <f t="shared" si="257"/>
        <v>0</v>
      </c>
      <c r="D377" s="14">
        <f t="shared" si="271"/>
        <v>0</v>
      </c>
      <c r="E377" s="14">
        <f t="shared" si="258"/>
        <v>0</v>
      </c>
      <c r="F377" s="14">
        <f t="shared" si="235"/>
        <v>134.16999999999999</v>
      </c>
      <c r="G377" s="14">
        <f t="shared" si="232"/>
        <v>188.55</v>
      </c>
      <c r="H377" s="14">
        <f t="shared" si="233"/>
        <v>322.72000000000003</v>
      </c>
      <c r="I377" s="287">
        <f t="shared" si="236"/>
        <v>187026.8299999999</v>
      </c>
      <c r="J377" s="287">
        <f t="shared" si="237"/>
        <v>96593.969999999914</v>
      </c>
      <c r="K377" s="287">
        <f t="shared" si="238"/>
        <v>0</v>
      </c>
      <c r="L377" s="428">
        <f t="shared" si="277"/>
        <v>26</v>
      </c>
      <c r="M377" s="428">
        <f t="shared" si="264"/>
        <v>318</v>
      </c>
      <c r="N377" s="287">
        <f t="shared" si="265"/>
        <v>57085.639999999941</v>
      </c>
      <c r="O377" s="287">
        <f t="shared" si="249"/>
        <v>1536.52</v>
      </c>
      <c r="P377" s="287">
        <f t="shared" si="272"/>
        <v>1203.52</v>
      </c>
      <c r="Q377" s="287">
        <f t="shared" si="250"/>
        <v>333</v>
      </c>
      <c r="R377" s="287">
        <f t="shared" si="241"/>
        <v>134.16999999999999</v>
      </c>
      <c r="S377" s="287">
        <f t="shared" si="242"/>
        <v>188.55</v>
      </c>
      <c r="T377" s="287">
        <f t="shared" si="239"/>
        <v>1859.24</v>
      </c>
      <c r="U377" s="287">
        <f t="shared" si="273"/>
        <v>175067.87999999992</v>
      </c>
      <c r="V377" s="287">
        <f t="shared" si="274"/>
        <v>315081.99999999983</v>
      </c>
      <c r="W377" s="287">
        <f t="shared" si="240"/>
        <v>55882.119999999944</v>
      </c>
      <c r="X377" s="519" t="str">
        <f t="shared" si="266"/>
        <v xml:space="preserve"> </v>
      </c>
      <c r="Y377" s="287">
        <f t="shared" si="251"/>
        <v>63889.06999999976</v>
      </c>
      <c r="Z377" s="511">
        <f t="shared" si="259"/>
        <v>7.0000000000000007E-2</v>
      </c>
      <c r="AA377" s="287">
        <f t="shared" si="260"/>
        <v>1746.44</v>
      </c>
      <c r="AB377" s="287">
        <f t="shared" si="252"/>
        <v>1373.75</v>
      </c>
      <c r="AC377" s="287">
        <f t="shared" si="261"/>
        <v>372.69</v>
      </c>
      <c r="AD377" s="287">
        <f t="shared" si="243"/>
        <v>134.16999999999999</v>
      </c>
      <c r="AE377" s="287">
        <f t="shared" si="244"/>
        <v>188.55</v>
      </c>
      <c r="AF377" s="287">
        <f t="shared" si="253"/>
        <v>2069.1600000000003</v>
      </c>
      <c r="AG377" s="287">
        <f t="shared" si="254"/>
        <v>213433.4800000001</v>
      </c>
      <c r="AH377" s="287">
        <f t="shared" si="255"/>
        <v>311862.87999999977</v>
      </c>
      <c r="AI377" s="530">
        <f t="shared" si="245"/>
        <v>-35146.479999999843</v>
      </c>
      <c r="AJ377" s="530">
        <f t="shared" si="275"/>
        <v>-6633.1999999998152</v>
      </c>
      <c r="AK377" s="530">
        <f t="shared" si="246"/>
        <v>-41779.679999999658</v>
      </c>
      <c r="AL377" s="287">
        <f t="shared" si="256"/>
        <v>62515.31999999976</v>
      </c>
      <c r="AM377" s="428">
        <f t="shared" si="267"/>
        <v>26</v>
      </c>
      <c r="AN377" s="14">
        <f t="shared" si="247"/>
        <v>1536.52</v>
      </c>
      <c r="AO377" s="14">
        <f t="shared" si="276"/>
        <v>101349.74999999997</v>
      </c>
      <c r="AP377" s="14">
        <f t="shared" si="248"/>
        <v>1746.44</v>
      </c>
      <c r="AS377" s="14">
        <f t="shared" si="262"/>
        <v>1536.52</v>
      </c>
      <c r="AT377" s="14">
        <f t="shared" si="268"/>
        <v>241122.68000000122</v>
      </c>
      <c r="AU377" s="287">
        <f t="shared" si="269"/>
        <v>2567.8751724022691</v>
      </c>
      <c r="AV377" s="287">
        <f t="shared" si="270"/>
        <v>541980.42689308303</v>
      </c>
    </row>
    <row r="378" spans="1:48" x14ac:dyDescent="0.25">
      <c r="A378" s="519" t="str">
        <f t="shared" si="234"/>
        <v xml:space="preserve"> </v>
      </c>
      <c r="B378" s="287">
        <f t="shared" si="278"/>
        <v>0</v>
      </c>
      <c r="C378" s="14">
        <f t="shared" si="257"/>
        <v>0</v>
      </c>
      <c r="D378" s="14">
        <f t="shared" si="271"/>
        <v>0</v>
      </c>
      <c r="E378" s="14">
        <f t="shared" si="258"/>
        <v>0</v>
      </c>
      <c r="F378" s="14">
        <f t="shared" si="235"/>
        <v>134.16999999999999</v>
      </c>
      <c r="G378" s="14">
        <f t="shared" ref="G378:G441" si="279">+G377</f>
        <v>188.55</v>
      </c>
      <c r="H378" s="14">
        <f t="shared" ref="H378:H441" si="280">SUM(D378:G378)</f>
        <v>322.72000000000003</v>
      </c>
      <c r="I378" s="287">
        <f t="shared" si="236"/>
        <v>187026.8299999999</v>
      </c>
      <c r="J378" s="287">
        <f t="shared" si="237"/>
        <v>96593.969999999914</v>
      </c>
      <c r="K378" s="287">
        <f t="shared" si="238"/>
        <v>0</v>
      </c>
      <c r="L378" s="428">
        <f t="shared" si="277"/>
        <v>26</v>
      </c>
      <c r="M378" s="428">
        <f t="shared" si="264"/>
        <v>319</v>
      </c>
      <c r="N378" s="287">
        <f t="shared" si="265"/>
        <v>55882.119999999944</v>
      </c>
      <c r="O378" s="287">
        <f t="shared" si="249"/>
        <v>1536.52</v>
      </c>
      <c r="P378" s="287">
        <f t="shared" si="272"/>
        <v>1210.54</v>
      </c>
      <c r="Q378" s="287">
        <f t="shared" si="250"/>
        <v>325.98</v>
      </c>
      <c r="R378" s="287">
        <f t="shared" si="241"/>
        <v>134.16999999999999</v>
      </c>
      <c r="S378" s="287">
        <f t="shared" si="242"/>
        <v>188.55</v>
      </c>
      <c r="T378" s="287">
        <f t="shared" si="239"/>
        <v>1859.24</v>
      </c>
      <c r="U378" s="287">
        <f t="shared" si="273"/>
        <v>176278.41999999993</v>
      </c>
      <c r="V378" s="287">
        <f t="shared" si="274"/>
        <v>315407.97999999981</v>
      </c>
      <c r="W378" s="287">
        <f t="shared" si="240"/>
        <v>54671.579999999944</v>
      </c>
      <c r="X378" s="519" t="str">
        <f t="shared" si="266"/>
        <v xml:space="preserve"> </v>
      </c>
      <c r="Y378" s="287">
        <f t="shared" si="251"/>
        <v>62515.31999999976</v>
      </c>
      <c r="Z378" s="511">
        <f t="shared" si="259"/>
        <v>7.0000000000000007E-2</v>
      </c>
      <c r="AA378" s="287">
        <f t="shared" si="260"/>
        <v>1746.44</v>
      </c>
      <c r="AB378" s="287">
        <f t="shared" si="252"/>
        <v>1381.77</v>
      </c>
      <c r="AC378" s="287">
        <f t="shared" si="261"/>
        <v>364.67</v>
      </c>
      <c r="AD378" s="287">
        <f t="shared" si="243"/>
        <v>134.16999999999999</v>
      </c>
      <c r="AE378" s="287">
        <f t="shared" si="244"/>
        <v>188.55</v>
      </c>
      <c r="AF378" s="287">
        <f t="shared" si="253"/>
        <v>2069.1600000000003</v>
      </c>
      <c r="AG378" s="287">
        <f t="shared" si="254"/>
        <v>214815.25000000009</v>
      </c>
      <c r="AH378" s="287">
        <f t="shared" si="255"/>
        <v>312227.54999999976</v>
      </c>
      <c r="AI378" s="530">
        <f t="shared" si="245"/>
        <v>-35356.399999999841</v>
      </c>
      <c r="AJ378" s="530">
        <f t="shared" si="275"/>
        <v>-6461.9699999998193</v>
      </c>
      <c r="AK378" s="530">
        <f t="shared" si="246"/>
        <v>-41818.369999999661</v>
      </c>
      <c r="AL378" s="287">
        <f t="shared" si="256"/>
        <v>61133.549999999763</v>
      </c>
      <c r="AM378" s="428">
        <f t="shared" si="267"/>
        <v>26</v>
      </c>
      <c r="AN378" s="14">
        <f t="shared" si="247"/>
        <v>1536.52</v>
      </c>
      <c r="AO378" s="14">
        <f t="shared" si="276"/>
        <v>100139.20999999996</v>
      </c>
      <c r="AP378" s="14">
        <f t="shared" si="248"/>
        <v>1746.44</v>
      </c>
      <c r="AS378" s="14">
        <f t="shared" si="262"/>
        <v>1536.52</v>
      </c>
      <c r="AT378" s="14">
        <f t="shared" si="268"/>
        <v>242659.2000000012</v>
      </c>
      <c r="AU378" s="287">
        <f t="shared" si="269"/>
        <v>2576.434756310277</v>
      </c>
      <c r="AV378" s="287">
        <f t="shared" si="270"/>
        <v>544556.86164939334</v>
      </c>
    </row>
    <row r="379" spans="1:48" x14ac:dyDescent="0.25">
      <c r="A379" s="519" t="str">
        <f t="shared" ref="A379:A442" si="281">IF(K379&lt;=0," ",+A378+30)</f>
        <v xml:space="preserve"> </v>
      </c>
      <c r="B379" s="287">
        <f t="shared" si="278"/>
        <v>0</v>
      </c>
      <c r="C379" s="14">
        <f t="shared" si="257"/>
        <v>0</v>
      </c>
      <c r="D379" s="14">
        <f t="shared" si="271"/>
        <v>0</v>
      </c>
      <c r="E379" s="14">
        <f t="shared" si="258"/>
        <v>0</v>
      </c>
      <c r="F379" s="14">
        <f t="shared" ref="F379:F442" si="282">+F378</f>
        <v>134.16999999999999</v>
      </c>
      <c r="G379" s="14">
        <f t="shared" si="279"/>
        <v>188.55</v>
      </c>
      <c r="H379" s="14">
        <f t="shared" si="280"/>
        <v>322.72000000000003</v>
      </c>
      <c r="I379" s="287">
        <f t="shared" ref="I379:I442" si="283">$D379+$I378</f>
        <v>187026.8299999999</v>
      </c>
      <c r="J379" s="287">
        <f t="shared" ref="J379:J442" si="284">$E379+$J378</f>
        <v>96593.969999999914</v>
      </c>
      <c r="K379" s="287">
        <f t="shared" ref="K379:K442" si="285">+B379-D379</f>
        <v>0</v>
      </c>
      <c r="L379" s="428">
        <f t="shared" si="277"/>
        <v>26</v>
      </c>
      <c r="M379" s="428">
        <f t="shared" si="264"/>
        <v>320</v>
      </c>
      <c r="N379" s="287">
        <f t="shared" si="265"/>
        <v>54671.579999999944</v>
      </c>
      <c r="O379" s="287">
        <f t="shared" si="249"/>
        <v>1536.52</v>
      </c>
      <c r="P379" s="287">
        <f t="shared" si="272"/>
        <v>1217.5999999999999</v>
      </c>
      <c r="Q379" s="287">
        <f t="shared" si="250"/>
        <v>318.92</v>
      </c>
      <c r="R379" s="287">
        <f t="shared" si="241"/>
        <v>134.16999999999999</v>
      </c>
      <c r="S379" s="287">
        <f t="shared" si="242"/>
        <v>188.55</v>
      </c>
      <c r="T379" s="287">
        <f t="shared" ref="T379:T442" si="286">SUM(P379:S379)</f>
        <v>1859.24</v>
      </c>
      <c r="U379" s="287">
        <f t="shared" si="273"/>
        <v>177496.01999999993</v>
      </c>
      <c r="V379" s="287">
        <f t="shared" si="274"/>
        <v>315726.89999999979</v>
      </c>
      <c r="W379" s="287">
        <f t="shared" ref="W379:W442" si="287">+N379-P379</f>
        <v>53453.979999999945</v>
      </c>
      <c r="X379" s="519" t="str">
        <f t="shared" si="266"/>
        <v xml:space="preserve"> </v>
      </c>
      <c r="Y379" s="287">
        <f t="shared" si="251"/>
        <v>61133.549999999763</v>
      </c>
      <c r="Z379" s="511">
        <f t="shared" si="259"/>
        <v>7.0000000000000007E-2</v>
      </c>
      <c r="AA379" s="287">
        <f t="shared" si="260"/>
        <v>1746.44</v>
      </c>
      <c r="AB379" s="287">
        <f t="shared" si="252"/>
        <v>1389.83</v>
      </c>
      <c r="AC379" s="287">
        <f t="shared" si="261"/>
        <v>356.61</v>
      </c>
      <c r="AD379" s="287">
        <f t="shared" si="243"/>
        <v>134.16999999999999</v>
      </c>
      <c r="AE379" s="287">
        <f t="shared" si="244"/>
        <v>188.55</v>
      </c>
      <c r="AF379" s="287">
        <f t="shared" si="253"/>
        <v>2069.1600000000003</v>
      </c>
      <c r="AG379" s="287">
        <f t="shared" si="254"/>
        <v>216205.08000000007</v>
      </c>
      <c r="AH379" s="287">
        <f t="shared" si="255"/>
        <v>312584.15999999974</v>
      </c>
      <c r="AI379" s="530">
        <f t="shared" si="245"/>
        <v>-35566.31999999984</v>
      </c>
      <c r="AJ379" s="530">
        <f t="shared" si="275"/>
        <v>-6289.7399999998161</v>
      </c>
      <c r="AK379" s="530">
        <f t="shared" si="246"/>
        <v>-41856.059999999656</v>
      </c>
      <c r="AL379" s="287">
        <f t="shared" si="256"/>
        <v>59743.719999999761</v>
      </c>
      <c r="AM379" s="428">
        <f t="shared" si="267"/>
        <v>26</v>
      </c>
      <c r="AN379" s="14">
        <f t="shared" si="247"/>
        <v>1536.52</v>
      </c>
      <c r="AO379" s="14">
        <f t="shared" si="276"/>
        <v>98921.609999999957</v>
      </c>
      <c r="AP379" s="14">
        <f t="shared" si="248"/>
        <v>1746.44</v>
      </c>
      <c r="AS379" s="14">
        <f t="shared" si="262"/>
        <v>1536.52</v>
      </c>
      <c r="AT379" s="14">
        <f t="shared" si="268"/>
        <v>244195.72000000119</v>
      </c>
      <c r="AU379" s="287">
        <f t="shared" si="269"/>
        <v>2585.0228721646445</v>
      </c>
      <c r="AV379" s="287">
        <f t="shared" si="270"/>
        <v>547141.88452155795</v>
      </c>
    </row>
    <row r="380" spans="1:48" x14ac:dyDescent="0.25">
      <c r="A380" s="519" t="str">
        <f t="shared" si="281"/>
        <v xml:space="preserve"> </v>
      </c>
      <c r="B380" s="287">
        <f t="shared" si="278"/>
        <v>0</v>
      </c>
      <c r="C380" s="14">
        <f t="shared" si="257"/>
        <v>0</v>
      </c>
      <c r="D380" s="14">
        <f t="shared" si="271"/>
        <v>0</v>
      </c>
      <c r="E380" s="14">
        <f t="shared" si="258"/>
        <v>0</v>
      </c>
      <c r="F380" s="14">
        <f t="shared" si="282"/>
        <v>134.16999999999999</v>
      </c>
      <c r="G380" s="14">
        <f t="shared" si="279"/>
        <v>188.55</v>
      </c>
      <c r="H380" s="14">
        <f t="shared" si="280"/>
        <v>322.72000000000003</v>
      </c>
      <c r="I380" s="287">
        <f t="shared" si="283"/>
        <v>187026.8299999999</v>
      </c>
      <c r="J380" s="287">
        <f t="shared" si="284"/>
        <v>96593.969999999914</v>
      </c>
      <c r="K380" s="287">
        <f t="shared" si="285"/>
        <v>0</v>
      </c>
      <c r="L380" s="428">
        <f t="shared" si="277"/>
        <v>26</v>
      </c>
      <c r="M380" s="428">
        <f t="shared" si="264"/>
        <v>321</v>
      </c>
      <c r="N380" s="287">
        <f t="shared" si="265"/>
        <v>53453.979999999945</v>
      </c>
      <c r="O380" s="287">
        <f t="shared" si="249"/>
        <v>1536.52</v>
      </c>
      <c r="P380" s="287">
        <f t="shared" si="272"/>
        <v>1224.71</v>
      </c>
      <c r="Q380" s="287">
        <f t="shared" si="250"/>
        <v>311.81</v>
      </c>
      <c r="R380" s="287">
        <f t="shared" ref="R380:R443" si="288">+R379</f>
        <v>134.16999999999999</v>
      </c>
      <c r="S380" s="287">
        <f t="shared" ref="S380:S443" si="289">+S379</f>
        <v>188.55</v>
      </c>
      <c r="T380" s="287">
        <f t="shared" si="286"/>
        <v>1859.24</v>
      </c>
      <c r="U380" s="287">
        <f t="shared" si="273"/>
        <v>178720.72999999992</v>
      </c>
      <c r="V380" s="287">
        <f t="shared" si="274"/>
        <v>316038.70999999979</v>
      </c>
      <c r="W380" s="287">
        <f t="shared" si="287"/>
        <v>52229.269999999946</v>
      </c>
      <c r="X380" s="519" t="str">
        <f t="shared" si="266"/>
        <v xml:space="preserve"> </v>
      </c>
      <c r="Y380" s="287">
        <f t="shared" si="251"/>
        <v>59743.719999999761</v>
      </c>
      <c r="Z380" s="511">
        <f t="shared" si="259"/>
        <v>7.0000000000000007E-2</v>
      </c>
      <c r="AA380" s="287">
        <f t="shared" si="260"/>
        <v>1746.44</v>
      </c>
      <c r="AB380" s="287">
        <f t="shared" si="252"/>
        <v>1397.93</v>
      </c>
      <c r="AC380" s="287">
        <f t="shared" si="261"/>
        <v>348.51</v>
      </c>
      <c r="AD380" s="287">
        <f t="shared" ref="AD380:AD443" si="290">+AD379</f>
        <v>134.16999999999999</v>
      </c>
      <c r="AE380" s="287">
        <f t="shared" ref="AE380:AE443" si="291">+AE379</f>
        <v>188.55</v>
      </c>
      <c r="AF380" s="287">
        <f t="shared" si="253"/>
        <v>2069.1600000000003</v>
      </c>
      <c r="AG380" s="287">
        <f t="shared" si="254"/>
        <v>217603.01000000007</v>
      </c>
      <c r="AH380" s="287">
        <f t="shared" si="255"/>
        <v>312932.66999999975</v>
      </c>
      <c r="AI380" s="530">
        <f t="shared" ref="AI380:AI443" si="292">O380-AA380+AI379</f>
        <v>-35776.239999999838</v>
      </c>
      <c r="AJ380" s="530">
        <f t="shared" si="275"/>
        <v>-6116.5199999998149</v>
      </c>
      <c r="AK380" s="530">
        <f t="shared" ref="AK380:AK443" si="293">SUM(AI380:AJ380)</f>
        <v>-41892.759999999653</v>
      </c>
      <c r="AL380" s="287">
        <f t="shared" si="256"/>
        <v>58345.789999999761</v>
      </c>
      <c r="AM380" s="428">
        <f t="shared" si="267"/>
        <v>26</v>
      </c>
      <c r="AN380" s="14">
        <f t="shared" ref="AN380:AN443" si="294">IF(O380=0,0,+O380-C380)</f>
        <v>1536.52</v>
      </c>
      <c r="AO380" s="14">
        <f t="shared" si="276"/>
        <v>97696.899999999965</v>
      </c>
      <c r="AP380" s="14">
        <f t="shared" ref="AP380:AP443" si="295">IF($O380=0,0,+AA380-$C380)</f>
        <v>1746.44</v>
      </c>
      <c r="AS380" s="14">
        <f t="shared" si="262"/>
        <v>1536.52</v>
      </c>
      <c r="AT380" s="14">
        <f t="shared" si="268"/>
        <v>245732.24000000118</v>
      </c>
      <c r="AU380" s="287">
        <f t="shared" si="269"/>
        <v>2593.6396150718597</v>
      </c>
      <c r="AV380" s="287">
        <f t="shared" si="270"/>
        <v>549735.52413662977</v>
      </c>
    </row>
    <row r="381" spans="1:48" x14ac:dyDescent="0.25">
      <c r="A381" s="519" t="str">
        <f t="shared" si="281"/>
        <v xml:space="preserve"> </v>
      </c>
      <c r="B381" s="287">
        <f t="shared" si="278"/>
        <v>0</v>
      </c>
      <c r="C381" s="14">
        <f t="shared" si="257"/>
        <v>0</v>
      </c>
      <c r="D381" s="14">
        <f t="shared" si="271"/>
        <v>0</v>
      </c>
      <c r="E381" s="14">
        <f t="shared" si="258"/>
        <v>0</v>
      </c>
      <c r="F381" s="14">
        <f t="shared" si="282"/>
        <v>134.16999999999999</v>
      </c>
      <c r="G381" s="14">
        <f t="shared" si="279"/>
        <v>188.55</v>
      </c>
      <c r="H381" s="14">
        <f t="shared" si="280"/>
        <v>322.72000000000003</v>
      </c>
      <c r="I381" s="287">
        <f t="shared" si="283"/>
        <v>187026.8299999999</v>
      </c>
      <c r="J381" s="287">
        <f t="shared" si="284"/>
        <v>96593.969999999914</v>
      </c>
      <c r="K381" s="287">
        <f t="shared" si="285"/>
        <v>0</v>
      </c>
      <c r="L381" s="428">
        <f t="shared" si="277"/>
        <v>26</v>
      </c>
      <c r="M381" s="428">
        <f t="shared" si="264"/>
        <v>322</v>
      </c>
      <c r="N381" s="287">
        <f t="shared" si="265"/>
        <v>52229.269999999946</v>
      </c>
      <c r="O381" s="287">
        <f t="shared" si="249"/>
        <v>1536.52</v>
      </c>
      <c r="P381" s="287">
        <f t="shared" si="272"/>
        <v>1231.8499999999999</v>
      </c>
      <c r="Q381" s="287">
        <f t="shared" si="250"/>
        <v>304.67</v>
      </c>
      <c r="R381" s="287">
        <f t="shared" si="288"/>
        <v>134.16999999999999</v>
      </c>
      <c r="S381" s="287">
        <f t="shared" si="289"/>
        <v>188.55</v>
      </c>
      <c r="T381" s="287">
        <f t="shared" si="286"/>
        <v>1859.24</v>
      </c>
      <c r="U381" s="287">
        <f t="shared" si="273"/>
        <v>179952.57999999993</v>
      </c>
      <c r="V381" s="287">
        <f t="shared" si="274"/>
        <v>316343.37999999977</v>
      </c>
      <c r="W381" s="287">
        <f t="shared" si="287"/>
        <v>50997.419999999947</v>
      </c>
      <c r="X381" s="519" t="str">
        <f t="shared" si="266"/>
        <v xml:space="preserve"> </v>
      </c>
      <c r="Y381" s="287">
        <f t="shared" si="251"/>
        <v>58345.789999999761</v>
      </c>
      <c r="Z381" s="511">
        <f t="shared" si="259"/>
        <v>7.0000000000000007E-2</v>
      </c>
      <c r="AA381" s="287">
        <f t="shared" si="260"/>
        <v>1746.44</v>
      </c>
      <c r="AB381" s="287">
        <f t="shared" si="252"/>
        <v>1406.0900000000001</v>
      </c>
      <c r="AC381" s="287">
        <f t="shared" si="261"/>
        <v>340.35</v>
      </c>
      <c r="AD381" s="287">
        <f t="shared" si="290"/>
        <v>134.16999999999999</v>
      </c>
      <c r="AE381" s="287">
        <f t="shared" si="291"/>
        <v>188.55</v>
      </c>
      <c r="AF381" s="287">
        <f t="shared" si="253"/>
        <v>2069.1600000000003</v>
      </c>
      <c r="AG381" s="287">
        <f t="shared" si="254"/>
        <v>219009.10000000006</v>
      </c>
      <c r="AH381" s="287">
        <f t="shared" si="255"/>
        <v>313273.01999999973</v>
      </c>
      <c r="AI381" s="530">
        <f t="shared" si="292"/>
        <v>-35986.159999999836</v>
      </c>
      <c r="AJ381" s="530">
        <f t="shared" si="275"/>
        <v>-5942.2799999998169</v>
      </c>
      <c r="AK381" s="530">
        <f t="shared" si="293"/>
        <v>-41928.439999999653</v>
      </c>
      <c r="AL381" s="287">
        <f t="shared" si="256"/>
        <v>56939.699999999764</v>
      </c>
      <c r="AM381" s="428">
        <f t="shared" si="267"/>
        <v>26</v>
      </c>
      <c r="AN381" s="14">
        <f t="shared" si="294"/>
        <v>1536.52</v>
      </c>
      <c r="AO381" s="14">
        <f t="shared" si="276"/>
        <v>96465.049999999959</v>
      </c>
      <c r="AP381" s="14">
        <f t="shared" si="295"/>
        <v>1746.44</v>
      </c>
      <c r="AS381" s="14">
        <f t="shared" si="262"/>
        <v>1536.52</v>
      </c>
      <c r="AT381" s="14">
        <f t="shared" si="268"/>
        <v>247268.76000000117</v>
      </c>
      <c r="AU381" s="287">
        <f t="shared" si="269"/>
        <v>2602.2850804554328</v>
      </c>
      <c r="AV381" s="287">
        <f t="shared" si="270"/>
        <v>552337.80921708525</v>
      </c>
    </row>
    <row r="382" spans="1:48" x14ac:dyDescent="0.25">
      <c r="A382" s="519" t="str">
        <f t="shared" si="281"/>
        <v xml:space="preserve"> </v>
      </c>
      <c r="B382" s="287">
        <f t="shared" si="278"/>
        <v>0</v>
      </c>
      <c r="C382" s="14">
        <f t="shared" si="257"/>
        <v>0</v>
      </c>
      <c r="D382" s="14">
        <f t="shared" si="271"/>
        <v>0</v>
      </c>
      <c r="E382" s="14">
        <f t="shared" si="258"/>
        <v>0</v>
      </c>
      <c r="F382" s="14">
        <f t="shared" si="282"/>
        <v>134.16999999999999</v>
      </c>
      <c r="G382" s="14">
        <f t="shared" si="279"/>
        <v>188.55</v>
      </c>
      <c r="H382" s="14">
        <f t="shared" si="280"/>
        <v>322.72000000000003</v>
      </c>
      <c r="I382" s="287">
        <f t="shared" si="283"/>
        <v>187026.8299999999</v>
      </c>
      <c r="J382" s="287">
        <f t="shared" si="284"/>
        <v>96593.969999999914</v>
      </c>
      <c r="K382" s="287">
        <f t="shared" si="285"/>
        <v>0</v>
      </c>
      <c r="L382" s="428">
        <f t="shared" si="277"/>
        <v>26</v>
      </c>
      <c r="M382" s="428">
        <f t="shared" si="264"/>
        <v>323</v>
      </c>
      <c r="N382" s="287">
        <f t="shared" si="265"/>
        <v>50997.419999999947</v>
      </c>
      <c r="O382" s="287">
        <f t="shared" ref="O382:O445" si="296">IF($O$9&lt;=A382,IF(+$W381&lt;=0,0,$O$8),0)</f>
        <v>1536.52</v>
      </c>
      <c r="P382" s="287">
        <f t="shared" si="272"/>
        <v>1239.04</v>
      </c>
      <c r="Q382" s="287">
        <f t="shared" ref="Q382:Q445" si="297">IF($O$9&lt;=A382,ROUND(N382*($O$6/12),2),0)</f>
        <v>297.48</v>
      </c>
      <c r="R382" s="287">
        <f t="shared" si="288"/>
        <v>134.16999999999999</v>
      </c>
      <c r="S382" s="287">
        <f t="shared" si="289"/>
        <v>188.55</v>
      </c>
      <c r="T382" s="287">
        <f t="shared" si="286"/>
        <v>1859.24</v>
      </c>
      <c r="U382" s="287">
        <f t="shared" si="273"/>
        <v>181191.61999999994</v>
      </c>
      <c r="V382" s="287">
        <f t="shared" si="274"/>
        <v>316640.85999999975</v>
      </c>
      <c r="W382" s="287">
        <f t="shared" si="287"/>
        <v>49758.379999999946</v>
      </c>
      <c r="X382" s="519" t="str">
        <f t="shared" si="266"/>
        <v xml:space="preserve"> </v>
      </c>
      <c r="Y382" s="287">
        <f t="shared" ref="Y382:Y445" si="298">IF(+AL381&lt;0,0,+AL381)</f>
        <v>56939.699999999764</v>
      </c>
      <c r="Z382" s="511">
        <f t="shared" si="259"/>
        <v>7.0000000000000007E-2</v>
      </c>
      <c r="AA382" s="287">
        <f t="shared" si="260"/>
        <v>1746.44</v>
      </c>
      <c r="AB382" s="287">
        <f t="shared" ref="AB382:AB445" si="299">+AA382-AC382</f>
        <v>1414.29</v>
      </c>
      <c r="AC382" s="287">
        <f t="shared" si="261"/>
        <v>332.15</v>
      </c>
      <c r="AD382" s="287">
        <f t="shared" si="290"/>
        <v>134.16999999999999</v>
      </c>
      <c r="AE382" s="287">
        <f t="shared" si="291"/>
        <v>188.55</v>
      </c>
      <c r="AF382" s="287">
        <f t="shared" ref="AF382:AF445" si="300">SUM(AB382:AE382)</f>
        <v>2069.1600000000003</v>
      </c>
      <c r="AG382" s="287">
        <f t="shared" ref="AG382:AG445" si="301">+AB382+AG381</f>
        <v>220423.39000000007</v>
      </c>
      <c r="AH382" s="287">
        <f t="shared" ref="AH382:AH445" si="302">+AH381+AC382</f>
        <v>313605.16999999975</v>
      </c>
      <c r="AI382" s="530">
        <f t="shared" si="292"/>
        <v>-36196.079999999834</v>
      </c>
      <c r="AJ382" s="530">
        <f t="shared" si="275"/>
        <v>-5767.0299999998169</v>
      </c>
      <c r="AK382" s="530">
        <f t="shared" si="293"/>
        <v>-41963.109999999651</v>
      </c>
      <c r="AL382" s="287">
        <f t="shared" ref="AL382:AL445" si="303">+Y382-AB382</f>
        <v>55525.409999999763</v>
      </c>
      <c r="AM382" s="428">
        <f t="shared" si="267"/>
        <v>26</v>
      </c>
      <c r="AN382" s="14">
        <f t="shared" si="294"/>
        <v>1536.52</v>
      </c>
      <c r="AO382" s="14">
        <f t="shared" si="276"/>
        <v>95226.009999999951</v>
      </c>
      <c r="AP382" s="14">
        <f t="shared" si="295"/>
        <v>1746.44</v>
      </c>
      <c r="AS382" s="14">
        <f t="shared" si="262"/>
        <v>1536.52</v>
      </c>
      <c r="AT382" s="14">
        <f t="shared" si="268"/>
        <v>248805.28000000116</v>
      </c>
      <c r="AU382" s="287">
        <f t="shared" si="269"/>
        <v>2610.959364056951</v>
      </c>
      <c r="AV382" s="287">
        <f t="shared" si="270"/>
        <v>554948.76858114218</v>
      </c>
    </row>
    <row r="383" spans="1:48" x14ac:dyDescent="0.25">
      <c r="A383" s="519" t="str">
        <f t="shared" si="281"/>
        <v xml:space="preserve"> </v>
      </c>
      <c r="B383" s="287">
        <f t="shared" si="278"/>
        <v>0</v>
      </c>
      <c r="C383" s="14">
        <f t="shared" si="257"/>
        <v>0</v>
      </c>
      <c r="D383" s="14">
        <f t="shared" si="271"/>
        <v>0</v>
      </c>
      <c r="E383" s="14">
        <f t="shared" si="258"/>
        <v>0</v>
      </c>
      <c r="F383" s="14">
        <f t="shared" si="282"/>
        <v>134.16999999999999</v>
      </c>
      <c r="G383" s="14">
        <f t="shared" si="279"/>
        <v>188.55</v>
      </c>
      <c r="H383" s="14">
        <f t="shared" si="280"/>
        <v>322.72000000000003</v>
      </c>
      <c r="I383" s="287">
        <f t="shared" si="283"/>
        <v>187026.8299999999</v>
      </c>
      <c r="J383" s="287">
        <f t="shared" si="284"/>
        <v>96593.969999999914</v>
      </c>
      <c r="K383" s="287">
        <f t="shared" si="285"/>
        <v>0</v>
      </c>
      <c r="L383" s="428">
        <f t="shared" si="277"/>
        <v>27</v>
      </c>
      <c r="M383" s="428">
        <f t="shared" si="264"/>
        <v>324</v>
      </c>
      <c r="N383" s="287">
        <f t="shared" si="265"/>
        <v>49758.379999999946</v>
      </c>
      <c r="O383" s="287">
        <f t="shared" si="296"/>
        <v>1536.52</v>
      </c>
      <c r="P383" s="287">
        <f t="shared" si="272"/>
        <v>1246.26</v>
      </c>
      <c r="Q383" s="287">
        <f t="shared" si="297"/>
        <v>290.26</v>
      </c>
      <c r="R383" s="287">
        <f t="shared" si="288"/>
        <v>134.16999999999999</v>
      </c>
      <c r="S383" s="287">
        <f t="shared" si="289"/>
        <v>188.55</v>
      </c>
      <c r="T383" s="287">
        <f t="shared" si="286"/>
        <v>1859.24</v>
      </c>
      <c r="U383" s="287">
        <f t="shared" si="273"/>
        <v>182437.87999999995</v>
      </c>
      <c r="V383" s="287">
        <f t="shared" si="274"/>
        <v>316931.11999999976</v>
      </c>
      <c r="W383" s="287">
        <f t="shared" si="287"/>
        <v>48512.119999999944</v>
      </c>
      <c r="X383" s="519" t="str">
        <f t="shared" si="266"/>
        <v xml:space="preserve"> </v>
      </c>
      <c r="Y383" s="287">
        <f t="shared" si="298"/>
        <v>55525.409999999763</v>
      </c>
      <c r="Z383" s="511">
        <f t="shared" si="259"/>
        <v>7.0000000000000007E-2</v>
      </c>
      <c r="AA383" s="287">
        <f t="shared" si="260"/>
        <v>1746.44</v>
      </c>
      <c r="AB383" s="287">
        <f t="shared" si="299"/>
        <v>1422.54</v>
      </c>
      <c r="AC383" s="287">
        <f t="shared" si="261"/>
        <v>323.89999999999998</v>
      </c>
      <c r="AD383" s="287">
        <f t="shared" si="290"/>
        <v>134.16999999999999</v>
      </c>
      <c r="AE383" s="287">
        <f t="shared" si="291"/>
        <v>188.55</v>
      </c>
      <c r="AF383" s="287">
        <f t="shared" si="300"/>
        <v>2069.1600000000003</v>
      </c>
      <c r="AG383" s="287">
        <f t="shared" si="301"/>
        <v>221845.93000000008</v>
      </c>
      <c r="AH383" s="287">
        <f t="shared" si="302"/>
        <v>313929.06999999977</v>
      </c>
      <c r="AI383" s="530">
        <f t="shared" si="292"/>
        <v>-36405.999999999833</v>
      </c>
      <c r="AJ383" s="530">
        <f t="shared" si="275"/>
        <v>-5590.7499999998181</v>
      </c>
      <c r="AK383" s="530">
        <f t="shared" si="293"/>
        <v>-41996.749999999651</v>
      </c>
      <c r="AL383" s="287">
        <f t="shared" si="303"/>
        <v>54102.869999999763</v>
      </c>
      <c r="AM383" s="428">
        <f t="shared" si="267"/>
        <v>27</v>
      </c>
      <c r="AN383" s="14">
        <f t="shared" si="294"/>
        <v>1536.52</v>
      </c>
      <c r="AO383" s="14">
        <f t="shared" si="276"/>
        <v>93979.749999999942</v>
      </c>
      <c r="AP383" s="14">
        <f t="shared" si="295"/>
        <v>1746.44</v>
      </c>
      <c r="AS383" s="14">
        <f t="shared" si="262"/>
        <v>1536.52</v>
      </c>
      <c r="AT383" s="14">
        <f t="shared" si="268"/>
        <v>250341.80000000115</v>
      </c>
      <c r="AU383" s="287">
        <f t="shared" si="269"/>
        <v>2619.6625619371407</v>
      </c>
      <c r="AV383" s="287">
        <f t="shared" si="270"/>
        <v>557568.4311430793</v>
      </c>
    </row>
    <row r="384" spans="1:48" x14ac:dyDescent="0.25">
      <c r="A384" s="519" t="str">
        <f t="shared" si="281"/>
        <v xml:space="preserve"> </v>
      </c>
      <c r="B384" s="287">
        <f t="shared" si="278"/>
        <v>0</v>
      </c>
      <c r="C384" s="14">
        <f t="shared" si="257"/>
        <v>0</v>
      </c>
      <c r="D384" s="14">
        <f t="shared" si="271"/>
        <v>0</v>
      </c>
      <c r="E384" s="14">
        <f t="shared" si="258"/>
        <v>0</v>
      </c>
      <c r="F384" s="14">
        <f t="shared" si="282"/>
        <v>134.16999999999999</v>
      </c>
      <c r="G384" s="14">
        <f t="shared" si="279"/>
        <v>188.55</v>
      </c>
      <c r="H384" s="14">
        <f t="shared" si="280"/>
        <v>322.72000000000003</v>
      </c>
      <c r="I384" s="287">
        <f t="shared" si="283"/>
        <v>187026.8299999999</v>
      </c>
      <c r="J384" s="287">
        <f t="shared" si="284"/>
        <v>96593.969999999914</v>
      </c>
      <c r="K384" s="287">
        <f t="shared" si="285"/>
        <v>0</v>
      </c>
      <c r="L384" s="428">
        <f t="shared" si="277"/>
        <v>27</v>
      </c>
      <c r="M384" s="428">
        <f t="shared" si="264"/>
        <v>325</v>
      </c>
      <c r="N384" s="287">
        <f t="shared" si="265"/>
        <v>48512.119999999944</v>
      </c>
      <c r="O384" s="287">
        <f t="shared" si="296"/>
        <v>1536.52</v>
      </c>
      <c r="P384" s="287">
        <f t="shared" si="272"/>
        <v>1253.53</v>
      </c>
      <c r="Q384" s="287">
        <f t="shared" si="297"/>
        <v>282.99</v>
      </c>
      <c r="R384" s="287">
        <f t="shared" si="288"/>
        <v>134.16999999999999</v>
      </c>
      <c r="S384" s="287">
        <f t="shared" si="289"/>
        <v>188.55</v>
      </c>
      <c r="T384" s="287">
        <f t="shared" si="286"/>
        <v>1859.24</v>
      </c>
      <c r="U384" s="287">
        <f t="shared" si="273"/>
        <v>183691.40999999995</v>
      </c>
      <c r="V384" s="287">
        <f t="shared" si="274"/>
        <v>317214.10999999975</v>
      </c>
      <c r="W384" s="287">
        <f t="shared" si="287"/>
        <v>47258.589999999946</v>
      </c>
      <c r="X384" s="519" t="str">
        <f t="shared" si="266"/>
        <v xml:space="preserve"> </v>
      </c>
      <c r="Y384" s="287">
        <f t="shared" si="298"/>
        <v>54102.869999999763</v>
      </c>
      <c r="Z384" s="511">
        <f t="shared" si="259"/>
        <v>7.0000000000000007E-2</v>
      </c>
      <c r="AA384" s="287">
        <f t="shared" si="260"/>
        <v>1746.44</v>
      </c>
      <c r="AB384" s="287">
        <f t="shared" si="299"/>
        <v>1430.8400000000001</v>
      </c>
      <c r="AC384" s="287">
        <f t="shared" si="261"/>
        <v>315.60000000000002</v>
      </c>
      <c r="AD384" s="287">
        <f t="shared" si="290"/>
        <v>134.16999999999999</v>
      </c>
      <c r="AE384" s="287">
        <f t="shared" si="291"/>
        <v>188.55</v>
      </c>
      <c r="AF384" s="287">
        <f t="shared" si="300"/>
        <v>2069.1600000000003</v>
      </c>
      <c r="AG384" s="287">
        <f t="shared" si="301"/>
        <v>223276.77000000008</v>
      </c>
      <c r="AH384" s="287">
        <f t="shared" si="302"/>
        <v>314244.66999999975</v>
      </c>
      <c r="AI384" s="530">
        <f t="shared" si="292"/>
        <v>-36615.919999999831</v>
      </c>
      <c r="AJ384" s="530">
        <f t="shared" si="275"/>
        <v>-5413.4399999998204</v>
      </c>
      <c r="AK384" s="530">
        <f t="shared" si="293"/>
        <v>-42029.359999999651</v>
      </c>
      <c r="AL384" s="287">
        <f t="shared" si="303"/>
        <v>52672.029999999766</v>
      </c>
      <c r="AM384" s="428">
        <f t="shared" si="267"/>
        <v>27</v>
      </c>
      <c r="AN384" s="14">
        <f t="shared" si="294"/>
        <v>1536.52</v>
      </c>
      <c r="AO384" s="14">
        <f t="shared" si="276"/>
        <v>92726.219999999943</v>
      </c>
      <c r="AP384" s="14">
        <f t="shared" si="295"/>
        <v>1746.44</v>
      </c>
      <c r="AS384" s="14">
        <f t="shared" si="262"/>
        <v>1536.52</v>
      </c>
      <c r="AT384" s="14">
        <f t="shared" si="268"/>
        <v>251878.32000000114</v>
      </c>
      <c r="AU384" s="287">
        <f t="shared" si="269"/>
        <v>2628.3947704769312</v>
      </c>
      <c r="AV384" s="287">
        <f t="shared" si="270"/>
        <v>560196.82591355627</v>
      </c>
    </row>
    <row r="385" spans="1:48" x14ac:dyDescent="0.25">
      <c r="A385" s="519" t="str">
        <f t="shared" si="281"/>
        <v xml:space="preserve"> </v>
      </c>
      <c r="B385" s="287">
        <f t="shared" si="278"/>
        <v>0</v>
      </c>
      <c r="C385" s="14">
        <f t="shared" si="257"/>
        <v>0</v>
      </c>
      <c r="D385" s="14">
        <f t="shared" si="271"/>
        <v>0</v>
      </c>
      <c r="E385" s="14">
        <f t="shared" si="258"/>
        <v>0</v>
      </c>
      <c r="F385" s="14">
        <f t="shared" si="282"/>
        <v>134.16999999999999</v>
      </c>
      <c r="G385" s="14">
        <f t="shared" si="279"/>
        <v>188.55</v>
      </c>
      <c r="H385" s="14">
        <f t="shared" si="280"/>
        <v>322.72000000000003</v>
      </c>
      <c r="I385" s="287">
        <f t="shared" si="283"/>
        <v>187026.8299999999</v>
      </c>
      <c r="J385" s="287">
        <f t="shared" si="284"/>
        <v>96593.969999999914</v>
      </c>
      <c r="K385" s="287">
        <f t="shared" si="285"/>
        <v>0</v>
      </c>
      <c r="L385" s="428">
        <f t="shared" si="277"/>
        <v>27</v>
      </c>
      <c r="M385" s="428">
        <f t="shared" si="264"/>
        <v>326</v>
      </c>
      <c r="N385" s="287">
        <f t="shared" si="265"/>
        <v>47258.589999999946</v>
      </c>
      <c r="O385" s="287">
        <f t="shared" si="296"/>
        <v>1536.52</v>
      </c>
      <c r="P385" s="287">
        <f t="shared" si="272"/>
        <v>1260.8399999999999</v>
      </c>
      <c r="Q385" s="287">
        <f t="shared" si="297"/>
        <v>275.68</v>
      </c>
      <c r="R385" s="287">
        <f t="shared" si="288"/>
        <v>134.16999999999999</v>
      </c>
      <c r="S385" s="287">
        <f t="shared" si="289"/>
        <v>188.55</v>
      </c>
      <c r="T385" s="287">
        <f t="shared" si="286"/>
        <v>1859.24</v>
      </c>
      <c r="U385" s="287">
        <f t="shared" si="273"/>
        <v>184952.24999999994</v>
      </c>
      <c r="V385" s="287">
        <f t="shared" si="274"/>
        <v>317489.78999999975</v>
      </c>
      <c r="W385" s="287">
        <f t="shared" si="287"/>
        <v>45997.749999999949</v>
      </c>
      <c r="X385" s="519" t="str">
        <f t="shared" si="266"/>
        <v xml:space="preserve"> </v>
      </c>
      <c r="Y385" s="287">
        <f t="shared" si="298"/>
        <v>52672.029999999766</v>
      </c>
      <c r="Z385" s="511">
        <f t="shared" si="259"/>
        <v>7.0000000000000007E-2</v>
      </c>
      <c r="AA385" s="287">
        <f t="shared" si="260"/>
        <v>1746.44</v>
      </c>
      <c r="AB385" s="287">
        <f t="shared" si="299"/>
        <v>1439.19</v>
      </c>
      <c r="AC385" s="287">
        <f t="shared" si="261"/>
        <v>307.25</v>
      </c>
      <c r="AD385" s="287">
        <f t="shared" si="290"/>
        <v>134.16999999999999</v>
      </c>
      <c r="AE385" s="287">
        <f t="shared" si="291"/>
        <v>188.55</v>
      </c>
      <c r="AF385" s="287">
        <f t="shared" si="300"/>
        <v>2069.1600000000003</v>
      </c>
      <c r="AG385" s="287">
        <f t="shared" si="301"/>
        <v>224715.96000000008</v>
      </c>
      <c r="AH385" s="287">
        <f t="shared" si="302"/>
        <v>314551.91999999975</v>
      </c>
      <c r="AI385" s="530">
        <f t="shared" si="292"/>
        <v>-36825.839999999829</v>
      </c>
      <c r="AJ385" s="530">
        <f t="shared" si="275"/>
        <v>-5235.0899999998146</v>
      </c>
      <c r="AK385" s="530">
        <f t="shared" si="293"/>
        <v>-42060.929999999644</v>
      </c>
      <c r="AL385" s="287">
        <f t="shared" si="303"/>
        <v>51232.839999999764</v>
      </c>
      <c r="AM385" s="428">
        <f t="shared" si="267"/>
        <v>27</v>
      </c>
      <c r="AN385" s="14">
        <f t="shared" si="294"/>
        <v>1536.52</v>
      </c>
      <c r="AO385" s="14">
        <f t="shared" si="276"/>
        <v>91465.379999999946</v>
      </c>
      <c r="AP385" s="14">
        <f t="shared" si="295"/>
        <v>1746.44</v>
      </c>
      <c r="AS385" s="14">
        <f t="shared" si="262"/>
        <v>1536.52</v>
      </c>
      <c r="AT385" s="14">
        <f t="shared" si="268"/>
        <v>253414.84000000113</v>
      </c>
      <c r="AU385" s="287">
        <f t="shared" si="269"/>
        <v>2637.1560863785212</v>
      </c>
      <c r="AV385" s="287">
        <f t="shared" si="270"/>
        <v>562833.98199993477</v>
      </c>
    </row>
    <row r="386" spans="1:48" ht="15.75" thickBot="1" x14ac:dyDescent="0.3">
      <c r="A386" s="522" t="str">
        <f t="shared" si="281"/>
        <v xml:space="preserve"> </v>
      </c>
      <c r="B386" s="348">
        <f t="shared" si="278"/>
        <v>0</v>
      </c>
      <c r="C386" s="21">
        <f t="shared" si="257"/>
        <v>0</v>
      </c>
      <c r="D386" s="21">
        <f t="shared" si="271"/>
        <v>0</v>
      </c>
      <c r="E386" s="21">
        <f t="shared" si="258"/>
        <v>0</v>
      </c>
      <c r="F386" s="21">
        <f t="shared" si="282"/>
        <v>134.16999999999999</v>
      </c>
      <c r="G386" s="21">
        <f t="shared" si="279"/>
        <v>188.55</v>
      </c>
      <c r="H386" s="21">
        <f t="shared" si="280"/>
        <v>322.72000000000003</v>
      </c>
      <c r="I386" s="348">
        <f t="shared" si="283"/>
        <v>187026.8299999999</v>
      </c>
      <c r="J386" s="348">
        <f t="shared" si="284"/>
        <v>96593.969999999914</v>
      </c>
      <c r="K386" s="348">
        <f t="shared" si="285"/>
        <v>0</v>
      </c>
      <c r="L386" s="429">
        <f t="shared" si="277"/>
        <v>27</v>
      </c>
      <c r="M386" s="429">
        <f t="shared" si="264"/>
        <v>327</v>
      </c>
      <c r="N386" s="348">
        <f t="shared" si="265"/>
        <v>45997.749999999949</v>
      </c>
      <c r="O386" s="348">
        <f t="shared" si="296"/>
        <v>1536.52</v>
      </c>
      <c r="P386" s="348">
        <f t="shared" si="272"/>
        <v>1268.2</v>
      </c>
      <c r="Q386" s="348">
        <f t="shared" si="297"/>
        <v>268.32</v>
      </c>
      <c r="R386" s="348">
        <f t="shared" si="288"/>
        <v>134.16999999999999</v>
      </c>
      <c r="S386" s="348">
        <f t="shared" si="289"/>
        <v>188.55</v>
      </c>
      <c r="T386" s="348">
        <f t="shared" si="286"/>
        <v>1859.24</v>
      </c>
      <c r="U386" s="348">
        <f t="shared" si="273"/>
        <v>186220.44999999995</v>
      </c>
      <c r="V386" s="348">
        <f t="shared" si="274"/>
        <v>317758.10999999975</v>
      </c>
      <c r="W386" s="348">
        <f t="shared" si="287"/>
        <v>44729.549999999952</v>
      </c>
      <c r="X386" s="522" t="str">
        <f t="shared" si="266"/>
        <v xml:space="preserve"> </v>
      </c>
      <c r="Y386" s="348">
        <f t="shared" si="298"/>
        <v>51232.839999999764</v>
      </c>
      <c r="Z386" s="512">
        <f t="shared" si="259"/>
        <v>7.0000000000000007E-2</v>
      </c>
      <c r="AA386" s="348">
        <f t="shared" si="260"/>
        <v>1746.44</v>
      </c>
      <c r="AB386" s="348">
        <f t="shared" si="299"/>
        <v>1447.58</v>
      </c>
      <c r="AC386" s="348">
        <f t="shared" si="261"/>
        <v>298.86</v>
      </c>
      <c r="AD386" s="348">
        <f t="shared" si="290"/>
        <v>134.16999999999999</v>
      </c>
      <c r="AE386" s="348">
        <f t="shared" si="291"/>
        <v>188.55</v>
      </c>
      <c r="AF386" s="348">
        <f t="shared" si="300"/>
        <v>2069.1600000000003</v>
      </c>
      <c r="AG386" s="348">
        <f t="shared" si="301"/>
        <v>226163.54000000007</v>
      </c>
      <c r="AH386" s="348">
        <f t="shared" si="302"/>
        <v>314850.77999999974</v>
      </c>
      <c r="AI386" s="531">
        <f t="shared" si="292"/>
        <v>-37035.759999999827</v>
      </c>
      <c r="AJ386" s="531">
        <f t="shared" si="275"/>
        <v>-5055.70999999981</v>
      </c>
      <c r="AK386" s="530">
        <f t="shared" si="293"/>
        <v>-42091.469999999637</v>
      </c>
      <c r="AL386" s="348">
        <f t="shared" si="303"/>
        <v>49785.259999999762</v>
      </c>
      <c r="AM386" s="429">
        <f t="shared" si="267"/>
        <v>27</v>
      </c>
      <c r="AN386" s="21">
        <f t="shared" si="294"/>
        <v>1536.52</v>
      </c>
      <c r="AO386" s="21">
        <f t="shared" si="276"/>
        <v>90197.179999999935</v>
      </c>
      <c r="AP386" s="21">
        <f t="shared" si="295"/>
        <v>1746.44</v>
      </c>
      <c r="AQ386" s="21"/>
      <c r="AR386" s="23"/>
      <c r="AS386" s="21">
        <f t="shared" si="262"/>
        <v>1536.52</v>
      </c>
      <c r="AT386" s="21">
        <f t="shared" si="268"/>
        <v>254951.36000000112</v>
      </c>
      <c r="AU386" s="348">
        <f t="shared" si="269"/>
        <v>2645.9466066664495</v>
      </c>
      <c r="AV386" s="348">
        <f t="shared" si="270"/>
        <v>565479.9286066012</v>
      </c>
    </row>
    <row r="387" spans="1:48" x14ac:dyDescent="0.25">
      <c r="A387" s="519" t="str">
        <f t="shared" si="281"/>
        <v xml:space="preserve"> </v>
      </c>
      <c r="B387" s="287">
        <f t="shared" si="278"/>
        <v>0</v>
      </c>
      <c r="C387" s="14">
        <f t="shared" si="257"/>
        <v>0</v>
      </c>
      <c r="D387" s="14">
        <f t="shared" si="271"/>
        <v>0</v>
      </c>
      <c r="E387" s="14">
        <f t="shared" si="258"/>
        <v>0</v>
      </c>
      <c r="F387" s="14">
        <f t="shared" si="282"/>
        <v>134.16999999999999</v>
      </c>
      <c r="G387" s="14">
        <f t="shared" si="279"/>
        <v>188.55</v>
      </c>
      <c r="H387" s="14">
        <f t="shared" si="280"/>
        <v>322.72000000000003</v>
      </c>
      <c r="I387" s="287">
        <f t="shared" si="283"/>
        <v>187026.8299999999</v>
      </c>
      <c r="J387" s="287">
        <f t="shared" si="284"/>
        <v>96593.969999999914</v>
      </c>
      <c r="K387" s="287">
        <f t="shared" si="285"/>
        <v>0</v>
      </c>
      <c r="L387" s="428">
        <f t="shared" si="277"/>
        <v>27</v>
      </c>
      <c r="M387" s="428">
        <f t="shared" si="264"/>
        <v>328</v>
      </c>
      <c r="N387" s="287">
        <f t="shared" si="265"/>
        <v>44729.549999999952</v>
      </c>
      <c r="O387" s="287">
        <f t="shared" si="296"/>
        <v>1536.52</v>
      </c>
      <c r="P387" s="287">
        <f t="shared" si="272"/>
        <v>1275.5999999999999</v>
      </c>
      <c r="Q387" s="287">
        <f t="shared" si="297"/>
        <v>260.92</v>
      </c>
      <c r="R387" s="287">
        <f t="shared" si="288"/>
        <v>134.16999999999999</v>
      </c>
      <c r="S387" s="287">
        <f t="shared" si="289"/>
        <v>188.55</v>
      </c>
      <c r="T387" s="287">
        <f t="shared" si="286"/>
        <v>1859.24</v>
      </c>
      <c r="U387" s="287">
        <f t="shared" si="273"/>
        <v>187496.04999999996</v>
      </c>
      <c r="V387" s="287">
        <f t="shared" si="274"/>
        <v>318019.02999999974</v>
      </c>
      <c r="W387" s="287">
        <f t="shared" si="287"/>
        <v>43453.949999999953</v>
      </c>
      <c r="X387" s="519" t="str">
        <f t="shared" si="266"/>
        <v xml:space="preserve"> </v>
      </c>
      <c r="Y387" s="287">
        <f t="shared" si="298"/>
        <v>49785.259999999762</v>
      </c>
      <c r="Z387" s="511">
        <f t="shared" si="259"/>
        <v>7.0000000000000007E-2</v>
      </c>
      <c r="AA387" s="287">
        <f t="shared" si="260"/>
        <v>1746.44</v>
      </c>
      <c r="AB387" s="287">
        <f t="shared" si="299"/>
        <v>1456.03</v>
      </c>
      <c r="AC387" s="287">
        <f t="shared" si="261"/>
        <v>290.41000000000003</v>
      </c>
      <c r="AD387" s="287">
        <f t="shared" si="290"/>
        <v>134.16999999999999</v>
      </c>
      <c r="AE387" s="287">
        <f t="shared" si="291"/>
        <v>188.55</v>
      </c>
      <c r="AF387" s="287">
        <f t="shared" si="300"/>
        <v>2069.1600000000003</v>
      </c>
      <c r="AG387" s="287">
        <f t="shared" si="301"/>
        <v>227619.57000000007</v>
      </c>
      <c r="AH387" s="287">
        <f t="shared" si="302"/>
        <v>315141.18999999971</v>
      </c>
      <c r="AI387" s="530">
        <f t="shared" si="292"/>
        <v>-37245.679999999826</v>
      </c>
      <c r="AJ387" s="530">
        <f t="shared" si="275"/>
        <v>-4875.2799999998097</v>
      </c>
      <c r="AK387" s="530">
        <f t="shared" si="293"/>
        <v>-42120.959999999635</v>
      </c>
      <c r="AL387" s="287">
        <f t="shared" si="303"/>
        <v>48329.229999999763</v>
      </c>
      <c r="AM387" s="428">
        <f t="shared" si="267"/>
        <v>27</v>
      </c>
      <c r="AN387" s="14">
        <f t="shared" si="294"/>
        <v>1536.52</v>
      </c>
      <c r="AO387" s="14">
        <f t="shared" si="276"/>
        <v>88921.579999999929</v>
      </c>
      <c r="AP387" s="14">
        <f t="shared" si="295"/>
        <v>1746.44</v>
      </c>
      <c r="AS387" s="14">
        <f t="shared" si="262"/>
        <v>1536.52</v>
      </c>
      <c r="AT387" s="14">
        <f t="shared" si="268"/>
        <v>256487.88000000111</v>
      </c>
      <c r="AU387" s="287">
        <f t="shared" si="269"/>
        <v>2654.7664286886707</v>
      </c>
      <c r="AV387" s="287">
        <f t="shared" si="270"/>
        <v>568134.69503528986</v>
      </c>
    </row>
    <row r="388" spans="1:48" x14ac:dyDescent="0.25">
      <c r="A388" s="519" t="str">
        <f t="shared" si="281"/>
        <v xml:space="preserve"> </v>
      </c>
      <c r="B388" s="287">
        <f t="shared" si="278"/>
        <v>0</v>
      </c>
      <c r="C388" s="14">
        <f t="shared" si="257"/>
        <v>0</v>
      </c>
      <c r="D388" s="14">
        <f t="shared" si="271"/>
        <v>0</v>
      </c>
      <c r="E388" s="14">
        <f t="shared" si="258"/>
        <v>0</v>
      </c>
      <c r="F388" s="14">
        <f t="shared" si="282"/>
        <v>134.16999999999999</v>
      </c>
      <c r="G388" s="14">
        <f t="shared" si="279"/>
        <v>188.55</v>
      </c>
      <c r="H388" s="14">
        <f t="shared" si="280"/>
        <v>322.72000000000003</v>
      </c>
      <c r="I388" s="287">
        <f t="shared" si="283"/>
        <v>187026.8299999999</v>
      </c>
      <c r="J388" s="287">
        <f t="shared" si="284"/>
        <v>96593.969999999914</v>
      </c>
      <c r="K388" s="287">
        <f t="shared" si="285"/>
        <v>0</v>
      </c>
      <c r="L388" s="428">
        <f t="shared" si="277"/>
        <v>27</v>
      </c>
      <c r="M388" s="428">
        <f t="shared" si="264"/>
        <v>329</v>
      </c>
      <c r="N388" s="287">
        <f t="shared" si="265"/>
        <v>43453.949999999953</v>
      </c>
      <c r="O388" s="287">
        <f t="shared" si="296"/>
        <v>1536.52</v>
      </c>
      <c r="P388" s="287">
        <f t="shared" si="272"/>
        <v>1283.04</v>
      </c>
      <c r="Q388" s="287">
        <f t="shared" si="297"/>
        <v>253.48</v>
      </c>
      <c r="R388" s="287">
        <f t="shared" si="288"/>
        <v>134.16999999999999</v>
      </c>
      <c r="S388" s="287">
        <f t="shared" si="289"/>
        <v>188.55</v>
      </c>
      <c r="T388" s="287">
        <f t="shared" si="286"/>
        <v>1859.24</v>
      </c>
      <c r="U388" s="287">
        <f t="shared" si="273"/>
        <v>188779.08999999997</v>
      </c>
      <c r="V388" s="287">
        <f t="shared" si="274"/>
        <v>318272.50999999972</v>
      </c>
      <c r="W388" s="287">
        <f t="shared" si="287"/>
        <v>42170.909999999953</v>
      </c>
      <c r="X388" s="519" t="str">
        <f t="shared" si="266"/>
        <v xml:space="preserve"> </v>
      </c>
      <c r="Y388" s="287">
        <f t="shared" si="298"/>
        <v>48329.229999999763</v>
      </c>
      <c r="Z388" s="511">
        <f t="shared" si="259"/>
        <v>7.0000000000000007E-2</v>
      </c>
      <c r="AA388" s="287">
        <f t="shared" si="260"/>
        <v>1746.44</v>
      </c>
      <c r="AB388" s="287">
        <f t="shared" si="299"/>
        <v>1464.52</v>
      </c>
      <c r="AC388" s="287">
        <f t="shared" si="261"/>
        <v>281.92</v>
      </c>
      <c r="AD388" s="287">
        <f t="shared" si="290"/>
        <v>134.16999999999999</v>
      </c>
      <c r="AE388" s="287">
        <f t="shared" si="291"/>
        <v>188.55</v>
      </c>
      <c r="AF388" s="287">
        <f t="shared" si="300"/>
        <v>2069.1600000000003</v>
      </c>
      <c r="AG388" s="287">
        <f t="shared" si="301"/>
        <v>229084.09000000005</v>
      </c>
      <c r="AH388" s="287">
        <f t="shared" si="302"/>
        <v>315423.10999999969</v>
      </c>
      <c r="AI388" s="530">
        <f t="shared" si="292"/>
        <v>-37455.599999999824</v>
      </c>
      <c r="AJ388" s="530">
        <f t="shared" si="275"/>
        <v>-4693.7999999998137</v>
      </c>
      <c r="AK388" s="530">
        <f t="shared" si="293"/>
        <v>-42149.399999999638</v>
      </c>
      <c r="AL388" s="287">
        <f t="shared" si="303"/>
        <v>46864.709999999766</v>
      </c>
      <c r="AM388" s="428">
        <f t="shared" si="267"/>
        <v>27</v>
      </c>
      <c r="AN388" s="14">
        <f t="shared" si="294"/>
        <v>1536.52</v>
      </c>
      <c r="AO388" s="14">
        <f t="shared" si="276"/>
        <v>87638.539999999921</v>
      </c>
      <c r="AP388" s="14">
        <f t="shared" si="295"/>
        <v>1746.44</v>
      </c>
      <c r="AS388" s="14">
        <f t="shared" si="262"/>
        <v>1536.52</v>
      </c>
      <c r="AT388" s="14">
        <f t="shared" si="268"/>
        <v>258024.4000000011</v>
      </c>
      <c r="AU388" s="287">
        <f t="shared" si="269"/>
        <v>2663.6156501176329</v>
      </c>
      <c r="AV388" s="287">
        <f t="shared" si="270"/>
        <v>570798.31068540749</v>
      </c>
    </row>
    <row r="389" spans="1:48" x14ac:dyDescent="0.25">
      <c r="A389" s="519" t="str">
        <f t="shared" si="281"/>
        <v xml:space="preserve"> </v>
      </c>
      <c r="B389" s="287">
        <f t="shared" si="278"/>
        <v>0</v>
      </c>
      <c r="C389" s="14">
        <f t="shared" si="257"/>
        <v>0</v>
      </c>
      <c r="D389" s="14">
        <f t="shared" si="271"/>
        <v>0</v>
      </c>
      <c r="E389" s="14">
        <f t="shared" si="258"/>
        <v>0</v>
      </c>
      <c r="F389" s="14">
        <f t="shared" si="282"/>
        <v>134.16999999999999</v>
      </c>
      <c r="G389" s="14">
        <f t="shared" si="279"/>
        <v>188.55</v>
      </c>
      <c r="H389" s="14">
        <f t="shared" si="280"/>
        <v>322.72000000000003</v>
      </c>
      <c r="I389" s="287">
        <f t="shared" si="283"/>
        <v>187026.8299999999</v>
      </c>
      <c r="J389" s="287">
        <f t="shared" si="284"/>
        <v>96593.969999999914</v>
      </c>
      <c r="K389" s="287">
        <f t="shared" si="285"/>
        <v>0</v>
      </c>
      <c r="L389" s="428">
        <f t="shared" si="277"/>
        <v>27</v>
      </c>
      <c r="M389" s="428">
        <f t="shared" si="264"/>
        <v>330</v>
      </c>
      <c r="N389" s="287">
        <f t="shared" si="265"/>
        <v>42170.909999999953</v>
      </c>
      <c r="O389" s="287">
        <f t="shared" si="296"/>
        <v>1536.52</v>
      </c>
      <c r="P389" s="287">
        <f t="shared" si="272"/>
        <v>1290.52</v>
      </c>
      <c r="Q389" s="287">
        <f t="shared" si="297"/>
        <v>246</v>
      </c>
      <c r="R389" s="287">
        <f t="shared" si="288"/>
        <v>134.16999999999999</v>
      </c>
      <c r="S389" s="287">
        <f t="shared" si="289"/>
        <v>188.55</v>
      </c>
      <c r="T389" s="287">
        <f t="shared" si="286"/>
        <v>1859.24</v>
      </c>
      <c r="U389" s="287">
        <f t="shared" si="273"/>
        <v>190069.60999999996</v>
      </c>
      <c r="V389" s="287">
        <f t="shared" si="274"/>
        <v>318518.50999999972</v>
      </c>
      <c r="W389" s="287">
        <f t="shared" si="287"/>
        <v>40880.389999999956</v>
      </c>
      <c r="X389" s="519" t="str">
        <f t="shared" si="266"/>
        <v xml:space="preserve"> </v>
      </c>
      <c r="Y389" s="287">
        <f t="shared" si="298"/>
        <v>46864.709999999766</v>
      </c>
      <c r="Z389" s="511">
        <f t="shared" si="259"/>
        <v>7.0000000000000007E-2</v>
      </c>
      <c r="AA389" s="287">
        <f t="shared" si="260"/>
        <v>1746.44</v>
      </c>
      <c r="AB389" s="287">
        <f t="shared" si="299"/>
        <v>1473.06</v>
      </c>
      <c r="AC389" s="287">
        <f t="shared" si="261"/>
        <v>273.38</v>
      </c>
      <c r="AD389" s="287">
        <f t="shared" si="290"/>
        <v>134.16999999999999</v>
      </c>
      <c r="AE389" s="287">
        <f t="shared" si="291"/>
        <v>188.55</v>
      </c>
      <c r="AF389" s="287">
        <f t="shared" si="300"/>
        <v>2069.1600000000003</v>
      </c>
      <c r="AG389" s="287">
        <f t="shared" si="301"/>
        <v>230557.15000000005</v>
      </c>
      <c r="AH389" s="287">
        <f t="shared" si="302"/>
        <v>315696.4899999997</v>
      </c>
      <c r="AI389" s="530">
        <f t="shared" si="292"/>
        <v>-37665.519999999822</v>
      </c>
      <c r="AJ389" s="530">
        <f t="shared" si="275"/>
        <v>-4511.2599999998129</v>
      </c>
      <c r="AK389" s="530">
        <f t="shared" si="293"/>
        <v>-42176.779999999635</v>
      </c>
      <c r="AL389" s="287">
        <f t="shared" si="303"/>
        <v>45391.649999999769</v>
      </c>
      <c r="AM389" s="428">
        <f t="shared" si="267"/>
        <v>27</v>
      </c>
      <c r="AN389" s="14">
        <f t="shared" si="294"/>
        <v>1536.52</v>
      </c>
      <c r="AO389" s="14">
        <f t="shared" si="276"/>
        <v>86348.019999999931</v>
      </c>
      <c r="AP389" s="14">
        <f t="shared" si="295"/>
        <v>1746.44</v>
      </c>
      <c r="AS389" s="14">
        <f t="shared" si="262"/>
        <v>1536.52</v>
      </c>
      <c r="AT389" s="14">
        <f t="shared" si="268"/>
        <v>259560.92000000109</v>
      </c>
      <c r="AU389" s="287">
        <f t="shared" si="269"/>
        <v>2672.4943689513584</v>
      </c>
      <c r="AV389" s="287">
        <f t="shared" si="270"/>
        <v>573470.80505435879</v>
      </c>
    </row>
    <row r="390" spans="1:48" x14ac:dyDescent="0.25">
      <c r="A390" s="519" t="str">
        <f t="shared" si="281"/>
        <v xml:space="preserve"> </v>
      </c>
      <c r="B390" s="287">
        <f t="shared" si="278"/>
        <v>0</v>
      </c>
      <c r="C390" s="14">
        <f t="shared" si="257"/>
        <v>0</v>
      </c>
      <c r="D390" s="14">
        <f t="shared" si="271"/>
        <v>0</v>
      </c>
      <c r="E390" s="14">
        <f t="shared" si="258"/>
        <v>0</v>
      </c>
      <c r="F390" s="14">
        <f t="shared" si="282"/>
        <v>134.16999999999999</v>
      </c>
      <c r="G390" s="14">
        <f t="shared" si="279"/>
        <v>188.55</v>
      </c>
      <c r="H390" s="14">
        <f t="shared" si="280"/>
        <v>322.72000000000003</v>
      </c>
      <c r="I390" s="287">
        <f t="shared" si="283"/>
        <v>187026.8299999999</v>
      </c>
      <c r="J390" s="287">
        <f t="shared" si="284"/>
        <v>96593.969999999914</v>
      </c>
      <c r="K390" s="287">
        <f t="shared" si="285"/>
        <v>0</v>
      </c>
      <c r="L390" s="428">
        <f t="shared" si="277"/>
        <v>27</v>
      </c>
      <c r="M390" s="428">
        <f t="shared" si="264"/>
        <v>331</v>
      </c>
      <c r="N390" s="287">
        <f t="shared" si="265"/>
        <v>40880.389999999956</v>
      </c>
      <c r="O390" s="287">
        <f t="shared" si="296"/>
        <v>1536.52</v>
      </c>
      <c r="P390" s="287">
        <f t="shared" si="272"/>
        <v>1298.05</v>
      </c>
      <c r="Q390" s="287">
        <f t="shared" si="297"/>
        <v>238.47</v>
      </c>
      <c r="R390" s="287">
        <f t="shared" si="288"/>
        <v>134.16999999999999</v>
      </c>
      <c r="S390" s="287">
        <f t="shared" si="289"/>
        <v>188.55</v>
      </c>
      <c r="T390" s="287">
        <f t="shared" si="286"/>
        <v>1859.24</v>
      </c>
      <c r="U390" s="287">
        <f t="shared" si="273"/>
        <v>191367.65999999995</v>
      </c>
      <c r="V390" s="287">
        <f t="shared" si="274"/>
        <v>318756.97999999969</v>
      </c>
      <c r="W390" s="287">
        <f t="shared" si="287"/>
        <v>39582.339999999953</v>
      </c>
      <c r="X390" s="519" t="str">
        <f t="shared" si="266"/>
        <v xml:space="preserve"> </v>
      </c>
      <c r="Y390" s="287">
        <f t="shared" si="298"/>
        <v>45391.649999999769</v>
      </c>
      <c r="Z390" s="511">
        <f t="shared" si="259"/>
        <v>7.0000000000000007E-2</v>
      </c>
      <c r="AA390" s="287">
        <f t="shared" si="260"/>
        <v>1746.44</v>
      </c>
      <c r="AB390" s="287">
        <f t="shared" si="299"/>
        <v>1481.66</v>
      </c>
      <c r="AC390" s="287">
        <f t="shared" si="261"/>
        <v>264.77999999999997</v>
      </c>
      <c r="AD390" s="287">
        <f t="shared" si="290"/>
        <v>134.16999999999999</v>
      </c>
      <c r="AE390" s="287">
        <f t="shared" si="291"/>
        <v>188.55</v>
      </c>
      <c r="AF390" s="287">
        <f t="shared" si="300"/>
        <v>2069.1600000000003</v>
      </c>
      <c r="AG390" s="287">
        <f t="shared" si="301"/>
        <v>232038.81000000006</v>
      </c>
      <c r="AH390" s="287">
        <f t="shared" si="302"/>
        <v>315961.26999999973</v>
      </c>
      <c r="AI390" s="530">
        <f t="shared" si="292"/>
        <v>-37875.43999999982</v>
      </c>
      <c r="AJ390" s="530">
        <f t="shared" si="275"/>
        <v>-4327.6499999998123</v>
      </c>
      <c r="AK390" s="530">
        <f t="shared" si="293"/>
        <v>-42203.089999999633</v>
      </c>
      <c r="AL390" s="287">
        <f t="shared" si="303"/>
        <v>43909.989999999765</v>
      </c>
      <c r="AM390" s="428">
        <f t="shared" si="267"/>
        <v>27</v>
      </c>
      <c r="AN390" s="14">
        <f t="shared" si="294"/>
        <v>1536.52</v>
      </c>
      <c r="AO390" s="14">
        <f t="shared" si="276"/>
        <v>85049.969999999943</v>
      </c>
      <c r="AP390" s="14">
        <f t="shared" si="295"/>
        <v>1746.44</v>
      </c>
      <c r="AS390" s="14">
        <f t="shared" si="262"/>
        <v>1536.52</v>
      </c>
      <c r="AT390" s="14">
        <f t="shared" si="268"/>
        <v>261097.44000000108</v>
      </c>
      <c r="AU390" s="287">
        <f t="shared" si="269"/>
        <v>2681.4026835145291</v>
      </c>
      <c r="AV390" s="287">
        <f t="shared" si="270"/>
        <v>576152.20773787331</v>
      </c>
    </row>
    <row r="391" spans="1:48" x14ac:dyDescent="0.25">
      <c r="A391" s="519" t="str">
        <f t="shared" si="281"/>
        <v xml:space="preserve"> </v>
      </c>
      <c r="B391" s="287">
        <f t="shared" si="278"/>
        <v>0</v>
      </c>
      <c r="C391" s="14">
        <f t="shared" si="257"/>
        <v>0</v>
      </c>
      <c r="D391" s="14">
        <f t="shared" si="271"/>
        <v>0</v>
      </c>
      <c r="E391" s="14">
        <f t="shared" si="258"/>
        <v>0</v>
      </c>
      <c r="F391" s="14">
        <f t="shared" si="282"/>
        <v>134.16999999999999</v>
      </c>
      <c r="G391" s="14">
        <f t="shared" si="279"/>
        <v>188.55</v>
      </c>
      <c r="H391" s="14">
        <f t="shared" si="280"/>
        <v>322.72000000000003</v>
      </c>
      <c r="I391" s="287">
        <f t="shared" si="283"/>
        <v>187026.8299999999</v>
      </c>
      <c r="J391" s="287">
        <f t="shared" si="284"/>
        <v>96593.969999999914</v>
      </c>
      <c r="K391" s="287">
        <f t="shared" si="285"/>
        <v>0</v>
      </c>
      <c r="L391" s="428">
        <f t="shared" si="277"/>
        <v>27</v>
      </c>
      <c r="M391" s="428">
        <f t="shared" si="264"/>
        <v>332</v>
      </c>
      <c r="N391" s="287">
        <f t="shared" si="265"/>
        <v>39582.339999999953</v>
      </c>
      <c r="O391" s="287">
        <f t="shared" si="296"/>
        <v>1536.52</v>
      </c>
      <c r="P391" s="287">
        <f t="shared" si="272"/>
        <v>1305.6199999999999</v>
      </c>
      <c r="Q391" s="287">
        <f t="shared" si="297"/>
        <v>230.9</v>
      </c>
      <c r="R391" s="287">
        <f t="shared" si="288"/>
        <v>134.16999999999999</v>
      </c>
      <c r="S391" s="287">
        <f t="shared" si="289"/>
        <v>188.55</v>
      </c>
      <c r="T391" s="287">
        <f t="shared" si="286"/>
        <v>1859.24</v>
      </c>
      <c r="U391" s="287">
        <f t="shared" si="273"/>
        <v>192673.27999999994</v>
      </c>
      <c r="V391" s="287">
        <f t="shared" si="274"/>
        <v>318987.87999999971</v>
      </c>
      <c r="W391" s="287">
        <f t="shared" si="287"/>
        <v>38276.71999999995</v>
      </c>
      <c r="X391" s="519" t="str">
        <f t="shared" si="266"/>
        <v xml:space="preserve"> </v>
      </c>
      <c r="Y391" s="287">
        <f t="shared" si="298"/>
        <v>43909.989999999765</v>
      </c>
      <c r="Z391" s="511">
        <f t="shared" si="259"/>
        <v>7.0000000000000007E-2</v>
      </c>
      <c r="AA391" s="287">
        <f t="shared" si="260"/>
        <v>1746.44</v>
      </c>
      <c r="AB391" s="287">
        <f t="shared" si="299"/>
        <v>1490.3000000000002</v>
      </c>
      <c r="AC391" s="287">
        <f t="shared" si="261"/>
        <v>256.14</v>
      </c>
      <c r="AD391" s="287">
        <f t="shared" si="290"/>
        <v>134.16999999999999</v>
      </c>
      <c r="AE391" s="287">
        <f t="shared" si="291"/>
        <v>188.55</v>
      </c>
      <c r="AF391" s="287">
        <f t="shared" si="300"/>
        <v>2069.1600000000003</v>
      </c>
      <c r="AG391" s="287">
        <f t="shared" si="301"/>
        <v>233529.11000000004</v>
      </c>
      <c r="AH391" s="287">
        <f t="shared" si="302"/>
        <v>316217.40999999974</v>
      </c>
      <c r="AI391" s="530">
        <f t="shared" si="292"/>
        <v>-38085.359999999819</v>
      </c>
      <c r="AJ391" s="530">
        <f t="shared" si="275"/>
        <v>-4142.969999999812</v>
      </c>
      <c r="AK391" s="530">
        <f t="shared" si="293"/>
        <v>-42228.329999999631</v>
      </c>
      <c r="AL391" s="287">
        <f t="shared" si="303"/>
        <v>42419.689999999762</v>
      </c>
      <c r="AM391" s="428">
        <f t="shared" si="267"/>
        <v>27</v>
      </c>
      <c r="AN391" s="14">
        <f t="shared" si="294"/>
        <v>1536.52</v>
      </c>
      <c r="AO391" s="14">
        <f t="shared" si="276"/>
        <v>83744.349999999948</v>
      </c>
      <c r="AP391" s="14">
        <f t="shared" si="295"/>
        <v>1746.44</v>
      </c>
      <c r="AS391" s="14">
        <f t="shared" si="262"/>
        <v>1536.52</v>
      </c>
      <c r="AT391" s="14">
        <f t="shared" si="268"/>
        <v>262633.96000000107</v>
      </c>
      <c r="AU391" s="287">
        <f t="shared" si="269"/>
        <v>2690.3406924595779</v>
      </c>
      <c r="AV391" s="287">
        <f t="shared" si="270"/>
        <v>578842.54843033291</v>
      </c>
    </row>
    <row r="392" spans="1:48" x14ac:dyDescent="0.25">
      <c r="A392" s="519" t="str">
        <f t="shared" si="281"/>
        <v xml:space="preserve"> </v>
      </c>
      <c r="B392" s="287">
        <f t="shared" si="278"/>
        <v>0</v>
      </c>
      <c r="C392" s="14">
        <f t="shared" si="257"/>
        <v>0</v>
      </c>
      <c r="D392" s="14">
        <f t="shared" si="271"/>
        <v>0</v>
      </c>
      <c r="E392" s="14">
        <f t="shared" si="258"/>
        <v>0</v>
      </c>
      <c r="F392" s="14">
        <f t="shared" si="282"/>
        <v>134.16999999999999</v>
      </c>
      <c r="G392" s="14">
        <f t="shared" si="279"/>
        <v>188.55</v>
      </c>
      <c r="H392" s="14">
        <f t="shared" si="280"/>
        <v>322.72000000000003</v>
      </c>
      <c r="I392" s="287">
        <f t="shared" si="283"/>
        <v>187026.8299999999</v>
      </c>
      <c r="J392" s="287">
        <f t="shared" si="284"/>
        <v>96593.969999999914</v>
      </c>
      <c r="K392" s="287">
        <f t="shared" si="285"/>
        <v>0</v>
      </c>
      <c r="L392" s="428">
        <f t="shared" si="277"/>
        <v>27</v>
      </c>
      <c r="M392" s="428">
        <f t="shared" si="264"/>
        <v>333</v>
      </c>
      <c r="N392" s="287">
        <f t="shared" si="265"/>
        <v>38276.71999999995</v>
      </c>
      <c r="O392" s="287">
        <f t="shared" si="296"/>
        <v>1536.52</v>
      </c>
      <c r="P392" s="287">
        <f t="shared" si="272"/>
        <v>1313.24</v>
      </c>
      <c r="Q392" s="287">
        <f t="shared" si="297"/>
        <v>223.28</v>
      </c>
      <c r="R392" s="287">
        <f t="shared" si="288"/>
        <v>134.16999999999999</v>
      </c>
      <c r="S392" s="287">
        <f t="shared" si="289"/>
        <v>188.55</v>
      </c>
      <c r="T392" s="287">
        <f t="shared" si="286"/>
        <v>1859.24</v>
      </c>
      <c r="U392" s="287">
        <f t="shared" si="273"/>
        <v>193986.51999999993</v>
      </c>
      <c r="V392" s="287">
        <f t="shared" si="274"/>
        <v>319211.15999999974</v>
      </c>
      <c r="W392" s="287">
        <f t="shared" si="287"/>
        <v>36963.479999999952</v>
      </c>
      <c r="X392" s="519" t="str">
        <f t="shared" si="266"/>
        <v xml:space="preserve"> </v>
      </c>
      <c r="Y392" s="287">
        <f t="shared" si="298"/>
        <v>42419.689999999762</v>
      </c>
      <c r="Z392" s="511">
        <f t="shared" si="259"/>
        <v>7.0000000000000007E-2</v>
      </c>
      <c r="AA392" s="287">
        <f t="shared" si="260"/>
        <v>1746.44</v>
      </c>
      <c r="AB392" s="287">
        <f t="shared" si="299"/>
        <v>1498.99</v>
      </c>
      <c r="AC392" s="287">
        <f t="shared" si="261"/>
        <v>247.45</v>
      </c>
      <c r="AD392" s="287">
        <f t="shared" si="290"/>
        <v>134.16999999999999</v>
      </c>
      <c r="AE392" s="287">
        <f t="shared" si="291"/>
        <v>188.55</v>
      </c>
      <c r="AF392" s="287">
        <f t="shared" si="300"/>
        <v>2069.1600000000003</v>
      </c>
      <c r="AG392" s="287">
        <f t="shared" si="301"/>
        <v>235028.10000000003</v>
      </c>
      <c r="AH392" s="287">
        <f t="shared" si="302"/>
        <v>316464.85999999975</v>
      </c>
      <c r="AI392" s="530">
        <f t="shared" si="292"/>
        <v>-38295.279999999817</v>
      </c>
      <c r="AJ392" s="530">
        <f t="shared" si="275"/>
        <v>-3957.219999999812</v>
      </c>
      <c r="AK392" s="530">
        <f t="shared" si="293"/>
        <v>-42252.499999999629</v>
      </c>
      <c r="AL392" s="287">
        <f t="shared" si="303"/>
        <v>40920.699999999764</v>
      </c>
      <c r="AM392" s="428">
        <f t="shared" si="267"/>
        <v>27</v>
      </c>
      <c r="AN392" s="14">
        <f t="shared" si="294"/>
        <v>1536.52</v>
      </c>
      <c r="AO392" s="14">
        <f t="shared" si="276"/>
        <v>82431.109999999957</v>
      </c>
      <c r="AP392" s="14">
        <f t="shared" si="295"/>
        <v>1746.44</v>
      </c>
      <c r="AS392" s="14">
        <f t="shared" si="262"/>
        <v>1536.52</v>
      </c>
      <c r="AT392" s="14">
        <f t="shared" si="268"/>
        <v>264170.48000000109</v>
      </c>
      <c r="AU392" s="287">
        <f t="shared" si="269"/>
        <v>2699.3084947677767</v>
      </c>
      <c r="AV392" s="287">
        <f t="shared" si="270"/>
        <v>581541.85692510067</v>
      </c>
    </row>
    <row r="393" spans="1:48" x14ac:dyDescent="0.25">
      <c r="A393" s="519" t="str">
        <f t="shared" si="281"/>
        <v xml:space="preserve"> </v>
      </c>
      <c r="B393" s="287">
        <f t="shared" si="278"/>
        <v>0</v>
      </c>
      <c r="C393" s="14">
        <f t="shared" si="257"/>
        <v>0</v>
      </c>
      <c r="D393" s="14">
        <f t="shared" si="271"/>
        <v>0</v>
      </c>
      <c r="E393" s="14">
        <f t="shared" si="258"/>
        <v>0</v>
      </c>
      <c r="F393" s="14">
        <f t="shared" si="282"/>
        <v>134.16999999999999</v>
      </c>
      <c r="G393" s="14">
        <f t="shared" si="279"/>
        <v>188.55</v>
      </c>
      <c r="H393" s="14">
        <f t="shared" si="280"/>
        <v>322.72000000000003</v>
      </c>
      <c r="I393" s="287">
        <f t="shared" si="283"/>
        <v>187026.8299999999</v>
      </c>
      <c r="J393" s="287">
        <f t="shared" si="284"/>
        <v>96593.969999999914</v>
      </c>
      <c r="K393" s="287">
        <f t="shared" si="285"/>
        <v>0</v>
      </c>
      <c r="L393" s="428">
        <f t="shared" si="277"/>
        <v>27</v>
      </c>
      <c r="M393" s="428">
        <f t="shared" si="264"/>
        <v>334</v>
      </c>
      <c r="N393" s="287">
        <f t="shared" si="265"/>
        <v>36963.479999999952</v>
      </c>
      <c r="O393" s="287">
        <f t="shared" si="296"/>
        <v>1536.52</v>
      </c>
      <c r="P393" s="287">
        <f t="shared" si="272"/>
        <v>1320.9</v>
      </c>
      <c r="Q393" s="287">
        <f t="shared" si="297"/>
        <v>215.62</v>
      </c>
      <c r="R393" s="287">
        <f t="shared" si="288"/>
        <v>134.16999999999999</v>
      </c>
      <c r="S393" s="287">
        <f t="shared" si="289"/>
        <v>188.55</v>
      </c>
      <c r="T393" s="287">
        <f t="shared" si="286"/>
        <v>1859.24</v>
      </c>
      <c r="U393" s="287">
        <f t="shared" si="273"/>
        <v>195307.41999999993</v>
      </c>
      <c r="V393" s="287">
        <f t="shared" si="274"/>
        <v>319426.77999999974</v>
      </c>
      <c r="W393" s="287">
        <f t="shared" si="287"/>
        <v>35642.579999999951</v>
      </c>
      <c r="X393" s="519" t="str">
        <f t="shared" si="266"/>
        <v xml:space="preserve"> </v>
      </c>
      <c r="Y393" s="287">
        <f t="shared" si="298"/>
        <v>40920.699999999764</v>
      </c>
      <c r="Z393" s="511">
        <f t="shared" si="259"/>
        <v>7.0000000000000007E-2</v>
      </c>
      <c r="AA393" s="287">
        <f t="shared" si="260"/>
        <v>1746.44</v>
      </c>
      <c r="AB393" s="287">
        <f t="shared" si="299"/>
        <v>1507.74</v>
      </c>
      <c r="AC393" s="287">
        <f t="shared" si="261"/>
        <v>238.7</v>
      </c>
      <c r="AD393" s="287">
        <f t="shared" si="290"/>
        <v>134.16999999999999</v>
      </c>
      <c r="AE393" s="287">
        <f t="shared" si="291"/>
        <v>188.55</v>
      </c>
      <c r="AF393" s="287">
        <f t="shared" si="300"/>
        <v>2069.1600000000003</v>
      </c>
      <c r="AG393" s="287">
        <f t="shared" si="301"/>
        <v>236535.84000000003</v>
      </c>
      <c r="AH393" s="287">
        <f t="shared" si="302"/>
        <v>316703.55999999976</v>
      </c>
      <c r="AI393" s="530">
        <f t="shared" si="292"/>
        <v>-38505.199999999815</v>
      </c>
      <c r="AJ393" s="530">
        <f t="shared" si="275"/>
        <v>-3770.3799999998155</v>
      </c>
      <c r="AK393" s="530">
        <f t="shared" si="293"/>
        <v>-42275.579999999631</v>
      </c>
      <c r="AL393" s="287">
        <f t="shared" si="303"/>
        <v>39412.959999999766</v>
      </c>
      <c r="AM393" s="428">
        <f t="shared" si="267"/>
        <v>27</v>
      </c>
      <c r="AN393" s="14">
        <f t="shared" si="294"/>
        <v>1536.52</v>
      </c>
      <c r="AO393" s="14">
        <f t="shared" si="276"/>
        <v>81110.209999999963</v>
      </c>
      <c r="AP393" s="14">
        <f t="shared" si="295"/>
        <v>1746.44</v>
      </c>
      <c r="AS393" s="14">
        <f t="shared" si="262"/>
        <v>1536.52</v>
      </c>
      <c r="AT393" s="14">
        <f t="shared" si="268"/>
        <v>265707.00000000111</v>
      </c>
      <c r="AU393" s="287">
        <f t="shared" si="269"/>
        <v>2708.3061897503358</v>
      </c>
      <c r="AV393" s="287">
        <f t="shared" si="270"/>
        <v>584250.16311485099</v>
      </c>
    </row>
    <row r="394" spans="1:48" x14ac:dyDescent="0.25">
      <c r="A394" s="519" t="str">
        <f t="shared" si="281"/>
        <v xml:space="preserve"> </v>
      </c>
      <c r="B394" s="287">
        <f t="shared" si="278"/>
        <v>0</v>
      </c>
      <c r="C394" s="14">
        <f t="shared" si="257"/>
        <v>0</v>
      </c>
      <c r="D394" s="14">
        <f t="shared" si="271"/>
        <v>0</v>
      </c>
      <c r="E394" s="14">
        <f t="shared" si="258"/>
        <v>0</v>
      </c>
      <c r="F394" s="14">
        <f t="shared" si="282"/>
        <v>134.16999999999999</v>
      </c>
      <c r="G394" s="14">
        <f t="shared" si="279"/>
        <v>188.55</v>
      </c>
      <c r="H394" s="14">
        <f t="shared" si="280"/>
        <v>322.72000000000003</v>
      </c>
      <c r="I394" s="287">
        <f t="shared" si="283"/>
        <v>187026.8299999999</v>
      </c>
      <c r="J394" s="287">
        <f t="shared" si="284"/>
        <v>96593.969999999914</v>
      </c>
      <c r="K394" s="287">
        <f t="shared" si="285"/>
        <v>0</v>
      </c>
      <c r="L394" s="428">
        <f t="shared" si="277"/>
        <v>27</v>
      </c>
      <c r="M394" s="428">
        <f t="shared" si="264"/>
        <v>335</v>
      </c>
      <c r="N394" s="287">
        <f t="shared" si="265"/>
        <v>35642.579999999951</v>
      </c>
      <c r="O394" s="287">
        <f t="shared" si="296"/>
        <v>1536.52</v>
      </c>
      <c r="P394" s="287">
        <f t="shared" si="272"/>
        <v>1328.6</v>
      </c>
      <c r="Q394" s="287">
        <f t="shared" si="297"/>
        <v>207.92</v>
      </c>
      <c r="R394" s="287">
        <f t="shared" si="288"/>
        <v>134.16999999999999</v>
      </c>
      <c r="S394" s="287">
        <f t="shared" si="289"/>
        <v>188.55</v>
      </c>
      <c r="T394" s="287">
        <f t="shared" si="286"/>
        <v>1859.24</v>
      </c>
      <c r="U394" s="287">
        <f t="shared" si="273"/>
        <v>196636.01999999993</v>
      </c>
      <c r="V394" s="287">
        <f t="shared" si="274"/>
        <v>319634.69999999972</v>
      </c>
      <c r="W394" s="287">
        <f t="shared" si="287"/>
        <v>34313.979999999952</v>
      </c>
      <c r="X394" s="519" t="str">
        <f t="shared" si="266"/>
        <v xml:space="preserve"> </v>
      </c>
      <c r="Y394" s="287">
        <f t="shared" si="298"/>
        <v>39412.959999999766</v>
      </c>
      <c r="Z394" s="511">
        <f t="shared" si="259"/>
        <v>7.0000000000000007E-2</v>
      </c>
      <c r="AA394" s="287">
        <f t="shared" si="260"/>
        <v>1746.44</v>
      </c>
      <c r="AB394" s="287">
        <f t="shared" si="299"/>
        <v>1516.53</v>
      </c>
      <c r="AC394" s="287">
        <f t="shared" si="261"/>
        <v>229.91</v>
      </c>
      <c r="AD394" s="287">
        <f t="shared" si="290"/>
        <v>134.16999999999999</v>
      </c>
      <c r="AE394" s="287">
        <f t="shared" si="291"/>
        <v>188.55</v>
      </c>
      <c r="AF394" s="287">
        <f t="shared" si="300"/>
        <v>2069.1600000000003</v>
      </c>
      <c r="AG394" s="287">
        <f t="shared" si="301"/>
        <v>238052.37000000002</v>
      </c>
      <c r="AH394" s="287">
        <f t="shared" si="302"/>
        <v>316933.46999999974</v>
      </c>
      <c r="AI394" s="530">
        <f t="shared" si="292"/>
        <v>-38715.119999999813</v>
      </c>
      <c r="AJ394" s="530">
        <f t="shared" si="275"/>
        <v>-3582.4499999998152</v>
      </c>
      <c r="AK394" s="530">
        <f t="shared" si="293"/>
        <v>-42297.569999999629</v>
      </c>
      <c r="AL394" s="287">
        <f t="shared" si="303"/>
        <v>37896.429999999767</v>
      </c>
      <c r="AM394" s="428">
        <f t="shared" si="267"/>
        <v>27</v>
      </c>
      <c r="AN394" s="14">
        <f t="shared" si="294"/>
        <v>1536.52</v>
      </c>
      <c r="AO394" s="14">
        <f t="shared" si="276"/>
        <v>79781.609999999957</v>
      </c>
      <c r="AP394" s="14">
        <f t="shared" si="295"/>
        <v>1746.44</v>
      </c>
      <c r="AS394" s="14">
        <f t="shared" si="262"/>
        <v>1536.52</v>
      </c>
      <c r="AT394" s="14">
        <f t="shared" si="268"/>
        <v>267243.52000000112</v>
      </c>
      <c r="AU394" s="287">
        <f t="shared" si="269"/>
        <v>2717.3338770495034</v>
      </c>
      <c r="AV394" s="287">
        <f t="shared" si="270"/>
        <v>586967.49699190049</v>
      </c>
    </row>
    <row r="395" spans="1:48" x14ac:dyDescent="0.25">
      <c r="A395" s="519" t="str">
        <f t="shared" si="281"/>
        <v xml:space="preserve"> </v>
      </c>
      <c r="B395" s="287">
        <f t="shared" si="278"/>
        <v>0</v>
      </c>
      <c r="C395" s="14">
        <f t="shared" si="257"/>
        <v>0</v>
      </c>
      <c r="D395" s="14">
        <f t="shared" si="271"/>
        <v>0</v>
      </c>
      <c r="E395" s="14">
        <f t="shared" si="258"/>
        <v>0</v>
      </c>
      <c r="F395" s="14">
        <f t="shared" si="282"/>
        <v>134.16999999999999</v>
      </c>
      <c r="G395" s="14">
        <f t="shared" si="279"/>
        <v>188.55</v>
      </c>
      <c r="H395" s="14">
        <f t="shared" si="280"/>
        <v>322.72000000000003</v>
      </c>
      <c r="I395" s="287">
        <f t="shared" si="283"/>
        <v>187026.8299999999</v>
      </c>
      <c r="J395" s="287">
        <f t="shared" si="284"/>
        <v>96593.969999999914</v>
      </c>
      <c r="K395" s="287">
        <f t="shared" si="285"/>
        <v>0</v>
      </c>
      <c r="L395" s="428">
        <f t="shared" si="277"/>
        <v>28</v>
      </c>
      <c r="M395" s="428">
        <f t="shared" si="264"/>
        <v>336</v>
      </c>
      <c r="N395" s="287">
        <f t="shared" si="265"/>
        <v>34313.979999999952</v>
      </c>
      <c r="O395" s="287">
        <f t="shared" si="296"/>
        <v>1536.52</v>
      </c>
      <c r="P395" s="287">
        <f t="shared" si="272"/>
        <v>1336.36</v>
      </c>
      <c r="Q395" s="287">
        <f t="shared" si="297"/>
        <v>200.16</v>
      </c>
      <c r="R395" s="287">
        <f t="shared" si="288"/>
        <v>134.16999999999999</v>
      </c>
      <c r="S395" s="287">
        <f t="shared" si="289"/>
        <v>188.55</v>
      </c>
      <c r="T395" s="287">
        <f t="shared" si="286"/>
        <v>1859.24</v>
      </c>
      <c r="U395" s="287">
        <f t="shared" si="273"/>
        <v>197972.37999999992</v>
      </c>
      <c r="V395" s="287">
        <f t="shared" si="274"/>
        <v>319834.85999999969</v>
      </c>
      <c r="W395" s="287">
        <f t="shared" si="287"/>
        <v>32977.619999999952</v>
      </c>
      <c r="X395" s="519" t="str">
        <f t="shared" si="266"/>
        <v xml:space="preserve"> </v>
      </c>
      <c r="Y395" s="287">
        <f t="shared" si="298"/>
        <v>37896.429999999767</v>
      </c>
      <c r="Z395" s="511">
        <f t="shared" si="259"/>
        <v>7.0000000000000007E-2</v>
      </c>
      <c r="AA395" s="287">
        <f t="shared" si="260"/>
        <v>1746.44</v>
      </c>
      <c r="AB395" s="287">
        <f t="shared" si="299"/>
        <v>1525.38</v>
      </c>
      <c r="AC395" s="287">
        <f t="shared" si="261"/>
        <v>221.06</v>
      </c>
      <c r="AD395" s="287">
        <f t="shared" si="290"/>
        <v>134.16999999999999</v>
      </c>
      <c r="AE395" s="287">
        <f t="shared" si="291"/>
        <v>188.55</v>
      </c>
      <c r="AF395" s="287">
        <f t="shared" si="300"/>
        <v>2069.1600000000003</v>
      </c>
      <c r="AG395" s="287">
        <f t="shared" si="301"/>
        <v>239577.75000000003</v>
      </c>
      <c r="AH395" s="287">
        <f t="shared" si="302"/>
        <v>317154.52999999974</v>
      </c>
      <c r="AI395" s="530">
        <f t="shared" si="292"/>
        <v>-38925.039999999812</v>
      </c>
      <c r="AJ395" s="530">
        <f t="shared" si="275"/>
        <v>-3393.4299999998184</v>
      </c>
      <c r="AK395" s="530">
        <f t="shared" si="293"/>
        <v>-42318.46999999963</v>
      </c>
      <c r="AL395" s="287">
        <f t="shared" si="303"/>
        <v>36371.04999999977</v>
      </c>
      <c r="AM395" s="428">
        <f t="shared" si="267"/>
        <v>28</v>
      </c>
      <c r="AN395" s="14">
        <f t="shared" si="294"/>
        <v>1536.52</v>
      </c>
      <c r="AO395" s="14">
        <f t="shared" si="276"/>
        <v>78445.249999999971</v>
      </c>
      <c r="AP395" s="14">
        <f t="shared" si="295"/>
        <v>1746.44</v>
      </c>
      <c r="AS395" s="14">
        <f t="shared" si="262"/>
        <v>1536.52</v>
      </c>
      <c r="AT395" s="14">
        <f t="shared" si="268"/>
        <v>268780.04000000114</v>
      </c>
      <c r="AU395" s="287">
        <f t="shared" si="269"/>
        <v>2726.3916566396683</v>
      </c>
      <c r="AV395" s="287">
        <f t="shared" si="270"/>
        <v>589693.88864854013</v>
      </c>
    </row>
    <row r="396" spans="1:48" x14ac:dyDescent="0.25">
      <c r="A396" s="519" t="str">
        <f t="shared" si="281"/>
        <v xml:space="preserve"> </v>
      </c>
      <c r="B396" s="287">
        <f t="shared" si="278"/>
        <v>0</v>
      </c>
      <c r="C396" s="14">
        <f t="shared" si="257"/>
        <v>0</v>
      </c>
      <c r="D396" s="14">
        <f t="shared" si="271"/>
        <v>0</v>
      </c>
      <c r="E396" s="14">
        <f t="shared" si="258"/>
        <v>0</v>
      </c>
      <c r="F396" s="14">
        <f t="shared" si="282"/>
        <v>134.16999999999999</v>
      </c>
      <c r="G396" s="14">
        <f t="shared" si="279"/>
        <v>188.55</v>
      </c>
      <c r="H396" s="14">
        <f t="shared" si="280"/>
        <v>322.72000000000003</v>
      </c>
      <c r="I396" s="287">
        <f t="shared" si="283"/>
        <v>187026.8299999999</v>
      </c>
      <c r="J396" s="287">
        <f t="shared" si="284"/>
        <v>96593.969999999914</v>
      </c>
      <c r="K396" s="287">
        <f t="shared" si="285"/>
        <v>0</v>
      </c>
      <c r="L396" s="428">
        <f t="shared" si="277"/>
        <v>28</v>
      </c>
      <c r="M396" s="428">
        <f t="shared" si="264"/>
        <v>337</v>
      </c>
      <c r="N396" s="287">
        <f t="shared" si="265"/>
        <v>32977.619999999952</v>
      </c>
      <c r="O396" s="287">
        <f t="shared" si="296"/>
        <v>1536.52</v>
      </c>
      <c r="P396" s="287">
        <f t="shared" si="272"/>
        <v>1344.15</v>
      </c>
      <c r="Q396" s="287">
        <f t="shared" si="297"/>
        <v>192.37</v>
      </c>
      <c r="R396" s="287">
        <f t="shared" si="288"/>
        <v>134.16999999999999</v>
      </c>
      <c r="S396" s="287">
        <f t="shared" si="289"/>
        <v>188.55</v>
      </c>
      <c r="T396" s="287">
        <f t="shared" si="286"/>
        <v>1859.24</v>
      </c>
      <c r="U396" s="287">
        <f t="shared" si="273"/>
        <v>199316.52999999991</v>
      </c>
      <c r="V396" s="287">
        <f t="shared" si="274"/>
        <v>320027.22999999969</v>
      </c>
      <c r="W396" s="287">
        <f t="shared" si="287"/>
        <v>31633.46999999995</v>
      </c>
      <c r="X396" s="519" t="str">
        <f t="shared" si="266"/>
        <v xml:space="preserve"> </v>
      </c>
      <c r="Y396" s="287">
        <f t="shared" si="298"/>
        <v>36371.04999999977</v>
      </c>
      <c r="Z396" s="511">
        <f t="shared" si="259"/>
        <v>7.0000000000000007E-2</v>
      </c>
      <c r="AA396" s="287">
        <f t="shared" si="260"/>
        <v>1746.44</v>
      </c>
      <c r="AB396" s="287">
        <f t="shared" si="299"/>
        <v>1534.28</v>
      </c>
      <c r="AC396" s="287">
        <f t="shared" si="261"/>
        <v>212.16</v>
      </c>
      <c r="AD396" s="287">
        <f t="shared" si="290"/>
        <v>134.16999999999999</v>
      </c>
      <c r="AE396" s="287">
        <f t="shared" si="291"/>
        <v>188.55</v>
      </c>
      <c r="AF396" s="287">
        <f t="shared" si="300"/>
        <v>2069.1600000000003</v>
      </c>
      <c r="AG396" s="287">
        <f t="shared" si="301"/>
        <v>241112.03000000003</v>
      </c>
      <c r="AH396" s="287">
        <f t="shared" si="302"/>
        <v>317366.68999999971</v>
      </c>
      <c r="AI396" s="530">
        <f t="shared" si="292"/>
        <v>-39134.95999999981</v>
      </c>
      <c r="AJ396" s="530">
        <f t="shared" si="275"/>
        <v>-3203.299999999821</v>
      </c>
      <c r="AK396" s="530">
        <f t="shared" si="293"/>
        <v>-42338.259999999631</v>
      </c>
      <c r="AL396" s="287">
        <f t="shared" si="303"/>
        <v>34836.769999999771</v>
      </c>
      <c r="AM396" s="428">
        <f t="shared" si="267"/>
        <v>28</v>
      </c>
      <c r="AN396" s="14">
        <f t="shared" si="294"/>
        <v>1536.52</v>
      </c>
      <c r="AO396" s="14">
        <f t="shared" si="276"/>
        <v>77101.099999999977</v>
      </c>
      <c r="AP396" s="14">
        <f t="shared" si="295"/>
        <v>1746.44</v>
      </c>
      <c r="AS396" s="14">
        <f t="shared" si="262"/>
        <v>1536.52</v>
      </c>
      <c r="AT396" s="14">
        <f t="shared" si="268"/>
        <v>270316.56000000116</v>
      </c>
      <c r="AU396" s="287">
        <f t="shared" si="269"/>
        <v>2735.479628828467</v>
      </c>
      <c r="AV396" s="287">
        <f t="shared" si="270"/>
        <v>592429.3682773686</v>
      </c>
    </row>
    <row r="397" spans="1:48" x14ac:dyDescent="0.25">
      <c r="A397" s="519" t="str">
        <f t="shared" si="281"/>
        <v xml:space="preserve"> </v>
      </c>
      <c r="B397" s="287">
        <f t="shared" si="278"/>
        <v>0</v>
      </c>
      <c r="C397" s="14">
        <f t="shared" si="257"/>
        <v>0</v>
      </c>
      <c r="D397" s="14">
        <f t="shared" si="271"/>
        <v>0</v>
      </c>
      <c r="E397" s="14">
        <f t="shared" si="258"/>
        <v>0</v>
      </c>
      <c r="F397" s="14">
        <f t="shared" si="282"/>
        <v>134.16999999999999</v>
      </c>
      <c r="G397" s="14">
        <f t="shared" si="279"/>
        <v>188.55</v>
      </c>
      <c r="H397" s="14">
        <f t="shared" si="280"/>
        <v>322.72000000000003</v>
      </c>
      <c r="I397" s="287">
        <f t="shared" si="283"/>
        <v>187026.8299999999</v>
      </c>
      <c r="J397" s="287">
        <f t="shared" si="284"/>
        <v>96593.969999999914</v>
      </c>
      <c r="K397" s="287">
        <f t="shared" si="285"/>
        <v>0</v>
      </c>
      <c r="L397" s="428">
        <f t="shared" si="277"/>
        <v>28</v>
      </c>
      <c r="M397" s="428">
        <f t="shared" si="264"/>
        <v>338</v>
      </c>
      <c r="N397" s="287">
        <f t="shared" si="265"/>
        <v>31633.46999999995</v>
      </c>
      <c r="O397" s="287">
        <f t="shared" si="296"/>
        <v>1536.52</v>
      </c>
      <c r="P397" s="287">
        <f t="shared" si="272"/>
        <v>1351.99</v>
      </c>
      <c r="Q397" s="287">
        <f t="shared" si="297"/>
        <v>184.53</v>
      </c>
      <c r="R397" s="287">
        <f t="shared" si="288"/>
        <v>134.16999999999999</v>
      </c>
      <c r="S397" s="287">
        <f t="shared" si="289"/>
        <v>188.55</v>
      </c>
      <c r="T397" s="287">
        <f t="shared" si="286"/>
        <v>1859.24</v>
      </c>
      <c r="U397" s="287">
        <f t="shared" si="273"/>
        <v>200668.5199999999</v>
      </c>
      <c r="V397" s="287">
        <f t="shared" si="274"/>
        <v>320211.75999999972</v>
      </c>
      <c r="W397" s="287">
        <f t="shared" si="287"/>
        <v>30281.479999999949</v>
      </c>
      <c r="X397" s="519" t="str">
        <f t="shared" si="266"/>
        <v xml:space="preserve"> </v>
      </c>
      <c r="Y397" s="287">
        <f t="shared" si="298"/>
        <v>34836.769999999771</v>
      </c>
      <c r="Z397" s="511">
        <f t="shared" si="259"/>
        <v>7.0000000000000007E-2</v>
      </c>
      <c r="AA397" s="287">
        <f t="shared" si="260"/>
        <v>1746.44</v>
      </c>
      <c r="AB397" s="287">
        <f t="shared" si="299"/>
        <v>1543.23</v>
      </c>
      <c r="AC397" s="287">
        <f t="shared" si="261"/>
        <v>203.21</v>
      </c>
      <c r="AD397" s="287">
        <f t="shared" si="290"/>
        <v>134.16999999999999</v>
      </c>
      <c r="AE397" s="287">
        <f t="shared" si="291"/>
        <v>188.55</v>
      </c>
      <c r="AF397" s="287">
        <f t="shared" si="300"/>
        <v>2069.1600000000003</v>
      </c>
      <c r="AG397" s="287">
        <f t="shared" si="301"/>
        <v>242655.26000000004</v>
      </c>
      <c r="AH397" s="287">
        <f t="shared" si="302"/>
        <v>317569.89999999973</v>
      </c>
      <c r="AI397" s="530">
        <f t="shared" si="292"/>
        <v>-39344.879999999808</v>
      </c>
      <c r="AJ397" s="530">
        <f t="shared" si="275"/>
        <v>-3012.0599999998194</v>
      </c>
      <c r="AK397" s="530">
        <f t="shared" si="293"/>
        <v>-42356.939999999624</v>
      </c>
      <c r="AL397" s="287">
        <f t="shared" si="303"/>
        <v>33293.539999999768</v>
      </c>
      <c r="AM397" s="428">
        <f t="shared" si="267"/>
        <v>28</v>
      </c>
      <c r="AN397" s="14">
        <f t="shared" si="294"/>
        <v>1536.52</v>
      </c>
      <c r="AO397" s="14">
        <f t="shared" si="276"/>
        <v>75749.109999999986</v>
      </c>
      <c r="AP397" s="14">
        <f t="shared" si="295"/>
        <v>1746.44</v>
      </c>
      <c r="AS397" s="14">
        <f t="shared" si="262"/>
        <v>1536.52</v>
      </c>
      <c r="AT397" s="14">
        <f t="shared" si="268"/>
        <v>271853.08000000118</v>
      </c>
      <c r="AU397" s="287">
        <f t="shared" si="269"/>
        <v>2744.5978942578954</v>
      </c>
      <c r="AV397" s="287">
        <f t="shared" si="270"/>
        <v>595173.96617162647</v>
      </c>
    </row>
    <row r="398" spans="1:48" ht="15.75" thickBot="1" x14ac:dyDescent="0.3">
      <c r="A398" s="522" t="str">
        <f t="shared" si="281"/>
        <v xml:space="preserve"> </v>
      </c>
      <c r="B398" s="348">
        <f t="shared" si="278"/>
        <v>0</v>
      </c>
      <c r="C398" s="21">
        <f t="shared" si="257"/>
        <v>0</v>
      </c>
      <c r="D398" s="21">
        <f t="shared" si="271"/>
        <v>0</v>
      </c>
      <c r="E398" s="21">
        <f t="shared" si="258"/>
        <v>0</v>
      </c>
      <c r="F398" s="21">
        <f t="shared" si="282"/>
        <v>134.16999999999999</v>
      </c>
      <c r="G398" s="21">
        <f t="shared" si="279"/>
        <v>188.55</v>
      </c>
      <c r="H398" s="21">
        <f t="shared" si="280"/>
        <v>322.72000000000003</v>
      </c>
      <c r="I398" s="348">
        <f t="shared" si="283"/>
        <v>187026.8299999999</v>
      </c>
      <c r="J398" s="348">
        <f t="shared" si="284"/>
        <v>96593.969999999914</v>
      </c>
      <c r="K398" s="348">
        <f t="shared" si="285"/>
        <v>0</v>
      </c>
      <c r="L398" s="429">
        <f t="shared" si="277"/>
        <v>28</v>
      </c>
      <c r="M398" s="429">
        <f t="shared" si="264"/>
        <v>339</v>
      </c>
      <c r="N398" s="348">
        <f t="shared" si="265"/>
        <v>30281.479999999949</v>
      </c>
      <c r="O398" s="348">
        <f t="shared" si="296"/>
        <v>1536.52</v>
      </c>
      <c r="P398" s="348">
        <f t="shared" si="272"/>
        <v>1359.88</v>
      </c>
      <c r="Q398" s="348">
        <f t="shared" si="297"/>
        <v>176.64</v>
      </c>
      <c r="R398" s="348">
        <f t="shared" si="288"/>
        <v>134.16999999999999</v>
      </c>
      <c r="S398" s="348">
        <f t="shared" si="289"/>
        <v>188.55</v>
      </c>
      <c r="T398" s="348">
        <f t="shared" si="286"/>
        <v>1859.24</v>
      </c>
      <c r="U398" s="348">
        <f t="shared" si="273"/>
        <v>202028.39999999991</v>
      </c>
      <c r="V398" s="348">
        <f t="shared" si="274"/>
        <v>320388.39999999973</v>
      </c>
      <c r="W398" s="348">
        <f t="shared" si="287"/>
        <v>28921.599999999948</v>
      </c>
      <c r="X398" s="522" t="str">
        <f t="shared" si="266"/>
        <v xml:space="preserve"> </v>
      </c>
      <c r="Y398" s="348">
        <f t="shared" si="298"/>
        <v>33293.539999999768</v>
      </c>
      <c r="Z398" s="512">
        <f t="shared" si="259"/>
        <v>7.0000000000000007E-2</v>
      </c>
      <c r="AA398" s="348">
        <f t="shared" si="260"/>
        <v>1746.44</v>
      </c>
      <c r="AB398" s="348">
        <f t="shared" si="299"/>
        <v>1552.23</v>
      </c>
      <c r="AC398" s="348">
        <f t="shared" si="261"/>
        <v>194.21</v>
      </c>
      <c r="AD398" s="348">
        <f t="shared" si="290"/>
        <v>134.16999999999999</v>
      </c>
      <c r="AE398" s="348">
        <f t="shared" si="291"/>
        <v>188.55</v>
      </c>
      <c r="AF398" s="348">
        <f t="shared" si="300"/>
        <v>2069.1600000000003</v>
      </c>
      <c r="AG398" s="348">
        <f t="shared" si="301"/>
        <v>244207.49000000005</v>
      </c>
      <c r="AH398" s="348">
        <f t="shared" si="302"/>
        <v>317764.10999999975</v>
      </c>
      <c r="AI398" s="531">
        <f t="shared" si="292"/>
        <v>-39554.799999999806</v>
      </c>
      <c r="AJ398" s="531">
        <f t="shared" si="275"/>
        <v>-2819.7099999998209</v>
      </c>
      <c r="AK398" s="530">
        <f t="shared" si="293"/>
        <v>-42374.509999999631</v>
      </c>
      <c r="AL398" s="348">
        <f t="shared" si="303"/>
        <v>31741.309999999768</v>
      </c>
      <c r="AM398" s="429">
        <f t="shared" si="267"/>
        <v>28</v>
      </c>
      <c r="AN398" s="21">
        <f t="shared" si="294"/>
        <v>1536.52</v>
      </c>
      <c r="AO398" s="21">
        <f t="shared" si="276"/>
        <v>74389.229999999981</v>
      </c>
      <c r="AP398" s="21">
        <f t="shared" si="295"/>
        <v>1746.44</v>
      </c>
      <c r="AQ398" s="21"/>
      <c r="AR398" s="23"/>
      <c r="AS398" s="21">
        <f t="shared" si="262"/>
        <v>1536.52</v>
      </c>
      <c r="AT398" s="21">
        <f t="shared" si="268"/>
        <v>273389.6000000012</v>
      </c>
      <c r="AU398" s="348">
        <f t="shared" si="269"/>
        <v>2753.7465539054215</v>
      </c>
      <c r="AV398" s="348">
        <f t="shared" si="270"/>
        <v>597927.71272553189</v>
      </c>
    </row>
    <row r="399" spans="1:48" x14ac:dyDescent="0.25">
      <c r="A399" s="519" t="str">
        <f t="shared" si="281"/>
        <v xml:space="preserve"> </v>
      </c>
      <c r="B399" s="287">
        <f t="shared" si="278"/>
        <v>0</v>
      </c>
      <c r="C399" s="14">
        <f t="shared" ref="C399:C462" si="304">IF(+$K398&lt;=0,0,$C$5)</f>
        <v>0</v>
      </c>
      <c r="D399" s="14">
        <f t="shared" si="271"/>
        <v>0</v>
      </c>
      <c r="E399" s="14">
        <f t="shared" ref="E399:E462" si="305">ROUND($B399*($C$3/12), 2)</f>
        <v>0</v>
      </c>
      <c r="F399" s="14">
        <f t="shared" si="282"/>
        <v>134.16999999999999</v>
      </c>
      <c r="G399" s="14">
        <f t="shared" si="279"/>
        <v>188.55</v>
      </c>
      <c r="H399" s="14">
        <f t="shared" si="280"/>
        <v>322.72000000000003</v>
      </c>
      <c r="I399" s="287">
        <f t="shared" si="283"/>
        <v>187026.8299999999</v>
      </c>
      <c r="J399" s="287">
        <f t="shared" si="284"/>
        <v>96593.969999999914</v>
      </c>
      <c r="K399" s="287">
        <f t="shared" si="285"/>
        <v>0</v>
      </c>
      <c r="L399" s="428">
        <f t="shared" si="277"/>
        <v>28</v>
      </c>
      <c r="M399" s="428">
        <f t="shared" si="264"/>
        <v>340</v>
      </c>
      <c r="N399" s="287">
        <f t="shared" si="265"/>
        <v>28921.599999999948</v>
      </c>
      <c r="O399" s="287">
        <f t="shared" si="296"/>
        <v>1536.52</v>
      </c>
      <c r="P399" s="287">
        <f t="shared" si="272"/>
        <v>1367.81</v>
      </c>
      <c r="Q399" s="287">
        <f t="shared" si="297"/>
        <v>168.71</v>
      </c>
      <c r="R399" s="287">
        <f t="shared" si="288"/>
        <v>134.16999999999999</v>
      </c>
      <c r="S399" s="287">
        <f t="shared" si="289"/>
        <v>188.55</v>
      </c>
      <c r="T399" s="287">
        <f t="shared" si="286"/>
        <v>1859.24</v>
      </c>
      <c r="U399" s="287">
        <f t="shared" si="273"/>
        <v>203396.2099999999</v>
      </c>
      <c r="V399" s="287">
        <f t="shared" si="274"/>
        <v>320557.10999999975</v>
      </c>
      <c r="W399" s="287">
        <f t="shared" si="287"/>
        <v>27553.789999999946</v>
      </c>
      <c r="X399" s="519" t="str">
        <f t="shared" si="266"/>
        <v xml:space="preserve"> </v>
      </c>
      <c r="Y399" s="287">
        <f t="shared" si="298"/>
        <v>31741.309999999768</v>
      </c>
      <c r="Z399" s="511">
        <f t="shared" ref="Z399:Z462" si="306">IF(L399&gt;4,$AA$9,$AA$8)</f>
        <v>7.0000000000000007E-2</v>
      </c>
      <c r="AA399" s="287">
        <f t="shared" ref="AA399:AA462" si="307">IF($O$9&lt;=$A399,IF(+AL398&lt;=0,0,IF(Z399=$AA$8,$Z$8,$Z$9)),0)</f>
        <v>1746.44</v>
      </c>
      <c r="AB399" s="287">
        <f t="shared" si="299"/>
        <v>1561.28</v>
      </c>
      <c r="AC399" s="287">
        <f t="shared" ref="AC399:AC462" si="308">IF($O$9&lt;=$A399,ROUND(Y399*(Z399/12),2),0)</f>
        <v>185.16</v>
      </c>
      <c r="AD399" s="287">
        <f t="shared" si="290"/>
        <v>134.16999999999999</v>
      </c>
      <c r="AE399" s="287">
        <f t="shared" si="291"/>
        <v>188.55</v>
      </c>
      <c r="AF399" s="287">
        <f t="shared" si="300"/>
        <v>2069.1600000000003</v>
      </c>
      <c r="AG399" s="287">
        <f t="shared" si="301"/>
        <v>245768.77000000005</v>
      </c>
      <c r="AH399" s="287">
        <f t="shared" si="302"/>
        <v>317949.26999999973</v>
      </c>
      <c r="AI399" s="530">
        <f t="shared" si="292"/>
        <v>-39764.719999999805</v>
      </c>
      <c r="AJ399" s="530">
        <f t="shared" si="275"/>
        <v>-2626.2399999998233</v>
      </c>
      <c r="AK399" s="530">
        <f t="shared" si="293"/>
        <v>-42390.959999999628</v>
      </c>
      <c r="AL399" s="287">
        <f t="shared" si="303"/>
        <v>30180.02999999977</v>
      </c>
      <c r="AM399" s="428">
        <f t="shared" si="267"/>
        <v>28</v>
      </c>
      <c r="AN399" s="14">
        <f t="shared" si="294"/>
        <v>1536.52</v>
      </c>
      <c r="AO399" s="14">
        <f t="shared" si="276"/>
        <v>73021.419999999984</v>
      </c>
      <c r="AP399" s="14">
        <f t="shared" si="295"/>
        <v>1746.44</v>
      </c>
      <c r="AS399" s="14">
        <f t="shared" ref="AS399:AS462" si="309">+AN399-AR399</f>
        <v>1536.52</v>
      </c>
      <c r="AT399" s="14">
        <f t="shared" si="268"/>
        <v>274926.12000000122</v>
      </c>
      <c r="AU399" s="287">
        <f t="shared" si="269"/>
        <v>2762.9257090851061</v>
      </c>
      <c r="AV399" s="287">
        <f t="shared" si="270"/>
        <v>600690.63843461697</v>
      </c>
    </row>
    <row r="400" spans="1:48" x14ac:dyDescent="0.25">
      <c r="A400" s="519" t="str">
        <f t="shared" si="281"/>
        <v xml:space="preserve"> </v>
      </c>
      <c r="B400" s="287">
        <f t="shared" si="278"/>
        <v>0</v>
      </c>
      <c r="C400" s="14">
        <f t="shared" si="304"/>
        <v>0</v>
      </c>
      <c r="D400" s="14">
        <f t="shared" si="271"/>
        <v>0</v>
      </c>
      <c r="E400" s="14">
        <f t="shared" si="305"/>
        <v>0</v>
      </c>
      <c r="F400" s="14">
        <f t="shared" si="282"/>
        <v>134.16999999999999</v>
      </c>
      <c r="G400" s="14">
        <f t="shared" si="279"/>
        <v>188.55</v>
      </c>
      <c r="H400" s="14">
        <f t="shared" si="280"/>
        <v>322.72000000000003</v>
      </c>
      <c r="I400" s="287">
        <f t="shared" si="283"/>
        <v>187026.8299999999</v>
      </c>
      <c r="J400" s="287">
        <f t="shared" si="284"/>
        <v>96593.969999999914</v>
      </c>
      <c r="K400" s="287">
        <f t="shared" si="285"/>
        <v>0</v>
      </c>
      <c r="L400" s="428">
        <f t="shared" si="277"/>
        <v>28</v>
      </c>
      <c r="M400" s="428">
        <f t="shared" ref="M400:M463" si="310">IF(N400&lt;&gt;"",IF(N400=$O$5,0,+M399+1),0)</f>
        <v>341</v>
      </c>
      <c r="N400" s="287">
        <f t="shared" ref="N400:N417" si="311">IF(+W399&lt;0,0,+W399)</f>
        <v>27553.789999999946</v>
      </c>
      <c r="O400" s="287">
        <f t="shared" si="296"/>
        <v>1536.52</v>
      </c>
      <c r="P400" s="287">
        <f t="shared" si="272"/>
        <v>1375.79</v>
      </c>
      <c r="Q400" s="287">
        <f t="shared" si="297"/>
        <v>160.72999999999999</v>
      </c>
      <c r="R400" s="287">
        <f t="shared" si="288"/>
        <v>134.16999999999999</v>
      </c>
      <c r="S400" s="287">
        <f t="shared" si="289"/>
        <v>188.55</v>
      </c>
      <c r="T400" s="287">
        <f t="shared" si="286"/>
        <v>1859.24</v>
      </c>
      <c r="U400" s="287">
        <f t="shared" si="273"/>
        <v>204771.99999999991</v>
      </c>
      <c r="V400" s="287">
        <f t="shared" si="274"/>
        <v>320717.83999999973</v>
      </c>
      <c r="W400" s="287">
        <f t="shared" si="287"/>
        <v>26177.999999999945</v>
      </c>
      <c r="X400" s="519" t="str">
        <f t="shared" ref="X400:X463" si="312">+A400</f>
        <v xml:space="preserve"> </v>
      </c>
      <c r="Y400" s="287">
        <f t="shared" si="298"/>
        <v>30180.02999999977</v>
      </c>
      <c r="Z400" s="511">
        <f t="shared" si="306"/>
        <v>7.0000000000000007E-2</v>
      </c>
      <c r="AA400" s="287">
        <f t="shared" si="307"/>
        <v>1746.44</v>
      </c>
      <c r="AB400" s="287">
        <f t="shared" si="299"/>
        <v>1570.39</v>
      </c>
      <c r="AC400" s="287">
        <f t="shared" si="308"/>
        <v>176.05</v>
      </c>
      <c r="AD400" s="287">
        <f t="shared" si="290"/>
        <v>134.16999999999999</v>
      </c>
      <c r="AE400" s="287">
        <f t="shared" si="291"/>
        <v>188.55</v>
      </c>
      <c r="AF400" s="287">
        <f t="shared" si="300"/>
        <v>2069.1600000000003</v>
      </c>
      <c r="AG400" s="287">
        <f t="shared" si="301"/>
        <v>247339.16000000006</v>
      </c>
      <c r="AH400" s="287">
        <f t="shared" si="302"/>
        <v>318125.31999999972</v>
      </c>
      <c r="AI400" s="530">
        <f t="shared" si="292"/>
        <v>-39974.639999999803</v>
      </c>
      <c r="AJ400" s="530">
        <f t="shared" si="275"/>
        <v>-2431.6399999998248</v>
      </c>
      <c r="AK400" s="530">
        <f t="shared" si="293"/>
        <v>-42406.279999999628</v>
      </c>
      <c r="AL400" s="287">
        <f t="shared" si="303"/>
        <v>28609.63999999977</v>
      </c>
      <c r="AM400" s="428">
        <f t="shared" ref="AM400:AM463" si="313">+L400</f>
        <v>28</v>
      </c>
      <c r="AN400" s="14">
        <f t="shared" si="294"/>
        <v>1536.52</v>
      </c>
      <c r="AO400" s="14">
        <f t="shared" si="276"/>
        <v>71645.629999999976</v>
      </c>
      <c r="AP400" s="14">
        <f t="shared" si="295"/>
        <v>1746.44</v>
      </c>
      <c r="AS400" s="14">
        <f t="shared" si="309"/>
        <v>1536.52</v>
      </c>
      <c r="AT400" s="14">
        <f t="shared" ref="AT400:AT463" si="314">IF(W400&lt;=0,0,+AS400+AT399)</f>
        <v>276462.64000000124</v>
      </c>
      <c r="AU400" s="287">
        <f t="shared" ref="AU400:AU463" si="315">IF(W400&lt;=0,0,+($O$5+AV399)*$AQ$2/12)</f>
        <v>2772.1354614487232</v>
      </c>
      <c r="AV400" s="287">
        <f t="shared" ref="AV400:AV463" si="316">IF(W400&lt;=0,0,+AV399+AU400)</f>
        <v>603462.77389606566</v>
      </c>
    </row>
    <row r="401" spans="1:48" x14ac:dyDescent="0.25">
      <c r="A401" s="519" t="str">
        <f t="shared" si="281"/>
        <v xml:space="preserve"> </v>
      </c>
      <c r="B401" s="287">
        <f t="shared" si="278"/>
        <v>0</v>
      </c>
      <c r="C401" s="14">
        <f t="shared" si="304"/>
        <v>0</v>
      </c>
      <c r="D401" s="14">
        <f t="shared" ref="D401:D464" si="317">+C401-E401</f>
        <v>0</v>
      </c>
      <c r="E401" s="14">
        <f t="shared" si="305"/>
        <v>0</v>
      </c>
      <c r="F401" s="14">
        <f t="shared" si="282"/>
        <v>134.16999999999999</v>
      </c>
      <c r="G401" s="14">
        <f t="shared" si="279"/>
        <v>188.55</v>
      </c>
      <c r="H401" s="14">
        <f t="shared" si="280"/>
        <v>322.72000000000003</v>
      </c>
      <c r="I401" s="287">
        <f t="shared" si="283"/>
        <v>187026.8299999999</v>
      </c>
      <c r="J401" s="287">
        <f t="shared" si="284"/>
        <v>96593.969999999914</v>
      </c>
      <c r="K401" s="287">
        <f t="shared" si="285"/>
        <v>0</v>
      </c>
      <c r="L401" s="428">
        <f t="shared" si="277"/>
        <v>28</v>
      </c>
      <c r="M401" s="428">
        <f t="shared" si="310"/>
        <v>342</v>
      </c>
      <c r="N401" s="287">
        <f t="shared" si="311"/>
        <v>26177.999999999945</v>
      </c>
      <c r="O401" s="287">
        <f t="shared" si="296"/>
        <v>1536.52</v>
      </c>
      <c r="P401" s="287">
        <f t="shared" ref="P401:P464" si="318">+O401-Q401</f>
        <v>1383.81</v>
      </c>
      <c r="Q401" s="287">
        <f t="shared" si="297"/>
        <v>152.71</v>
      </c>
      <c r="R401" s="287">
        <f t="shared" si="288"/>
        <v>134.16999999999999</v>
      </c>
      <c r="S401" s="287">
        <f t="shared" si="289"/>
        <v>188.55</v>
      </c>
      <c r="T401" s="287">
        <f t="shared" si="286"/>
        <v>1859.24</v>
      </c>
      <c r="U401" s="287">
        <f t="shared" ref="U401:U464" si="319">+P401+U400</f>
        <v>206155.80999999991</v>
      </c>
      <c r="V401" s="287">
        <f t="shared" ref="V401:V464" si="320">+V400+Q401</f>
        <v>320870.54999999976</v>
      </c>
      <c r="W401" s="287">
        <f t="shared" si="287"/>
        <v>24794.189999999944</v>
      </c>
      <c r="X401" s="519" t="str">
        <f t="shared" si="312"/>
        <v xml:space="preserve"> </v>
      </c>
      <c r="Y401" s="287">
        <f t="shared" si="298"/>
        <v>28609.63999999977</v>
      </c>
      <c r="Z401" s="511">
        <f t="shared" si="306"/>
        <v>7.0000000000000007E-2</v>
      </c>
      <c r="AA401" s="287">
        <f t="shared" si="307"/>
        <v>1746.44</v>
      </c>
      <c r="AB401" s="287">
        <f t="shared" si="299"/>
        <v>1579.5500000000002</v>
      </c>
      <c r="AC401" s="287">
        <f t="shared" si="308"/>
        <v>166.89</v>
      </c>
      <c r="AD401" s="287">
        <f t="shared" si="290"/>
        <v>134.16999999999999</v>
      </c>
      <c r="AE401" s="287">
        <f t="shared" si="291"/>
        <v>188.55</v>
      </c>
      <c r="AF401" s="287">
        <f t="shared" si="300"/>
        <v>2069.1600000000003</v>
      </c>
      <c r="AG401" s="287">
        <f t="shared" si="301"/>
        <v>248918.71000000005</v>
      </c>
      <c r="AH401" s="287">
        <f t="shared" si="302"/>
        <v>318292.20999999973</v>
      </c>
      <c r="AI401" s="530">
        <f t="shared" si="292"/>
        <v>-40184.559999999801</v>
      </c>
      <c r="AJ401" s="530">
        <f t="shared" si="275"/>
        <v>-2235.8999999998268</v>
      </c>
      <c r="AK401" s="530">
        <f t="shared" si="293"/>
        <v>-42420.459999999628</v>
      </c>
      <c r="AL401" s="287">
        <f t="shared" si="303"/>
        <v>27030.089999999771</v>
      </c>
      <c r="AM401" s="428">
        <f t="shared" si="313"/>
        <v>28</v>
      </c>
      <c r="AN401" s="14">
        <f t="shared" si="294"/>
        <v>1536.52</v>
      </c>
      <c r="AO401" s="14">
        <f t="shared" si="276"/>
        <v>70261.819999999978</v>
      </c>
      <c r="AP401" s="14">
        <f t="shared" si="295"/>
        <v>1746.44</v>
      </c>
      <c r="AS401" s="14">
        <f t="shared" si="309"/>
        <v>1536.52</v>
      </c>
      <c r="AT401" s="14">
        <f t="shared" si="314"/>
        <v>277999.16000000125</v>
      </c>
      <c r="AU401" s="287">
        <f t="shared" si="315"/>
        <v>2781.3759129868854</v>
      </c>
      <c r="AV401" s="287">
        <f t="shared" si="316"/>
        <v>606244.14980905259</v>
      </c>
    </row>
    <row r="402" spans="1:48" x14ac:dyDescent="0.25">
      <c r="A402" s="519" t="str">
        <f t="shared" si="281"/>
        <v xml:space="preserve"> </v>
      </c>
      <c r="B402" s="287">
        <f t="shared" si="278"/>
        <v>0</v>
      </c>
      <c r="C402" s="14">
        <f t="shared" si="304"/>
        <v>0</v>
      </c>
      <c r="D402" s="14">
        <f t="shared" si="317"/>
        <v>0</v>
      </c>
      <c r="E402" s="14">
        <f t="shared" si="305"/>
        <v>0</v>
      </c>
      <c r="F402" s="14">
        <f t="shared" si="282"/>
        <v>134.16999999999999</v>
      </c>
      <c r="G402" s="14">
        <f t="shared" si="279"/>
        <v>188.55</v>
      </c>
      <c r="H402" s="14">
        <f t="shared" si="280"/>
        <v>322.72000000000003</v>
      </c>
      <c r="I402" s="287">
        <f t="shared" si="283"/>
        <v>187026.8299999999</v>
      </c>
      <c r="J402" s="287">
        <f t="shared" si="284"/>
        <v>96593.969999999914</v>
      </c>
      <c r="K402" s="287">
        <f t="shared" si="285"/>
        <v>0</v>
      </c>
      <c r="L402" s="428">
        <f t="shared" si="277"/>
        <v>28</v>
      </c>
      <c r="M402" s="428">
        <f t="shared" si="310"/>
        <v>343</v>
      </c>
      <c r="N402" s="287">
        <f t="shared" si="311"/>
        <v>24794.189999999944</v>
      </c>
      <c r="O402" s="287">
        <f t="shared" si="296"/>
        <v>1536.52</v>
      </c>
      <c r="P402" s="287">
        <f t="shared" si="318"/>
        <v>1391.8899999999999</v>
      </c>
      <c r="Q402" s="287">
        <f t="shared" si="297"/>
        <v>144.63</v>
      </c>
      <c r="R402" s="287">
        <f t="shared" si="288"/>
        <v>134.16999999999999</v>
      </c>
      <c r="S402" s="287">
        <f t="shared" si="289"/>
        <v>188.55</v>
      </c>
      <c r="T402" s="287">
        <f t="shared" si="286"/>
        <v>1859.24</v>
      </c>
      <c r="U402" s="287">
        <f t="shared" si="319"/>
        <v>207547.69999999992</v>
      </c>
      <c r="V402" s="287">
        <f t="shared" si="320"/>
        <v>321015.17999999976</v>
      </c>
      <c r="W402" s="287">
        <f t="shared" si="287"/>
        <v>23402.299999999945</v>
      </c>
      <c r="X402" s="519" t="str">
        <f t="shared" si="312"/>
        <v xml:space="preserve"> </v>
      </c>
      <c r="Y402" s="287">
        <f t="shared" si="298"/>
        <v>27030.089999999771</v>
      </c>
      <c r="Z402" s="511">
        <f t="shared" si="306"/>
        <v>7.0000000000000007E-2</v>
      </c>
      <c r="AA402" s="287">
        <f t="shared" si="307"/>
        <v>1746.44</v>
      </c>
      <c r="AB402" s="287">
        <f t="shared" si="299"/>
        <v>1588.76</v>
      </c>
      <c r="AC402" s="287">
        <f t="shared" si="308"/>
        <v>157.68</v>
      </c>
      <c r="AD402" s="287">
        <f t="shared" si="290"/>
        <v>134.16999999999999</v>
      </c>
      <c r="AE402" s="287">
        <f t="shared" si="291"/>
        <v>188.55</v>
      </c>
      <c r="AF402" s="287">
        <f t="shared" si="300"/>
        <v>2069.1600000000003</v>
      </c>
      <c r="AG402" s="287">
        <f t="shared" si="301"/>
        <v>250507.47000000006</v>
      </c>
      <c r="AH402" s="287">
        <f t="shared" si="302"/>
        <v>318449.88999999972</v>
      </c>
      <c r="AI402" s="530">
        <f t="shared" si="292"/>
        <v>-40394.479999999799</v>
      </c>
      <c r="AJ402" s="530">
        <f t="shared" si="275"/>
        <v>-2039.0299999998279</v>
      </c>
      <c r="AK402" s="530">
        <f t="shared" si="293"/>
        <v>-42433.509999999631</v>
      </c>
      <c r="AL402" s="287">
        <f t="shared" si="303"/>
        <v>25441.329999999773</v>
      </c>
      <c r="AM402" s="428">
        <f t="shared" si="313"/>
        <v>28</v>
      </c>
      <c r="AN402" s="14">
        <f t="shared" si="294"/>
        <v>1536.52</v>
      </c>
      <c r="AO402" s="14">
        <f t="shared" si="276"/>
        <v>68869.929999999964</v>
      </c>
      <c r="AP402" s="14">
        <f t="shared" si="295"/>
        <v>1746.44</v>
      </c>
      <c r="AS402" s="14">
        <f t="shared" si="309"/>
        <v>1536.52</v>
      </c>
      <c r="AT402" s="14">
        <f t="shared" si="314"/>
        <v>279535.68000000127</v>
      </c>
      <c r="AU402" s="287">
        <f t="shared" si="315"/>
        <v>2790.6471660301754</v>
      </c>
      <c r="AV402" s="287">
        <f t="shared" si="316"/>
        <v>609034.79697508272</v>
      </c>
    </row>
    <row r="403" spans="1:48" x14ac:dyDescent="0.25">
      <c r="A403" s="519" t="str">
        <f t="shared" si="281"/>
        <v xml:space="preserve"> </v>
      </c>
      <c r="B403" s="287">
        <f t="shared" si="278"/>
        <v>0</v>
      </c>
      <c r="C403" s="14">
        <f t="shared" si="304"/>
        <v>0</v>
      </c>
      <c r="D403" s="14">
        <f t="shared" si="317"/>
        <v>0</v>
      </c>
      <c r="E403" s="14">
        <f t="shared" si="305"/>
        <v>0</v>
      </c>
      <c r="F403" s="14">
        <f t="shared" si="282"/>
        <v>134.16999999999999</v>
      </c>
      <c r="G403" s="14">
        <f t="shared" si="279"/>
        <v>188.55</v>
      </c>
      <c r="H403" s="14">
        <f t="shared" si="280"/>
        <v>322.72000000000003</v>
      </c>
      <c r="I403" s="287">
        <f t="shared" si="283"/>
        <v>187026.8299999999</v>
      </c>
      <c r="J403" s="287">
        <f t="shared" si="284"/>
        <v>96593.969999999914</v>
      </c>
      <c r="K403" s="287">
        <f t="shared" si="285"/>
        <v>0</v>
      </c>
      <c r="L403" s="428">
        <f t="shared" si="277"/>
        <v>28</v>
      </c>
      <c r="M403" s="428">
        <f t="shared" si="310"/>
        <v>344</v>
      </c>
      <c r="N403" s="287">
        <f t="shared" si="311"/>
        <v>23402.299999999945</v>
      </c>
      <c r="O403" s="287">
        <f>IF($O$9&lt;=A403,IF(+$W402&lt;=0,0,$O$8),0)</f>
        <v>1536.52</v>
      </c>
      <c r="P403" s="287">
        <f t="shared" si="318"/>
        <v>1400.01</v>
      </c>
      <c r="Q403" s="287">
        <f t="shared" si="297"/>
        <v>136.51</v>
      </c>
      <c r="R403" s="287">
        <f t="shared" si="288"/>
        <v>134.16999999999999</v>
      </c>
      <c r="S403" s="287">
        <f t="shared" si="289"/>
        <v>188.55</v>
      </c>
      <c r="T403" s="287">
        <f t="shared" si="286"/>
        <v>1859.24</v>
      </c>
      <c r="U403" s="287">
        <f t="shared" si="319"/>
        <v>208947.70999999993</v>
      </c>
      <c r="V403" s="287">
        <f t="shared" si="320"/>
        <v>321151.68999999977</v>
      </c>
      <c r="W403" s="287">
        <f t="shared" si="287"/>
        <v>22002.289999999946</v>
      </c>
      <c r="X403" s="519" t="str">
        <f t="shared" si="312"/>
        <v xml:space="preserve"> </v>
      </c>
      <c r="Y403" s="287">
        <f t="shared" si="298"/>
        <v>25441.329999999773</v>
      </c>
      <c r="Z403" s="511">
        <f t="shared" si="306"/>
        <v>7.0000000000000007E-2</v>
      </c>
      <c r="AA403" s="287">
        <f t="shared" si="307"/>
        <v>1746.44</v>
      </c>
      <c r="AB403" s="287">
        <f t="shared" si="299"/>
        <v>1598.03</v>
      </c>
      <c r="AC403" s="287">
        <f t="shared" si="308"/>
        <v>148.41</v>
      </c>
      <c r="AD403" s="287">
        <f t="shared" si="290"/>
        <v>134.16999999999999</v>
      </c>
      <c r="AE403" s="287">
        <f t="shared" si="291"/>
        <v>188.55</v>
      </c>
      <c r="AF403" s="287">
        <f t="shared" si="300"/>
        <v>2069.1600000000003</v>
      </c>
      <c r="AG403" s="287">
        <f t="shared" si="301"/>
        <v>252105.50000000006</v>
      </c>
      <c r="AH403" s="287">
        <f t="shared" si="302"/>
        <v>318598.2999999997</v>
      </c>
      <c r="AI403" s="530">
        <f t="shared" si="292"/>
        <v>-40604.399999999798</v>
      </c>
      <c r="AJ403" s="530">
        <f t="shared" si="275"/>
        <v>-1841.0099999998274</v>
      </c>
      <c r="AK403" s="530">
        <f t="shared" si="293"/>
        <v>-42445.409999999625</v>
      </c>
      <c r="AL403" s="287">
        <f t="shared" si="303"/>
        <v>23843.299999999774</v>
      </c>
      <c r="AM403" s="428">
        <f t="shared" si="313"/>
        <v>28</v>
      </c>
      <c r="AN403" s="14">
        <f t="shared" si="294"/>
        <v>1536.52</v>
      </c>
      <c r="AO403" s="14">
        <f t="shared" si="276"/>
        <v>67469.919999999955</v>
      </c>
      <c r="AP403" s="14">
        <f t="shared" si="295"/>
        <v>1746.44</v>
      </c>
      <c r="AS403" s="14">
        <f t="shared" si="309"/>
        <v>1536.52</v>
      </c>
      <c r="AT403" s="14">
        <f t="shared" si="314"/>
        <v>281072.20000000129</v>
      </c>
      <c r="AU403" s="287">
        <f t="shared" si="315"/>
        <v>2799.9493232502755</v>
      </c>
      <c r="AV403" s="287">
        <f t="shared" si="316"/>
        <v>611834.74629833305</v>
      </c>
    </row>
    <row r="404" spans="1:48" x14ac:dyDescent="0.25">
      <c r="A404" s="519" t="str">
        <f t="shared" si="281"/>
        <v xml:space="preserve"> </v>
      </c>
      <c r="B404" s="287">
        <f t="shared" si="278"/>
        <v>0</v>
      </c>
      <c r="C404" s="14">
        <f t="shared" si="304"/>
        <v>0</v>
      </c>
      <c r="D404" s="14">
        <f t="shared" si="317"/>
        <v>0</v>
      </c>
      <c r="E404" s="14">
        <f t="shared" si="305"/>
        <v>0</v>
      </c>
      <c r="F404" s="14">
        <f t="shared" si="282"/>
        <v>134.16999999999999</v>
      </c>
      <c r="G404" s="14">
        <f t="shared" si="279"/>
        <v>188.55</v>
      </c>
      <c r="H404" s="14">
        <f t="shared" si="280"/>
        <v>322.72000000000003</v>
      </c>
      <c r="I404" s="287">
        <f t="shared" si="283"/>
        <v>187026.8299999999</v>
      </c>
      <c r="J404" s="287">
        <f t="shared" si="284"/>
        <v>96593.969999999914</v>
      </c>
      <c r="K404" s="287">
        <f t="shared" si="285"/>
        <v>0</v>
      </c>
      <c r="L404" s="428">
        <f t="shared" si="277"/>
        <v>28</v>
      </c>
      <c r="M404" s="428">
        <f t="shared" si="310"/>
        <v>345</v>
      </c>
      <c r="N404" s="287">
        <f t="shared" si="311"/>
        <v>22002.289999999946</v>
      </c>
      <c r="O404" s="287">
        <f t="shared" si="296"/>
        <v>1536.52</v>
      </c>
      <c r="P404" s="287">
        <f t="shared" si="318"/>
        <v>1408.17</v>
      </c>
      <c r="Q404" s="287">
        <f t="shared" si="297"/>
        <v>128.35</v>
      </c>
      <c r="R404" s="287">
        <f t="shared" si="288"/>
        <v>134.16999999999999</v>
      </c>
      <c r="S404" s="287">
        <f t="shared" si="289"/>
        <v>188.55</v>
      </c>
      <c r="T404" s="287">
        <f t="shared" si="286"/>
        <v>1859.24</v>
      </c>
      <c r="U404" s="287">
        <f t="shared" si="319"/>
        <v>210355.87999999995</v>
      </c>
      <c r="V404" s="287">
        <f t="shared" si="320"/>
        <v>321280.03999999975</v>
      </c>
      <c r="W404" s="287">
        <f t="shared" si="287"/>
        <v>20594.119999999944</v>
      </c>
      <c r="X404" s="519" t="str">
        <f t="shared" si="312"/>
        <v xml:space="preserve"> </v>
      </c>
      <c r="Y404" s="287">
        <f t="shared" si="298"/>
        <v>23843.299999999774</v>
      </c>
      <c r="Z404" s="511">
        <f t="shared" si="306"/>
        <v>7.0000000000000007E-2</v>
      </c>
      <c r="AA404" s="287">
        <f t="shared" si="307"/>
        <v>1746.44</v>
      </c>
      <c r="AB404" s="287">
        <f t="shared" si="299"/>
        <v>1607.3500000000001</v>
      </c>
      <c r="AC404" s="287">
        <f t="shared" si="308"/>
        <v>139.09</v>
      </c>
      <c r="AD404" s="287">
        <f t="shared" si="290"/>
        <v>134.16999999999999</v>
      </c>
      <c r="AE404" s="287">
        <f t="shared" si="291"/>
        <v>188.55</v>
      </c>
      <c r="AF404" s="287">
        <f t="shared" si="300"/>
        <v>2069.1600000000003</v>
      </c>
      <c r="AG404" s="287">
        <f t="shared" si="301"/>
        <v>253712.85000000006</v>
      </c>
      <c r="AH404" s="287">
        <f t="shared" si="302"/>
        <v>318737.38999999972</v>
      </c>
      <c r="AI404" s="530">
        <f t="shared" si="292"/>
        <v>-40814.319999999796</v>
      </c>
      <c r="AJ404" s="530">
        <f t="shared" si="275"/>
        <v>-1641.8299999998308</v>
      </c>
      <c r="AK404" s="530">
        <f t="shared" si="293"/>
        <v>-42456.14999999963</v>
      </c>
      <c r="AL404" s="287">
        <f t="shared" si="303"/>
        <v>22235.949999999775</v>
      </c>
      <c r="AM404" s="428">
        <f t="shared" si="313"/>
        <v>28</v>
      </c>
      <c r="AN404" s="14">
        <f t="shared" si="294"/>
        <v>1536.52</v>
      </c>
      <c r="AO404" s="14">
        <f t="shared" si="276"/>
        <v>66061.749999999942</v>
      </c>
      <c r="AP404" s="14">
        <f t="shared" si="295"/>
        <v>1746.44</v>
      </c>
      <c r="AS404" s="14">
        <f t="shared" si="309"/>
        <v>1536.52</v>
      </c>
      <c r="AT404" s="14">
        <f t="shared" si="314"/>
        <v>282608.72000000131</v>
      </c>
      <c r="AU404" s="287">
        <f t="shared" si="315"/>
        <v>2809.2824876611103</v>
      </c>
      <c r="AV404" s="287">
        <f t="shared" si="316"/>
        <v>614644.02878599416</v>
      </c>
    </row>
    <row r="405" spans="1:48" x14ac:dyDescent="0.25">
      <c r="A405" s="519" t="str">
        <f t="shared" si="281"/>
        <v xml:space="preserve"> </v>
      </c>
      <c r="B405" s="287">
        <f t="shared" si="278"/>
        <v>0</v>
      </c>
      <c r="C405" s="14">
        <f t="shared" si="304"/>
        <v>0</v>
      </c>
      <c r="D405" s="14">
        <f t="shared" si="317"/>
        <v>0</v>
      </c>
      <c r="E405" s="14">
        <f t="shared" si="305"/>
        <v>0</v>
      </c>
      <c r="F405" s="14">
        <f t="shared" si="282"/>
        <v>134.16999999999999</v>
      </c>
      <c r="G405" s="14">
        <f t="shared" si="279"/>
        <v>188.55</v>
      </c>
      <c r="H405" s="14">
        <f t="shared" si="280"/>
        <v>322.72000000000003</v>
      </c>
      <c r="I405" s="287">
        <f t="shared" si="283"/>
        <v>187026.8299999999</v>
      </c>
      <c r="J405" s="287">
        <f t="shared" si="284"/>
        <v>96593.969999999914</v>
      </c>
      <c r="K405" s="287">
        <f t="shared" si="285"/>
        <v>0</v>
      </c>
      <c r="L405" s="428">
        <f t="shared" si="277"/>
        <v>28</v>
      </c>
      <c r="M405" s="428">
        <f t="shared" si="310"/>
        <v>346</v>
      </c>
      <c r="N405" s="287">
        <f t="shared" si="311"/>
        <v>20594.119999999944</v>
      </c>
      <c r="O405" s="287">
        <f t="shared" si="296"/>
        <v>1536.52</v>
      </c>
      <c r="P405" s="287">
        <f t="shared" si="318"/>
        <v>1416.3899999999999</v>
      </c>
      <c r="Q405" s="287">
        <f t="shared" si="297"/>
        <v>120.13</v>
      </c>
      <c r="R405" s="287">
        <f t="shared" si="288"/>
        <v>134.16999999999999</v>
      </c>
      <c r="S405" s="287">
        <f t="shared" si="289"/>
        <v>188.55</v>
      </c>
      <c r="T405" s="287">
        <f t="shared" si="286"/>
        <v>1859.24</v>
      </c>
      <c r="U405" s="287">
        <f t="shared" si="319"/>
        <v>211772.26999999996</v>
      </c>
      <c r="V405" s="287">
        <f t="shared" si="320"/>
        <v>321400.16999999975</v>
      </c>
      <c r="W405" s="287">
        <f t="shared" si="287"/>
        <v>19177.729999999945</v>
      </c>
      <c r="X405" s="519" t="str">
        <f t="shared" si="312"/>
        <v xml:space="preserve"> </v>
      </c>
      <c r="Y405" s="287">
        <f t="shared" si="298"/>
        <v>22235.949999999775</v>
      </c>
      <c r="Z405" s="511">
        <f t="shared" si="306"/>
        <v>7.0000000000000007E-2</v>
      </c>
      <c r="AA405" s="287">
        <f t="shared" si="307"/>
        <v>1746.44</v>
      </c>
      <c r="AB405" s="287">
        <f t="shared" si="299"/>
        <v>1616.73</v>
      </c>
      <c r="AC405" s="287">
        <f t="shared" si="308"/>
        <v>129.71</v>
      </c>
      <c r="AD405" s="287">
        <f t="shared" si="290"/>
        <v>134.16999999999999</v>
      </c>
      <c r="AE405" s="287">
        <f t="shared" si="291"/>
        <v>188.55</v>
      </c>
      <c r="AF405" s="287">
        <f t="shared" si="300"/>
        <v>2069.1600000000003</v>
      </c>
      <c r="AG405" s="287">
        <f t="shared" si="301"/>
        <v>255329.58000000007</v>
      </c>
      <c r="AH405" s="287">
        <f t="shared" si="302"/>
        <v>318867.09999999974</v>
      </c>
      <c r="AI405" s="530">
        <f t="shared" si="292"/>
        <v>-41024.239999999794</v>
      </c>
      <c r="AJ405" s="530">
        <f t="shared" si="275"/>
        <v>-1441.4899999998306</v>
      </c>
      <c r="AK405" s="530">
        <f t="shared" si="293"/>
        <v>-42465.729999999625</v>
      </c>
      <c r="AL405" s="287">
        <f t="shared" si="303"/>
        <v>20619.219999999776</v>
      </c>
      <c r="AM405" s="428">
        <f t="shared" si="313"/>
        <v>28</v>
      </c>
      <c r="AN405" s="14">
        <f t="shared" si="294"/>
        <v>1536.52</v>
      </c>
      <c r="AO405" s="14">
        <f t="shared" si="276"/>
        <v>64645.359999999928</v>
      </c>
      <c r="AP405" s="14">
        <f t="shared" si="295"/>
        <v>1746.44</v>
      </c>
      <c r="AS405" s="14">
        <f t="shared" si="309"/>
        <v>1536.52</v>
      </c>
      <c r="AT405" s="14">
        <f t="shared" si="314"/>
        <v>284145.24000000133</v>
      </c>
      <c r="AU405" s="287">
        <f t="shared" si="315"/>
        <v>2818.6467626199806</v>
      </c>
      <c r="AV405" s="287">
        <f t="shared" si="316"/>
        <v>617462.67554861412</v>
      </c>
    </row>
    <row r="406" spans="1:48" x14ac:dyDescent="0.25">
      <c r="A406" s="519" t="str">
        <f t="shared" si="281"/>
        <v xml:space="preserve"> </v>
      </c>
      <c r="B406" s="287">
        <f t="shared" si="278"/>
        <v>0</v>
      </c>
      <c r="C406" s="14">
        <f t="shared" si="304"/>
        <v>0</v>
      </c>
      <c r="D406" s="14">
        <f t="shared" si="317"/>
        <v>0</v>
      </c>
      <c r="E406" s="14">
        <f t="shared" si="305"/>
        <v>0</v>
      </c>
      <c r="F406" s="14">
        <f t="shared" si="282"/>
        <v>134.16999999999999</v>
      </c>
      <c r="G406" s="14">
        <f t="shared" si="279"/>
        <v>188.55</v>
      </c>
      <c r="H406" s="14">
        <f t="shared" si="280"/>
        <v>322.72000000000003</v>
      </c>
      <c r="I406" s="287">
        <f t="shared" si="283"/>
        <v>187026.8299999999</v>
      </c>
      <c r="J406" s="287">
        <f t="shared" si="284"/>
        <v>96593.969999999914</v>
      </c>
      <c r="K406" s="287">
        <f t="shared" si="285"/>
        <v>0</v>
      </c>
      <c r="L406" s="428">
        <f t="shared" si="277"/>
        <v>28</v>
      </c>
      <c r="M406" s="428">
        <f t="shared" si="310"/>
        <v>347</v>
      </c>
      <c r="N406" s="287">
        <f t="shared" si="311"/>
        <v>19177.729999999945</v>
      </c>
      <c r="O406" s="287">
        <f t="shared" si="296"/>
        <v>1536.52</v>
      </c>
      <c r="P406" s="287">
        <f t="shared" si="318"/>
        <v>1424.65</v>
      </c>
      <c r="Q406" s="287">
        <f t="shared" si="297"/>
        <v>111.87</v>
      </c>
      <c r="R406" s="287">
        <f t="shared" si="288"/>
        <v>134.16999999999999</v>
      </c>
      <c r="S406" s="287">
        <f t="shared" si="289"/>
        <v>188.55</v>
      </c>
      <c r="T406" s="287">
        <f t="shared" si="286"/>
        <v>1859.24</v>
      </c>
      <c r="U406" s="287">
        <f t="shared" si="319"/>
        <v>213196.91999999995</v>
      </c>
      <c r="V406" s="287">
        <f t="shared" si="320"/>
        <v>321512.03999999975</v>
      </c>
      <c r="W406" s="287">
        <f t="shared" si="287"/>
        <v>17753.079999999944</v>
      </c>
      <c r="X406" s="519" t="str">
        <f t="shared" si="312"/>
        <v xml:space="preserve"> </v>
      </c>
      <c r="Y406" s="287">
        <f t="shared" si="298"/>
        <v>20619.219999999776</v>
      </c>
      <c r="Z406" s="511">
        <f t="shared" si="306"/>
        <v>7.0000000000000007E-2</v>
      </c>
      <c r="AA406" s="287">
        <f t="shared" si="307"/>
        <v>1746.44</v>
      </c>
      <c r="AB406" s="287">
        <f t="shared" si="299"/>
        <v>1626.16</v>
      </c>
      <c r="AC406" s="287">
        <f t="shared" si="308"/>
        <v>120.28</v>
      </c>
      <c r="AD406" s="287">
        <f t="shared" si="290"/>
        <v>134.16999999999999</v>
      </c>
      <c r="AE406" s="287">
        <f t="shared" si="291"/>
        <v>188.55</v>
      </c>
      <c r="AF406" s="287">
        <f t="shared" si="300"/>
        <v>2069.1600000000003</v>
      </c>
      <c r="AG406" s="287">
        <f t="shared" si="301"/>
        <v>256955.74000000008</v>
      </c>
      <c r="AH406" s="287">
        <f t="shared" si="302"/>
        <v>318987.37999999977</v>
      </c>
      <c r="AI406" s="530">
        <f t="shared" si="292"/>
        <v>-41234.159999999792</v>
      </c>
      <c r="AJ406" s="530">
        <f t="shared" si="275"/>
        <v>-1239.9799999998322</v>
      </c>
      <c r="AK406" s="530">
        <f t="shared" si="293"/>
        <v>-42474.139999999621</v>
      </c>
      <c r="AL406" s="287">
        <f t="shared" si="303"/>
        <v>18993.059999999776</v>
      </c>
      <c r="AM406" s="428">
        <f t="shared" si="313"/>
        <v>28</v>
      </c>
      <c r="AN406" s="14">
        <f t="shared" si="294"/>
        <v>1536.52</v>
      </c>
      <c r="AO406" s="14">
        <f t="shared" si="276"/>
        <v>63220.709999999934</v>
      </c>
      <c r="AP406" s="14">
        <f t="shared" si="295"/>
        <v>1746.44</v>
      </c>
      <c r="AS406" s="14">
        <f t="shared" si="309"/>
        <v>1536.52</v>
      </c>
      <c r="AT406" s="14">
        <f t="shared" si="314"/>
        <v>285681.76000000135</v>
      </c>
      <c r="AU406" s="287">
        <f t="shared" si="315"/>
        <v>2828.0422518287137</v>
      </c>
      <c r="AV406" s="287">
        <f t="shared" si="316"/>
        <v>620290.71780044283</v>
      </c>
    </row>
    <row r="407" spans="1:48" x14ac:dyDescent="0.25">
      <c r="A407" s="519" t="str">
        <f t="shared" si="281"/>
        <v xml:space="preserve"> </v>
      </c>
      <c r="B407" s="287">
        <f t="shared" si="278"/>
        <v>0</v>
      </c>
      <c r="C407" s="14">
        <f t="shared" si="304"/>
        <v>0</v>
      </c>
      <c r="D407" s="14">
        <f t="shared" si="317"/>
        <v>0</v>
      </c>
      <c r="E407" s="14">
        <f t="shared" si="305"/>
        <v>0</v>
      </c>
      <c r="F407" s="14">
        <f t="shared" si="282"/>
        <v>134.16999999999999</v>
      </c>
      <c r="G407" s="14">
        <f t="shared" si="279"/>
        <v>188.55</v>
      </c>
      <c r="H407" s="14">
        <f t="shared" si="280"/>
        <v>322.72000000000003</v>
      </c>
      <c r="I407" s="287">
        <f t="shared" si="283"/>
        <v>187026.8299999999</v>
      </c>
      <c r="J407" s="287">
        <f t="shared" si="284"/>
        <v>96593.969999999914</v>
      </c>
      <c r="K407" s="287">
        <f t="shared" si="285"/>
        <v>0</v>
      </c>
      <c r="L407" s="428">
        <f t="shared" si="277"/>
        <v>29</v>
      </c>
      <c r="M407" s="428">
        <f t="shared" si="310"/>
        <v>348</v>
      </c>
      <c r="N407" s="287">
        <f t="shared" si="311"/>
        <v>17753.079999999944</v>
      </c>
      <c r="O407" s="287">
        <f t="shared" si="296"/>
        <v>1536.52</v>
      </c>
      <c r="P407" s="287">
        <f t="shared" si="318"/>
        <v>1432.96</v>
      </c>
      <c r="Q407" s="287">
        <f t="shared" si="297"/>
        <v>103.56</v>
      </c>
      <c r="R407" s="287">
        <f t="shared" si="288"/>
        <v>134.16999999999999</v>
      </c>
      <c r="S407" s="287">
        <f t="shared" si="289"/>
        <v>188.55</v>
      </c>
      <c r="T407" s="287">
        <f t="shared" si="286"/>
        <v>1859.24</v>
      </c>
      <c r="U407" s="287">
        <f t="shared" si="319"/>
        <v>214629.87999999995</v>
      </c>
      <c r="V407" s="287">
        <f t="shared" si="320"/>
        <v>321615.59999999974</v>
      </c>
      <c r="W407" s="287">
        <f t="shared" si="287"/>
        <v>16320.119999999944</v>
      </c>
      <c r="X407" s="519" t="str">
        <f t="shared" si="312"/>
        <v xml:space="preserve"> </v>
      </c>
      <c r="Y407" s="287">
        <f t="shared" si="298"/>
        <v>18993.059999999776</v>
      </c>
      <c r="Z407" s="511">
        <f t="shared" si="306"/>
        <v>7.0000000000000007E-2</v>
      </c>
      <c r="AA407" s="287">
        <f t="shared" si="307"/>
        <v>1746.44</v>
      </c>
      <c r="AB407" s="287">
        <f t="shared" si="299"/>
        <v>1635.65</v>
      </c>
      <c r="AC407" s="287">
        <f t="shared" si="308"/>
        <v>110.79</v>
      </c>
      <c r="AD407" s="287">
        <f t="shared" si="290"/>
        <v>134.16999999999999</v>
      </c>
      <c r="AE407" s="287">
        <f t="shared" si="291"/>
        <v>188.55</v>
      </c>
      <c r="AF407" s="287">
        <f t="shared" si="300"/>
        <v>2069.1600000000003</v>
      </c>
      <c r="AG407" s="287">
        <f t="shared" si="301"/>
        <v>258591.39000000007</v>
      </c>
      <c r="AH407" s="287">
        <f t="shared" si="302"/>
        <v>319098.16999999975</v>
      </c>
      <c r="AI407" s="530">
        <f t="shared" si="292"/>
        <v>-41444.079999999791</v>
      </c>
      <c r="AJ407" s="530">
        <f t="shared" si="275"/>
        <v>-1037.2899999998299</v>
      </c>
      <c r="AK407" s="530">
        <f t="shared" si="293"/>
        <v>-42481.369999999617</v>
      </c>
      <c r="AL407" s="287">
        <f t="shared" si="303"/>
        <v>17357.409999999774</v>
      </c>
      <c r="AM407" s="428">
        <f t="shared" si="313"/>
        <v>29</v>
      </c>
      <c r="AN407" s="14">
        <f t="shared" si="294"/>
        <v>1536.52</v>
      </c>
      <c r="AO407" s="14">
        <f t="shared" si="276"/>
        <v>61787.749999999942</v>
      </c>
      <c r="AP407" s="14">
        <f t="shared" si="295"/>
        <v>1746.44</v>
      </c>
      <c r="AS407" s="14">
        <f t="shared" si="309"/>
        <v>1536.52</v>
      </c>
      <c r="AT407" s="14">
        <f t="shared" si="314"/>
        <v>287218.28000000137</v>
      </c>
      <c r="AU407" s="287">
        <f t="shared" si="315"/>
        <v>2837.4690593348096</v>
      </c>
      <c r="AV407" s="287">
        <f t="shared" si="316"/>
        <v>623128.18685977766</v>
      </c>
    </row>
    <row r="408" spans="1:48" x14ac:dyDescent="0.25">
      <c r="A408" s="519" t="str">
        <f t="shared" si="281"/>
        <v xml:space="preserve"> </v>
      </c>
      <c r="B408" s="287">
        <f t="shared" si="278"/>
        <v>0</v>
      </c>
      <c r="C408" s="14">
        <f t="shared" si="304"/>
        <v>0</v>
      </c>
      <c r="D408" s="14">
        <f t="shared" si="317"/>
        <v>0</v>
      </c>
      <c r="E408" s="14">
        <f t="shared" si="305"/>
        <v>0</v>
      </c>
      <c r="F408" s="14">
        <f t="shared" si="282"/>
        <v>134.16999999999999</v>
      </c>
      <c r="G408" s="14">
        <f t="shared" si="279"/>
        <v>188.55</v>
      </c>
      <c r="H408" s="14">
        <f t="shared" si="280"/>
        <v>322.72000000000003</v>
      </c>
      <c r="I408" s="287">
        <f t="shared" si="283"/>
        <v>187026.8299999999</v>
      </c>
      <c r="J408" s="287">
        <f t="shared" si="284"/>
        <v>96593.969999999914</v>
      </c>
      <c r="K408" s="287">
        <f t="shared" si="285"/>
        <v>0</v>
      </c>
      <c r="L408" s="428">
        <f t="shared" si="277"/>
        <v>29</v>
      </c>
      <c r="M408" s="428">
        <f t="shared" si="310"/>
        <v>349</v>
      </c>
      <c r="N408" s="287">
        <f t="shared" si="311"/>
        <v>16320.119999999944</v>
      </c>
      <c r="O408" s="287">
        <f t="shared" si="296"/>
        <v>1536.52</v>
      </c>
      <c r="P408" s="287">
        <f t="shared" si="318"/>
        <v>1441.32</v>
      </c>
      <c r="Q408" s="287">
        <f t="shared" si="297"/>
        <v>95.2</v>
      </c>
      <c r="R408" s="287">
        <f t="shared" si="288"/>
        <v>134.16999999999999</v>
      </c>
      <c r="S408" s="287">
        <f t="shared" si="289"/>
        <v>188.55</v>
      </c>
      <c r="T408" s="287">
        <f t="shared" si="286"/>
        <v>1859.24</v>
      </c>
      <c r="U408" s="287">
        <f t="shared" si="319"/>
        <v>216071.19999999995</v>
      </c>
      <c r="V408" s="287">
        <f t="shared" si="320"/>
        <v>321710.79999999976</v>
      </c>
      <c r="W408" s="287">
        <f t="shared" si="287"/>
        <v>14878.799999999945</v>
      </c>
      <c r="X408" s="519" t="str">
        <f t="shared" si="312"/>
        <v xml:space="preserve"> </v>
      </c>
      <c r="Y408" s="287">
        <f t="shared" si="298"/>
        <v>17357.409999999774</v>
      </c>
      <c r="Z408" s="511">
        <f t="shared" si="306"/>
        <v>7.0000000000000007E-2</v>
      </c>
      <c r="AA408" s="287">
        <f t="shared" si="307"/>
        <v>1746.44</v>
      </c>
      <c r="AB408" s="287">
        <f t="shared" si="299"/>
        <v>1645.19</v>
      </c>
      <c r="AC408" s="287">
        <f t="shared" si="308"/>
        <v>101.25</v>
      </c>
      <c r="AD408" s="287">
        <f t="shared" si="290"/>
        <v>134.16999999999999</v>
      </c>
      <c r="AE408" s="287">
        <f t="shared" si="291"/>
        <v>188.55</v>
      </c>
      <c r="AF408" s="287">
        <f t="shared" si="300"/>
        <v>2069.1600000000003</v>
      </c>
      <c r="AG408" s="287">
        <f t="shared" si="301"/>
        <v>260236.58000000007</v>
      </c>
      <c r="AH408" s="287">
        <f t="shared" si="302"/>
        <v>319199.41999999975</v>
      </c>
      <c r="AI408" s="530">
        <f t="shared" si="292"/>
        <v>-41653.999999999789</v>
      </c>
      <c r="AJ408" s="530">
        <f t="shared" si="275"/>
        <v>-833.41999999982909</v>
      </c>
      <c r="AK408" s="530">
        <f t="shared" si="293"/>
        <v>-42487.41999999962</v>
      </c>
      <c r="AL408" s="287">
        <f t="shared" si="303"/>
        <v>15712.219999999774</v>
      </c>
      <c r="AM408" s="428">
        <f t="shared" si="313"/>
        <v>29</v>
      </c>
      <c r="AN408" s="14">
        <f t="shared" si="294"/>
        <v>1536.52</v>
      </c>
      <c r="AO408" s="14">
        <f t="shared" si="276"/>
        <v>60346.429999999935</v>
      </c>
      <c r="AP408" s="14">
        <f t="shared" si="295"/>
        <v>1746.44</v>
      </c>
      <c r="AS408" s="14">
        <f t="shared" si="309"/>
        <v>1536.52</v>
      </c>
      <c r="AT408" s="14">
        <f t="shared" si="314"/>
        <v>288754.80000000139</v>
      </c>
      <c r="AU408" s="287">
        <f t="shared" si="315"/>
        <v>2846.9272895325921</v>
      </c>
      <c r="AV408" s="287">
        <f t="shared" si="316"/>
        <v>625975.11414931028</v>
      </c>
    </row>
    <row r="409" spans="1:48" x14ac:dyDescent="0.25">
      <c r="A409" s="519" t="str">
        <f t="shared" si="281"/>
        <v xml:space="preserve"> </v>
      </c>
      <c r="B409" s="287">
        <f t="shared" si="278"/>
        <v>0</v>
      </c>
      <c r="C409" s="14">
        <f t="shared" si="304"/>
        <v>0</v>
      </c>
      <c r="D409" s="14">
        <f t="shared" si="317"/>
        <v>0</v>
      </c>
      <c r="E409" s="14">
        <f t="shared" si="305"/>
        <v>0</v>
      </c>
      <c r="F409" s="14">
        <f t="shared" si="282"/>
        <v>134.16999999999999</v>
      </c>
      <c r="G409" s="14">
        <f t="shared" si="279"/>
        <v>188.55</v>
      </c>
      <c r="H409" s="14">
        <f t="shared" si="280"/>
        <v>322.72000000000003</v>
      </c>
      <c r="I409" s="287">
        <f t="shared" si="283"/>
        <v>187026.8299999999</v>
      </c>
      <c r="J409" s="287">
        <f t="shared" si="284"/>
        <v>96593.969999999914</v>
      </c>
      <c r="K409" s="287">
        <f t="shared" si="285"/>
        <v>0</v>
      </c>
      <c r="L409" s="428">
        <f t="shared" si="277"/>
        <v>29</v>
      </c>
      <c r="M409" s="428">
        <f t="shared" si="310"/>
        <v>350</v>
      </c>
      <c r="N409" s="287">
        <f t="shared" si="311"/>
        <v>14878.799999999945</v>
      </c>
      <c r="O409" s="287">
        <f t="shared" si="296"/>
        <v>1536.52</v>
      </c>
      <c r="P409" s="287">
        <f t="shared" si="318"/>
        <v>1449.73</v>
      </c>
      <c r="Q409" s="287">
        <f t="shared" si="297"/>
        <v>86.79</v>
      </c>
      <c r="R409" s="287">
        <f t="shared" si="288"/>
        <v>134.16999999999999</v>
      </c>
      <c r="S409" s="287">
        <f t="shared" si="289"/>
        <v>188.55</v>
      </c>
      <c r="T409" s="287">
        <f t="shared" si="286"/>
        <v>1859.24</v>
      </c>
      <c r="U409" s="287">
        <f t="shared" si="319"/>
        <v>217520.92999999996</v>
      </c>
      <c r="V409" s="287">
        <f t="shared" si="320"/>
        <v>321797.58999999973</v>
      </c>
      <c r="W409" s="287">
        <f t="shared" si="287"/>
        <v>13429.069999999945</v>
      </c>
      <c r="X409" s="519" t="str">
        <f t="shared" si="312"/>
        <v xml:space="preserve"> </v>
      </c>
      <c r="Y409" s="287">
        <f t="shared" si="298"/>
        <v>15712.219999999774</v>
      </c>
      <c r="Z409" s="511">
        <f t="shared" si="306"/>
        <v>7.0000000000000007E-2</v>
      </c>
      <c r="AA409" s="287">
        <f t="shared" si="307"/>
        <v>1746.44</v>
      </c>
      <c r="AB409" s="287">
        <f t="shared" si="299"/>
        <v>1654.79</v>
      </c>
      <c r="AC409" s="287">
        <f t="shared" si="308"/>
        <v>91.65</v>
      </c>
      <c r="AD409" s="287">
        <f t="shared" si="290"/>
        <v>134.16999999999999</v>
      </c>
      <c r="AE409" s="287">
        <f t="shared" si="291"/>
        <v>188.55</v>
      </c>
      <c r="AF409" s="287">
        <f t="shared" si="300"/>
        <v>2069.1600000000003</v>
      </c>
      <c r="AG409" s="287">
        <f t="shared" si="301"/>
        <v>261891.37000000008</v>
      </c>
      <c r="AH409" s="287">
        <f t="shared" si="302"/>
        <v>319291.06999999977</v>
      </c>
      <c r="AI409" s="530">
        <f t="shared" si="292"/>
        <v>-41863.919999999787</v>
      </c>
      <c r="AJ409" s="530">
        <f t="shared" si="275"/>
        <v>-628.3599999998296</v>
      </c>
      <c r="AK409" s="530">
        <f t="shared" si="293"/>
        <v>-42492.27999999962</v>
      </c>
      <c r="AL409" s="287">
        <f t="shared" si="303"/>
        <v>14057.429999999775</v>
      </c>
      <c r="AM409" s="428">
        <f t="shared" si="313"/>
        <v>29</v>
      </c>
      <c r="AN409" s="14">
        <f t="shared" si="294"/>
        <v>1536.52</v>
      </c>
      <c r="AO409" s="14">
        <f t="shared" si="276"/>
        <v>58896.699999999924</v>
      </c>
      <c r="AP409" s="14">
        <f t="shared" si="295"/>
        <v>1746.44</v>
      </c>
      <c r="AS409" s="14">
        <f t="shared" si="309"/>
        <v>1536.52</v>
      </c>
      <c r="AT409" s="14">
        <f t="shared" si="314"/>
        <v>290291.3200000014</v>
      </c>
      <c r="AU409" s="287">
        <f t="shared" si="315"/>
        <v>2856.4170471643679</v>
      </c>
      <c r="AV409" s="287">
        <f t="shared" si="316"/>
        <v>628831.53119647468</v>
      </c>
    </row>
    <row r="410" spans="1:48" ht="15.75" thickBot="1" x14ac:dyDescent="0.3">
      <c r="A410" s="522" t="str">
        <f t="shared" si="281"/>
        <v xml:space="preserve"> </v>
      </c>
      <c r="B410" s="348">
        <f t="shared" si="278"/>
        <v>0</v>
      </c>
      <c r="C410" s="21">
        <f t="shared" si="304"/>
        <v>0</v>
      </c>
      <c r="D410" s="21">
        <f t="shared" si="317"/>
        <v>0</v>
      </c>
      <c r="E410" s="21">
        <f t="shared" si="305"/>
        <v>0</v>
      </c>
      <c r="F410" s="21">
        <f t="shared" si="282"/>
        <v>134.16999999999999</v>
      </c>
      <c r="G410" s="21">
        <f t="shared" si="279"/>
        <v>188.55</v>
      </c>
      <c r="H410" s="21">
        <f t="shared" si="280"/>
        <v>322.72000000000003</v>
      </c>
      <c r="I410" s="348">
        <f t="shared" si="283"/>
        <v>187026.8299999999</v>
      </c>
      <c r="J410" s="348">
        <f t="shared" si="284"/>
        <v>96593.969999999914</v>
      </c>
      <c r="K410" s="348">
        <f t="shared" si="285"/>
        <v>0</v>
      </c>
      <c r="L410" s="429">
        <f t="shared" si="277"/>
        <v>29</v>
      </c>
      <c r="M410" s="429">
        <f t="shared" si="310"/>
        <v>351</v>
      </c>
      <c r="N410" s="348">
        <f t="shared" si="311"/>
        <v>13429.069999999945</v>
      </c>
      <c r="O410" s="348">
        <f t="shared" si="296"/>
        <v>1536.52</v>
      </c>
      <c r="P410" s="348">
        <f t="shared" si="318"/>
        <v>1458.18</v>
      </c>
      <c r="Q410" s="348">
        <f t="shared" si="297"/>
        <v>78.34</v>
      </c>
      <c r="R410" s="348">
        <f t="shared" si="288"/>
        <v>134.16999999999999</v>
      </c>
      <c r="S410" s="348">
        <f t="shared" si="289"/>
        <v>188.55</v>
      </c>
      <c r="T410" s="348">
        <f t="shared" si="286"/>
        <v>1859.24</v>
      </c>
      <c r="U410" s="348">
        <f t="shared" si="319"/>
        <v>218979.10999999996</v>
      </c>
      <c r="V410" s="348">
        <f t="shared" si="320"/>
        <v>321875.92999999976</v>
      </c>
      <c r="W410" s="348">
        <f t="shared" si="287"/>
        <v>11970.889999999945</v>
      </c>
      <c r="X410" s="522" t="str">
        <f t="shared" si="312"/>
        <v xml:space="preserve"> </v>
      </c>
      <c r="Y410" s="348">
        <f t="shared" si="298"/>
        <v>14057.429999999775</v>
      </c>
      <c r="Z410" s="512">
        <f t="shared" si="306"/>
        <v>7.0000000000000007E-2</v>
      </c>
      <c r="AA410" s="348">
        <f t="shared" si="307"/>
        <v>1746.44</v>
      </c>
      <c r="AB410" s="348">
        <f t="shared" si="299"/>
        <v>1664.44</v>
      </c>
      <c r="AC410" s="348">
        <f t="shared" si="308"/>
        <v>82</v>
      </c>
      <c r="AD410" s="348">
        <f t="shared" si="290"/>
        <v>134.16999999999999</v>
      </c>
      <c r="AE410" s="348">
        <f t="shared" si="291"/>
        <v>188.55</v>
      </c>
      <c r="AF410" s="348">
        <f t="shared" si="300"/>
        <v>2069.1600000000003</v>
      </c>
      <c r="AG410" s="348">
        <f t="shared" si="301"/>
        <v>263555.81000000006</v>
      </c>
      <c r="AH410" s="348">
        <f t="shared" si="302"/>
        <v>319373.06999999977</v>
      </c>
      <c r="AI410" s="531">
        <f t="shared" si="292"/>
        <v>-42073.839999999786</v>
      </c>
      <c r="AJ410" s="531">
        <f t="shared" si="275"/>
        <v>-422.09999999982938</v>
      </c>
      <c r="AK410" s="530">
        <f t="shared" si="293"/>
        <v>-42495.939999999617</v>
      </c>
      <c r="AL410" s="348">
        <f t="shared" si="303"/>
        <v>12392.989999999774</v>
      </c>
      <c r="AM410" s="429">
        <f t="shared" si="313"/>
        <v>29</v>
      </c>
      <c r="AN410" s="21">
        <f t="shared" si="294"/>
        <v>1536.52</v>
      </c>
      <c r="AO410" s="21">
        <f t="shared" si="276"/>
        <v>57438.519999999931</v>
      </c>
      <c r="AP410" s="21">
        <f t="shared" si="295"/>
        <v>1746.44</v>
      </c>
      <c r="AQ410" s="21"/>
      <c r="AR410" s="23"/>
      <c r="AS410" s="21">
        <f t="shared" si="309"/>
        <v>1536.52</v>
      </c>
      <c r="AT410" s="21">
        <f t="shared" si="314"/>
        <v>291827.84000000142</v>
      </c>
      <c r="AU410" s="348">
        <f t="shared" si="315"/>
        <v>2865.9384373215821</v>
      </c>
      <c r="AV410" s="348">
        <f t="shared" si="316"/>
        <v>631697.46963379625</v>
      </c>
    </row>
    <row r="411" spans="1:48" x14ac:dyDescent="0.25">
      <c r="A411" s="519" t="str">
        <f t="shared" si="281"/>
        <v xml:space="preserve"> </v>
      </c>
      <c r="B411" s="287">
        <f t="shared" si="278"/>
        <v>0</v>
      </c>
      <c r="C411" s="14">
        <f t="shared" si="304"/>
        <v>0</v>
      </c>
      <c r="D411" s="14">
        <f t="shared" si="317"/>
        <v>0</v>
      </c>
      <c r="E411" s="14">
        <f t="shared" si="305"/>
        <v>0</v>
      </c>
      <c r="F411" s="14">
        <f t="shared" si="282"/>
        <v>134.16999999999999</v>
      </c>
      <c r="G411" s="14">
        <f t="shared" si="279"/>
        <v>188.55</v>
      </c>
      <c r="H411" s="14">
        <f t="shared" si="280"/>
        <v>322.72000000000003</v>
      </c>
      <c r="I411" s="287">
        <f t="shared" si="283"/>
        <v>187026.8299999999</v>
      </c>
      <c r="J411" s="287">
        <f t="shared" si="284"/>
        <v>96593.969999999914</v>
      </c>
      <c r="K411" s="287">
        <f t="shared" si="285"/>
        <v>0</v>
      </c>
      <c r="L411" s="428">
        <f t="shared" si="277"/>
        <v>29</v>
      </c>
      <c r="M411" s="428">
        <f t="shared" si="310"/>
        <v>352</v>
      </c>
      <c r="N411" s="287">
        <f t="shared" si="311"/>
        <v>11970.889999999945</v>
      </c>
      <c r="O411" s="287">
        <f t="shared" si="296"/>
        <v>1536.52</v>
      </c>
      <c r="P411" s="287">
        <f t="shared" si="318"/>
        <v>1466.69</v>
      </c>
      <c r="Q411" s="287">
        <f t="shared" si="297"/>
        <v>69.83</v>
      </c>
      <c r="R411" s="287">
        <f t="shared" si="288"/>
        <v>134.16999999999999</v>
      </c>
      <c r="S411" s="287">
        <f t="shared" si="289"/>
        <v>188.55</v>
      </c>
      <c r="T411" s="287">
        <f t="shared" si="286"/>
        <v>1859.24</v>
      </c>
      <c r="U411" s="287">
        <f t="shared" si="319"/>
        <v>220445.79999999996</v>
      </c>
      <c r="V411" s="287">
        <f t="shared" si="320"/>
        <v>321945.75999999978</v>
      </c>
      <c r="W411" s="287">
        <f t="shared" si="287"/>
        <v>10504.199999999944</v>
      </c>
      <c r="X411" s="519" t="str">
        <f t="shared" si="312"/>
        <v xml:space="preserve"> </v>
      </c>
      <c r="Y411" s="287">
        <f t="shared" si="298"/>
        <v>12392.989999999774</v>
      </c>
      <c r="Z411" s="511">
        <f t="shared" si="306"/>
        <v>7.0000000000000007E-2</v>
      </c>
      <c r="AA411" s="287">
        <f t="shared" si="307"/>
        <v>1746.44</v>
      </c>
      <c r="AB411" s="287">
        <f t="shared" si="299"/>
        <v>1674.15</v>
      </c>
      <c r="AC411" s="287">
        <f t="shared" si="308"/>
        <v>72.290000000000006</v>
      </c>
      <c r="AD411" s="287">
        <f t="shared" si="290"/>
        <v>134.16999999999999</v>
      </c>
      <c r="AE411" s="287">
        <f t="shared" si="291"/>
        <v>188.55</v>
      </c>
      <c r="AF411" s="287">
        <f t="shared" si="300"/>
        <v>2069.1600000000003</v>
      </c>
      <c r="AG411" s="287">
        <f t="shared" si="301"/>
        <v>265229.96000000008</v>
      </c>
      <c r="AH411" s="287">
        <f t="shared" si="302"/>
        <v>319445.35999999975</v>
      </c>
      <c r="AI411" s="530">
        <f t="shared" si="292"/>
        <v>-42283.759999999784</v>
      </c>
      <c r="AJ411" s="530">
        <f t="shared" ref="AJ411:AJ474" si="321">+W411-AL411</f>
        <v>-214.63999999983025</v>
      </c>
      <c r="AK411" s="530">
        <f t="shared" si="293"/>
        <v>-42498.399999999616</v>
      </c>
      <c r="AL411" s="287">
        <f t="shared" si="303"/>
        <v>10718.839999999775</v>
      </c>
      <c r="AM411" s="428">
        <f t="shared" si="313"/>
        <v>29</v>
      </c>
      <c r="AN411" s="14">
        <f t="shared" si="294"/>
        <v>1536.52</v>
      </c>
      <c r="AO411" s="14">
        <f t="shared" si="276"/>
        <v>55971.829999999929</v>
      </c>
      <c r="AP411" s="14">
        <f t="shared" si="295"/>
        <v>1746.44</v>
      </c>
      <c r="AS411" s="14">
        <f t="shared" si="309"/>
        <v>1536.52</v>
      </c>
      <c r="AT411" s="14">
        <f t="shared" si="314"/>
        <v>293364.36000000144</v>
      </c>
      <c r="AU411" s="287">
        <f t="shared" si="315"/>
        <v>2875.4915654459874</v>
      </c>
      <c r="AV411" s="287">
        <f t="shared" si="316"/>
        <v>634572.96119924227</v>
      </c>
    </row>
    <row r="412" spans="1:48" x14ac:dyDescent="0.25">
      <c r="A412" s="519" t="str">
        <f t="shared" si="281"/>
        <v xml:space="preserve"> </v>
      </c>
      <c r="B412" s="287">
        <f t="shared" si="278"/>
        <v>0</v>
      </c>
      <c r="C412" s="14">
        <f t="shared" si="304"/>
        <v>0</v>
      </c>
      <c r="D412" s="14">
        <f t="shared" si="317"/>
        <v>0</v>
      </c>
      <c r="E412" s="14">
        <f t="shared" si="305"/>
        <v>0</v>
      </c>
      <c r="F412" s="14">
        <f t="shared" si="282"/>
        <v>134.16999999999999</v>
      </c>
      <c r="G412" s="14">
        <f t="shared" si="279"/>
        <v>188.55</v>
      </c>
      <c r="H412" s="14">
        <f t="shared" si="280"/>
        <v>322.72000000000003</v>
      </c>
      <c r="I412" s="287">
        <f t="shared" si="283"/>
        <v>187026.8299999999</v>
      </c>
      <c r="J412" s="287">
        <f t="shared" si="284"/>
        <v>96593.969999999914</v>
      </c>
      <c r="K412" s="287">
        <f t="shared" si="285"/>
        <v>0</v>
      </c>
      <c r="L412" s="428">
        <f t="shared" si="277"/>
        <v>29</v>
      </c>
      <c r="M412" s="428">
        <f t="shared" si="310"/>
        <v>353</v>
      </c>
      <c r="N412" s="287">
        <f t="shared" si="311"/>
        <v>10504.199999999944</v>
      </c>
      <c r="O412" s="287">
        <f t="shared" si="296"/>
        <v>1536.52</v>
      </c>
      <c r="P412" s="287">
        <f t="shared" si="318"/>
        <v>1475.25</v>
      </c>
      <c r="Q412" s="287">
        <f t="shared" si="297"/>
        <v>61.27</v>
      </c>
      <c r="R412" s="287">
        <f t="shared" si="288"/>
        <v>134.16999999999999</v>
      </c>
      <c r="S412" s="287">
        <f t="shared" si="289"/>
        <v>188.55</v>
      </c>
      <c r="T412" s="287">
        <f t="shared" si="286"/>
        <v>1859.24</v>
      </c>
      <c r="U412" s="287">
        <f t="shared" si="319"/>
        <v>221921.04999999996</v>
      </c>
      <c r="V412" s="287">
        <f t="shared" si="320"/>
        <v>322007.0299999998</v>
      </c>
      <c r="W412" s="287">
        <f t="shared" si="287"/>
        <v>9028.9499999999443</v>
      </c>
      <c r="X412" s="519" t="str">
        <f t="shared" si="312"/>
        <v xml:space="preserve"> </v>
      </c>
      <c r="Y412" s="287">
        <f t="shared" si="298"/>
        <v>10718.839999999775</v>
      </c>
      <c r="Z412" s="511">
        <f t="shared" si="306"/>
        <v>7.0000000000000007E-2</v>
      </c>
      <c r="AA412" s="287">
        <f t="shared" si="307"/>
        <v>1746.44</v>
      </c>
      <c r="AB412" s="287">
        <f t="shared" si="299"/>
        <v>1683.91</v>
      </c>
      <c r="AC412" s="287">
        <f t="shared" si="308"/>
        <v>62.53</v>
      </c>
      <c r="AD412" s="287">
        <f t="shared" si="290"/>
        <v>134.16999999999999</v>
      </c>
      <c r="AE412" s="287">
        <f t="shared" si="291"/>
        <v>188.55</v>
      </c>
      <c r="AF412" s="287">
        <f t="shared" si="300"/>
        <v>2069.1600000000003</v>
      </c>
      <c r="AG412" s="287">
        <f t="shared" si="301"/>
        <v>266913.87000000005</v>
      </c>
      <c r="AH412" s="287">
        <f t="shared" si="302"/>
        <v>319507.88999999978</v>
      </c>
      <c r="AI412" s="530">
        <f t="shared" si="292"/>
        <v>-42493.679999999782</v>
      </c>
      <c r="AJ412" s="530">
        <f t="shared" si="321"/>
        <v>-5.9799999998303974</v>
      </c>
      <c r="AK412" s="530">
        <f t="shared" si="293"/>
        <v>-42499.659999999611</v>
      </c>
      <c r="AL412" s="287">
        <f t="shared" si="303"/>
        <v>9034.9299999997747</v>
      </c>
      <c r="AM412" s="428">
        <f t="shared" si="313"/>
        <v>29</v>
      </c>
      <c r="AN412" s="14">
        <f t="shared" si="294"/>
        <v>1536.52</v>
      </c>
      <c r="AO412" s="14">
        <f t="shared" si="276"/>
        <v>54496.579999999929</v>
      </c>
      <c r="AP412" s="14">
        <f t="shared" si="295"/>
        <v>1746.44</v>
      </c>
      <c r="AS412" s="14">
        <f t="shared" si="309"/>
        <v>1536.52</v>
      </c>
      <c r="AT412" s="14">
        <f t="shared" si="314"/>
        <v>294900.88000000146</v>
      </c>
      <c r="AU412" s="287">
        <f t="shared" si="315"/>
        <v>2885.0765373308077</v>
      </c>
      <c r="AV412" s="287">
        <f t="shared" si="316"/>
        <v>637458.03773657302</v>
      </c>
    </row>
    <row r="413" spans="1:48" x14ac:dyDescent="0.25">
      <c r="A413" s="519" t="str">
        <f t="shared" si="281"/>
        <v xml:space="preserve"> </v>
      </c>
      <c r="B413" s="287">
        <f t="shared" si="278"/>
        <v>0</v>
      </c>
      <c r="C413" s="14">
        <f t="shared" si="304"/>
        <v>0</v>
      </c>
      <c r="D413" s="14">
        <f t="shared" si="317"/>
        <v>0</v>
      </c>
      <c r="E413" s="14">
        <f t="shared" si="305"/>
        <v>0</v>
      </c>
      <c r="F413" s="14">
        <f t="shared" si="282"/>
        <v>134.16999999999999</v>
      </c>
      <c r="G413" s="14">
        <f t="shared" si="279"/>
        <v>188.55</v>
      </c>
      <c r="H413" s="14">
        <f t="shared" si="280"/>
        <v>322.72000000000003</v>
      </c>
      <c r="I413" s="287">
        <f t="shared" si="283"/>
        <v>187026.8299999999</v>
      </c>
      <c r="J413" s="287">
        <f t="shared" si="284"/>
        <v>96593.969999999914</v>
      </c>
      <c r="K413" s="287">
        <f t="shared" si="285"/>
        <v>0</v>
      </c>
      <c r="L413" s="428">
        <f t="shared" si="277"/>
        <v>29</v>
      </c>
      <c r="M413" s="428">
        <f t="shared" si="310"/>
        <v>354</v>
      </c>
      <c r="N413" s="287">
        <f t="shared" si="311"/>
        <v>9028.9499999999443</v>
      </c>
      <c r="O413" s="287">
        <f t="shared" si="296"/>
        <v>1536.52</v>
      </c>
      <c r="P413" s="287">
        <f t="shared" si="318"/>
        <v>1483.85</v>
      </c>
      <c r="Q413" s="287">
        <f t="shared" si="297"/>
        <v>52.67</v>
      </c>
      <c r="R413" s="287">
        <f t="shared" si="288"/>
        <v>134.16999999999999</v>
      </c>
      <c r="S413" s="287">
        <f t="shared" si="289"/>
        <v>188.55</v>
      </c>
      <c r="T413" s="287">
        <f t="shared" si="286"/>
        <v>1859.24</v>
      </c>
      <c r="U413" s="287">
        <f t="shared" si="319"/>
        <v>223404.89999999997</v>
      </c>
      <c r="V413" s="287">
        <f t="shared" si="320"/>
        <v>322059.69999999978</v>
      </c>
      <c r="W413" s="287">
        <f t="shared" si="287"/>
        <v>7545.099999999944</v>
      </c>
      <c r="X413" s="519" t="str">
        <f t="shared" si="312"/>
        <v xml:space="preserve"> </v>
      </c>
      <c r="Y413" s="287">
        <f t="shared" si="298"/>
        <v>9034.9299999997747</v>
      </c>
      <c r="Z413" s="511">
        <f t="shared" si="306"/>
        <v>7.0000000000000007E-2</v>
      </c>
      <c r="AA413" s="287">
        <f t="shared" si="307"/>
        <v>1746.44</v>
      </c>
      <c r="AB413" s="287">
        <f t="shared" si="299"/>
        <v>1693.74</v>
      </c>
      <c r="AC413" s="287">
        <f t="shared" si="308"/>
        <v>52.7</v>
      </c>
      <c r="AD413" s="287">
        <f t="shared" si="290"/>
        <v>134.16999999999999</v>
      </c>
      <c r="AE413" s="287">
        <f t="shared" si="291"/>
        <v>188.55</v>
      </c>
      <c r="AF413" s="287">
        <f t="shared" si="300"/>
        <v>2069.1600000000003</v>
      </c>
      <c r="AG413" s="287">
        <f t="shared" si="301"/>
        <v>268607.61000000004</v>
      </c>
      <c r="AH413" s="287">
        <f t="shared" si="302"/>
        <v>319560.58999999979</v>
      </c>
      <c r="AI413" s="530">
        <f t="shared" si="292"/>
        <v>-42703.59999999978</v>
      </c>
      <c r="AJ413" s="530">
        <f t="shared" si="321"/>
        <v>203.91000000016902</v>
      </c>
      <c r="AK413" s="530">
        <f t="shared" si="293"/>
        <v>-42499.689999999609</v>
      </c>
      <c r="AL413" s="287">
        <f t="shared" si="303"/>
        <v>7341.189999999775</v>
      </c>
      <c r="AM413" s="428">
        <f t="shared" si="313"/>
        <v>29</v>
      </c>
      <c r="AN413" s="14">
        <f t="shared" si="294"/>
        <v>1536.52</v>
      </c>
      <c r="AO413" s="14">
        <f t="shared" si="276"/>
        <v>53012.729999999923</v>
      </c>
      <c r="AP413" s="14">
        <f t="shared" si="295"/>
        <v>1746.44</v>
      </c>
      <c r="AS413" s="14">
        <f t="shared" si="309"/>
        <v>1536.52</v>
      </c>
      <c r="AT413" s="14">
        <f t="shared" si="314"/>
        <v>296437.40000000148</v>
      </c>
      <c r="AU413" s="287">
        <f t="shared" si="315"/>
        <v>2894.6934591219101</v>
      </c>
      <c r="AV413" s="287">
        <f t="shared" si="316"/>
        <v>640352.73119569488</v>
      </c>
    </row>
    <row r="414" spans="1:48" x14ac:dyDescent="0.25">
      <c r="A414" s="519" t="str">
        <f t="shared" si="281"/>
        <v xml:space="preserve"> </v>
      </c>
      <c r="B414" s="287">
        <f t="shared" si="278"/>
        <v>0</v>
      </c>
      <c r="C414" s="14">
        <f t="shared" si="304"/>
        <v>0</v>
      </c>
      <c r="D414" s="14">
        <f t="shared" si="317"/>
        <v>0</v>
      </c>
      <c r="E414" s="14">
        <f t="shared" si="305"/>
        <v>0</v>
      </c>
      <c r="F414" s="14">
        <f t="shared" si="282"/>
        <v>134.16999999999999</v>
      </c>
      <c r="G414" s="14">
        <f t="shared" si="279"/>
        <v>188.55</v>
      </c>
      <c r="H414" s="14">
        <f t="shared" si="280"/>
        <v>322.72000000000003</v>
      </c>
      <c r="I414" s="287">
        <f t="shared" si="283"/>
        <v>187026.8299999999</v>
      </c>
      <c r="J414" s="287">
        <f t="shared" si="284"/>
        <v>96593.969999999914</v>
      </c>
      <c r="K414" s="287">
        <f t="shared" si="285"/>
        <v>0</v>
      </c>
      <c r="L414" s="428">
        <f t="shared" si="277"/>
        <v>29</v>
      </c>
      <c r="M414" s="428">
        <f t="shared" si="310"/>
        <v>355</v>
      </c>
      <c r="N414" s="287">
        <f t="shared" si="311"/>
        <v>7545.099999999944</v>
      </c>
      <c r="O414" s="287">
        <f t="shared" si="296"/>
        <v>1536.52</v>
      </c>
      <c r="P414" s="287">
        <f t="shared" si="318"/>
        <v>1492.51</v>
      </c>
      <c r="Q414" s="287">
        <f t="shared" si="297"/>
        <v>44.01</v>
      </c>
      <c r="R414" s="287">
        <f t="shared" si="288"/>
        <v>134.16999999999999</v>
      </c>
      <c r="S414" s="287">
        <f t="shared" si="289"/>
        <v>188.55</v>
      </c>
      <c r="T414" s="287">
        <f t="shared" si="286"/>
        <v>1859.24</v>
      </c>
      <c r="U414" s="287">
        <f t="shared" si="319"/>
        <v>224897.40999999997</v>
      </c>
      <c r="V414" s="287">
        <f t="shared" si="320"/>
        <v>322103.70999999979</v>
      </c>
      <c r="W414" s="287">
        <f t="shared" si="287"/>
        <v>6052.5899999999438</v>
      </c>
      <c r="X414" s="519" t="str">
        <f t="shared" si="312"/>
        <v xml:space="preserve"> </v>
      </c>
      <c r="Y414" s="287">
        <f t="shared" si="298"/>
        <v>7341.189999999775</v>
      </c>
      <c r="Z414" s="511">
        <f t="shared" si="306"/>
        <v>7.0000000000000007E-2</v>
      </c>
      <c r="AA414" s="287">
        <f t="shared" si="307"/>
        <v>1746.44</v>
      </c>
      <c r="AB414" s="287">
        <f t="shared" si="299"/>
        <v>1703.6200000000001</v>
      </c>
      <c r="AC414" s="287">
        <f t="shared" si="308"/>
        <v>42.82</v>
      </c>
      <c r="AD414" s="287">
        <f t="shared" si="290"/>
        <v>134.16999999999999</v>
      </c>
      <c r="AE414" s="287">
        <f t="shared" si="291"/>
        <v>188.55</v>
      </c>
      <c r="AF414" s="287">
        <f t="shared" si="300"/>
        <v>2069.1600000000003</v>
      </c>
      <c r="AG414" s="287">
        <f t="shared" si="301"/>
        <v>270311.23000000004</v>
      </c>
      <c r="AH414" s="287">
        <f t="shared" si="302"/>
        <v>319603.4099999998</v>
      </c>
      <c r="AI414" s="530">
        <f t="shared" si="292"/>
        <v>-42913.519999999779</v>
      </c>
      <c r="AJ414" s="530">
        <f t="shared" si="321"/>
        <v>415.02000000016869</v>
      </c>
      <c r="AK414" s="530">
        <f t="shared" si="293"/>
        <v>-42498.499999999607</v>
      </c>
      <c r="AL414" s="287">
        <f t="shared" si="303"/>
        <v>5637.5699999997751</v>
      </c>
      <c r="AM414" s="428">
        <f t="shared" si="313"/>
        <v>29</v>
      </c>
      <c r="AN414" s="14">
        <f t="shared" si="294"/>
        <v>1536.52</v>
      </c>
      <c r="AO414" s="14">
        <f t="shared" si="276"/>
        <v>51520.219999999914</v>
      </c>
      <c r="AP414" s="14">
        <f t="shared" si="295"/>
        <v>1746.44</v>
      </c>
      <c r="AS414" s="14">
        <f t="shared" si="309"/>
        <v>1536.52</v>
      </c>
      <c r="AT414" s="14">
        <f t="shared" si="314"/>
        <v>297973.9200000015</v>
      </c>
      <c r="AU414" s="287">
        <f t="shared" si="315"/>
        <v>2904.3424373189828</v>
      </c>
      <c r="AV414" s="287">
        <f t="shared" si="316"/>
        <v>643257.07363301388</v>
      </c>
    </row>
    <row r="415" spans="1:48" x14ac:dyDescent="0.25">
      <c r="A415" s="519" t="str">
        <f t="shared" si="281"/>
        <v xml:space="preserve"> </v>
      </c>
      <c r="B415" s="287">
        <f t="shared" si="278"/>
        <v>0</v>
      </c>
      <c r="C415" s="14">
        <f t="shared" si="304"/>
        <v>0</v>
      </c>
      <c r="D415" s="14">
        <f t="shared" si="317"/>
        <v>0</v>
      </c>
      <c r="E415" s="14">
        <f t="shared" si="305"/>
        <v>0</v>
      </c>
      <c r="F415" s="14">
        <f t="shared" si="282"/>
        <v>134.16999999999999</v>
      </c>
      <c r="G415" s="14">
        <f t="shared" si="279"/>
        <v>188.55</v>
      </c>
      <c r="H415" s="14">
        <f t="shared" si="280"/>
        <v>322.72000000000003</v>
      </c>
      <c r="I415" s="287">
        <f t="shared" si="283"/>
        <v>187026.8299999999</v>
      </c>
      <c r="J415" s="287">
        <f t="shared" si="284"/>
        <v>96593.969999999914</v>
      </c>
      <c r="K415" s="287">
        <f t="shared" si="285"/>
        <v>0</v>
      </c>
      <c r="L415" s="428">
        <f t="shared" si="277"/>
        <v>29</v>
      </c>
      <c r="M415" s="428">
        <f t="shared" si="310"/>
        <v>356</v>
      </c>
      <c r="N415" s="287">
        <f t="shared" si="311"/>
        <v>6052.5899999999438</v>
      </c>
      <c r="O415" s="287">
        <f t="shared" si="296"/>
        <v>1536.52</v>
      </c>
      <c r="P415" s="287">
        <f t="shared" si="318"/>
        <v>1501.21</v>
      </c>
      <c r="Q415" s="287">
        <f t="shared" si="297"/>
        <v>35.31</v>
      </c>
      <c r="R415" s="287">
        <f t="shared" si="288"/>
        <v>134.16999999999999</v>
      </c>
      <c r="S415" s="287">
        <f t="shared" si="289"/>
        <v>188.55</v>
      </c>
      <c r="T415" s="287">
        <f t="shared" si="286"/>
        <v>1859.24</v>
      </c>
      <c r="U415" s="287">
        <f t="shared" si="319"/>
        <v>226398.61999999997</v>
      </c>
      <c r="V415" s="287">
        <f t="shared" si="320"/>
        <v>322139.01999999979</v>
      </c>
      <c r="W415" s="287">
        <f t="shared" si="287"/>
        <v>4551.3799999999437</v>
      </c>
      <c r="X415" s="519" t="str">
        <f t="shared" si="312"/>
        <v xml:space="preserve"> </v>
      </c>
      <c r="Y415" s="287">
        <f t="shared" si="298"/>
        <v>5637.5699999997751</v>
      </c>
      <c r="Z415" s="511">
        <f t="shared" si="306"/>
        <v>7.0000000000000007E-2</v>
      </c>
      <c r="AA415" s="287">
        <f t="shared" si="307"/>
        <v>1746.44</v>
      </c>
      <c r="AB415" s="287">
        <f t="shared" si="299"/>
        <v>1713.55</v>
      </c>
      <c r="AC415" s="287">
        <f t="shared" si="308"/>
        <v>32.89</v>
      </c>
      <c r="AD415" s="287">
        <f t="shared" si="290"/>
        <v>134.16999999999999</v>
      </c>
      <c r="AE415" s="287">
        <f t="shared" si="291"/>
        <v>188.55</v>
      </c>
      <c r="AF415" s="287">
        <f t="shared" si="300"/>
        <v>2069.1600000000003</v>
      </c>
      <c r="AG415" s="287">
        <f t="shared" si="301"/>
        <v>272024.78000000003</v>
      </c>
      <c r="AH415" s="287">
        <f t="shared" si="302"/>
        <v>319636.29999999981</v>
      </c>
      <c r="AI415" s="530">
        <f t="shared" si="292"/>
        <v>-43123.439999999777</v>
      </c>
      <c r="AJ415" s="530">
        <f t="shared" si="321"/>
        <v>627.36000000016884</v>
      </c>
      <c r="AK415" s="530">
        <f t="shared" si="293"/>
        <v>-42496.079999999609</v>
      </c>
      <c r="AL415" s="287">
        <f t="shared" si="303"/>
        <v>3924.0199999997749</v>
      </c>
      <c r="AM415" s="428">
        <f t="shared" si="313"/>
        <v>29</v>
      </c>
      <c r="AN415" s="14">
        <f t="shared" si="294"/>
        <v>1536.52</v>
      </c>
      <c r="AO415" s="14">
        <f t="shared" si="276"/>
        <v>50019.009999999922</v>
      </c>
      <c r="AP415" s="14">
        <f t="shared" si="295"/>
        <v>1746.44</v>
      </c>
      <c r="AS415" s="14">
        <f t="shared" si="309"/>
        <v>1536.52</v>
      </c>
      <c r="AT415" s="14">
        <f t="shared" si="314"/>
        <v>299510.44000000152</v>
      </c>
      <c r="AU415" s="287">
        <f t="shared" si="315"/>
        <v>2914.0235787767128</v>
      </c>
      <c r="AV415" s="287">
        <f t="shared" si="316"/>
        <v>646171.09721179062</v>
      </c>
    </row>
    <row r="416" spans="1:48" x14ac:dyDescent="0.25">
      <c r="A416" s="519" t="str">
        <f t="shared" si="281"/>
        <v xml:space="preserve"> </v>
      </c>
      <c r="B416" s="287">
        <f t="shared" si="278"/>
        <v>0</v>
      </c>
      <c r="C416" s="14">
        <f t="shared" si="304"/>
        <v>0</v>
      </c>
      <c r="D416" s="14">
        <f t="shared" si="317"/>
        <v>0</v>
      </c>
      <c r="E416" s="14">
        <f t="shared" si="305"/>
        <v>0</v>
      </c>
      <c r="F416" s="14">
        <f t="shared" si="282"/>
        <v>134.16999999999999</v>
      </c>
      <c r="G416" s="14">
        <f t="shared" si="279"/>
        <v>188.55</v>
      </c>
      <c r="H416" s="14">
        <f t="shared" si="280"/>
        <v>322.72000000000003</v>
      </c>
      <c r="I416" s="287">
        <f t="shared" si="283"/>
        <v>187026.8299999999</v>
      </c>
      <c r="J416" s="287">
        <f t="shared" si="284"/>
        <v>96593.969999999914</v>
      </c>
      <c r="K416" s="287">
        <f t="shared" si="285"/>
        <v>0</v>
      </c>
      <c r="L416" s="428">
        <f t="shared" si="277"/>
        <v>29</v>
      </c>
      <c r="M416" s="428">
        <f t="shared" si="310"/>
        <v>357</v>
      </c>
      <c r="N416" s="287">
        <f t="shared" si="311"/>
        <v>4551.3799999999437</v>
      </c>
      <c r="O416" s="287">
        <f t="shared" si="296"/>
        <v>1536.52</v>
      </c>
      <c r="P416" s="287">
        <f t="shared" si="318"/>
        <v>1509.97</v>
      </c>
      <c r="Q416" s="287">
        <f t="shared" si="297"/>
        <v>26.55</v>
      </c>
      <c r="R416" s="287">
        <f t="shared" si="288"/>
        <v>134.16999999999999</v>
      </c>
      <c r="S416" s="287">
        <f t="shared" si="289"/>
        <v>188.55</v>
      </c>
      <c r="T416" s="287">
        <f t="shared" si="286"/>
        <v>1859.24</v>
      </c>
      <c r="U416" s="287">
        <f t="shared" si="319"/>
        <v>227908.58999999997</v>
      </c>
      <c r="V416" s="287">
        <f t="shared" si="320"/>
        <v>322165.56999999977</v>
      </c>
      <c r="W416" s="287">
        <f t="shared" si="287"/>
        <v>3041.4099999999435</v>
      </c>
      <c r="X416" s="519" t="str">
        <f t="shared" si="312"/>
        <v xml:space="preserve"> </v>
      </c>
      <c r="Y416" s="287">
        <f t="shared" si="298"/>
        <v>3924.0199999997749</v>
      </c>
      <c r="Z416" s="511">
        <f t="shared" si="306"/>
        <v>7.0000000000000007E-2</v>
      </c>
      <c r="AA416" s="287">
        <f t="shared" si="307"/>
        <v>1746.44</v>
      </c>
      <c r="AB416" s="287">
        <f t="shared" si="299"/>
        <v>1723.55</v>
      </c>
      <c r="AC416" s="287">
        <f t="shared" si="308"/>
        <v>22.89</v>
      </c>
      <c r="AD416" s="287">
        <f t="shared" si="290"/>
        <v>134.16999999999999</v>
      </c>
      <c r="AE416" s="287">
        <f t="shared" si="291"/>
        <v>188.55</v>
      </c>
      <c r="AF416" s="287">
        <f t="shared" si="300"/>
        <v>2069.1600000000003</v>
      </c>
      <c r="AG416" s="287">
        <f t="shared" si="301"/>
        <v>273748.33</v>
      </c>
      <c r="AH416" s="287">
        <f t="shared" si="302"/>
        <v>319659.18999999983</v>
      </c>
      <c r="AI416" s="530">
        <f t="shared" si="292"/>
        <v>-43333.359999999775</v>
      </c>
      <c r="AJ416" s="530">
        <f t="shared" si="321"/>
        <v>840.94000000016877</v>
      </c>
      <c r="AK416" s="530">
        <f t="shared" si="293"/>
        <v>-42492.419999999605</v>
      </c>
      <c r="AL416" s="287">
        <f t="shared" si="303"/>
        <v>2200.4699999997747</v>
      </c>
      <c r="AM416" s="428">
        <f t="shared" si="313"/>
        <v>29</v>
      </c>
      <c r="AN416" s="14">
        <f t="shared" si="294"/>
        <v>1536.52</v>
      </c>
      <c r="AO416" s="14">
        <f t="shared" si="276"/>
        <v>48509.039999999921</v>
      </c>
      <c r="AP416" s="14">
        <f t="shared" si="295"/>
        <v>1746.44</v>
      </c>
      <c r="AS416" s="14">
        <f t="shared" si="309"/>
        <v>1536.52</v>
      </c>
      <c r="AT416" s="14">
        <f t="shared" si="314"/>
        <v>301046.96000000153</v>
      </c>
      <c r="AU416" s="287">
        <f t="shared" si="315"/>
        <v>2923.7369907059688</v>
      </c>
      <c r="AV416" s="287">
        <f t="shared" si="316"/>
        <v>649094.83420249657</v>
      </c>
    </row>
    <row r="417" spans="1:48" x14ac:dyDescent="0.25">
      <c r="A417" s="519" t="str">
        <f t="shared" si="281"/>
        <v xml:space="preserve"> </v>
      </c>
      <c r="B417" s="287">
        <f t="shared" si="278"/>
        <v>0</v>
      </c>
      <c r="C417" s="14">
        <f t="shared" si="304"/>
        <v>0</v>
      </c>
      <c r="D417" s="14">
        <f t="shared" si="317"/>
        <v>0</v>
      </c>
      <c r="E417" s="14">
        <f t="shared" si="305"/>
        <v>0</v>
      </c>
      <c r="F417" s="14">
        <f t="shared" si="282"/>
        <v>134.16999999999999</v>
      </c>
      <c r="G417" s="14">
        <f t="shared" si="279"/>
        <v>188.55</v>
      </c>
      <c r="H417" s="14">
        <f t="shared" si="280"/>
        <v>322.72000000000003</v>
      </c>
      <c r="I417" s="287">
        <f t="shared" si="283"/>
        <v>187026.8299999999</v>
      </c>
      <c r="J417" s="287">
        <f t="shared" si="284"/>
        <v>96593.969999999914</v>
      </c>
      <c r="K417" s="287">
        <f t="shared" si="285"/>
        <v>0</v>
      </c>
      <c r="L417" s="428">
        <f t="shared" si="277"/>
        <v>29</v>
      </c>
      <c r="M417" s="428">
        <f t="shared" si="310"/>
        <v>358</v>
      </c>
      <c r="N417" s="287">
        <f t="shared" si="311"/>
        <v>3041.4099999999435</v>
      </c>
      <c r="O417" s="287">
        <f t="shared" si="296"/>
        <v>1536.52</v>
      </c>
      <c r="P417" s="287">
        <f t="shared" si="318"/>
        <v>1518.78</v>
      </c>
      <c r="Q417" s="287">
        <f t="shared" si="297"/>
        <v>17.739999999999998</v>
      </c>
      <c r="R417" s="287">
        <f t="shared" si="288"/>
        <v>134.16999999999999</v>
      </c>
      <c r="S417" s="287">
        <f t="shared" si="289"/>
        <v>188.55</v>
      </c>
      <c r="T417" s="287">
        <f t="shared" si="286"/>
        <v>1859.24</v>
      </c>
      <c r="U417" s="287">
        <f t="shared" si="319"/>
        <v>229427.36999999997</v>
      </c>
      <c r="V417" s="287">
        <f t="shared" si="320"/>
        <v>322183.30999999976</v>
      </c>
      <c r="W417" s="287">
        <f t="shared" si="287"/>
        <v>1522.6299999999435</v>
      </c>
      <c r="X417" s="519" t="str">
        <f t="shared" si="312"/>
        <v xml:space="preserve"> </v>
      </c>
      <c r="Y417" s="287">
        <f t="shared" si="298"/>
        <v>2200.4699999997747</v>
      </c>
      <c r="Z417" s="511">
        <f t="shared" si="306"/>
        <v>7.0000000000000007E-2</v>
      </c>
      <c r="AA417" s="287">
        <f t="shared" si="307"/>
        <v>1746.44</v>
      </c>
      <c r="AB417" s="287">
        <f t="shared" si="299"/>
        <v>1733.6000000000001</v>
      </c>
      <c r="AC417" s="287">
        <f t="shared" si="308"/>
        <v>12.84</v>
      </c>
      <c r="AD417" s="287">
        <f t="shared" si="290"/>
        <v>134.16999999999999</v>
      </c>
      <c r="AE417" s="287">
        <f t="shared" si="291"/>
        <v>188.55</v>
      </c>
      <c r="AF417" s="287">
        <f t="shared" si="300"/>
        <v>2069.1600000000003</v>
      </c>
      <c r="AG417" s="287">
        <f t="shared" si="301"/>
        <v>275481.93</v>
      </c>
      <c r="AH417" s="287">
        <f t="shared" si="302"/>
        <v>319672.02999999985</v>
      </c>
      <c r="AI417" s="530">
        <f t="shared" si="292"/>
        <v>-43543.279999999773</v>
      </c>
      <c r="AJ417" s="530">
        <f t="shared" si="321"/>
        <v>1055.7600000001689</v>
      </c>
      <c r="AK417" s="530">
        <f t="shared" si="293"/>
        <v>-42487.519999999604</v>
      </c>
      <c r="AL417" s="287">
        <f t="shared" si="303"/>
        <v>466.86999999977456</v>
      </c>
      <c r="AM417" s="428">
        <f t="shared" si="313"/>
        <v>29</v>
      </c>
      <c r="AN417" s="14">
        <f t="shared" si="294"/>
        <v>1536.52</v>
      </c>
      <c r="AO417" s="14">
        <f t="shared" si="276"/>
        <v>46990.259999999922</v>
      </c>
      <c r="AP417" s="14">
        <f t="shared" si="295"/>
        <v>1746.44</v>
      </c>
      <c r="AS417" s="14">
        <f t="shared" si="309"/>
        <v>1536.52</v>
      </c>
      <c r="AT417" s="14">
        <f t="shared" si="314"/>
        <v>302583.48000000155</v>
      </c>
      <c r="AU417" s="287">
        <f t="shared" si="315"/>
        <v>2933.4827806749886</v>
      </c>
      <c r="AV417" s="287">
        <f t="shared" si="316"/>
        <v>652028.31698317151</v>
      </c>
    </row>
    <row r="418" spans="1:48" x14ac:dyDescent="0.25">
      <c r="A418" s="519" t="str">
        <f t="shared" si="281"/>
        <v xml:space="preserve"> </v>
      </c>
      <c r="B418" s="287">
        <f t="shared" si="278"/>
        <v>0</v>
      </c>
      <c r="C418" s="14">
        <f t="shared" si="304"/>
        <v>0</v>
      </c>
      <c r="D418" s="14">
        <f t="shared" si="317"/>
        <v>0</v>
      </c>
      <c r="E418" s="14">
        <f t="shared" si="305"/>
        <v>0</v>
      </c>
      <c r="F418" s="14">
        <f t="shared" si="282"/>
        <v>134.16999999999999</v>
      </c>
      <c r="G418" s="14">
        <f t="shared" si="279"/>
        <v>188.55</v>
      </c>
      <c r="H418" s="14">
        <f t="shared" si="280"/>
        <v>322.72000000000003</v>
      </c>
      <c r="I418" s="287">
        <f t="shared" si="283"/>
        <v>187026.8299999999</v>
      </c>
      <c r="J418" s="287">
        <f t="shared" si="284"/>
        <v>96593.969999999914</v>
      </c>
      <c r="K418" s="287">
        <f t="shared" si="285"/>
        <v>0</v>
      </c>
      <c r="L418" s="428">
        <f t="shared" si="277"/>
        <v>29</v>
      </c>
      <c r="M418" s="428">
        <f t="shared" si="310"/>
        <v>359</v>
      </c>
      <c r="N418" s="287">
        <f t="shared" ref="N418:N481" si="322">IF(+W417&lt;0,0,+W417)</f>
        <v>1522.6299999999435</v>
      </c>
      <c r="O418" s="287">
        <f t="shared" si="296"/>
        <v>1536.52</v>
      </c>
      <c r="P418" s="287">
        <f t="shared" si="318"/>
        <v>1527.6399999999999</v>
      </c>
      <c r="Q418" s="287">
        <f t="shared" si="297"/>
        <v>8.8800000000000008</v>
      </c>
      <c r="R418" s="287">
        <f t="shared" si="288"/>
        <v>134.16999999999999</v>
      </c>
      <c r="S418" s="287">
        <f t="shared" si="289"/>
        <v>188.55</v>
      </c>
      <c r="T418" s="287">
        <f t="shared" si="286"/>
        <v>1859.24</v>
      </c>
      <c r="U418" s="287">
        <f t="shared" si="319"/>
        <v>230955.00999999998</v>
      </c>
      <c r="V418" s="287">
        <f t="shared" si="320"/>
        <v>322192.18999999977</v>
      </c>
      <c r="W418" s="287">
        <f t="shared" si="287"/>
        <v>-5.0100000000563796</v>
      </c>
      <c r="X418" s="519" t="str">
        <f t="shared" si="312"/>
        <v xml:space="preserve"> </v>
      </c>
      <c r="Y418" s="287">
        <f t="shared" si="298"/>
        <v>466.86999999977456</v>
      </c>
      <c r="Z418" s="511">
        <f t="shared" si="306"/>
        <v>7.0000000000000007E-2</v>
      </c>
      <c r="AA418" s="287">
        <f t="shared" si="307"/>
        <v>1746.44</v>
      </c>
      <c r="AB418" s="287">
        <f t="shared" si="299"/>
        <v>1743.72</v>
      </c>
      <c r="AC418" s="287">
        <f t="shared" si="308"/>
        <v>2.72</v>
      </c>
      <c r="AD418" s="287">
        <f t="shared" si="290"/>
        <v>134.16999999999999</v>
      </c>
      <c r="AE418" s="287">
        <f t="shared" si="291"/>
        <v>188.55</v>
      </c>
      <c r="AF418" s="287">
        <f t="shared" si="300"/>
        <v>2069.1600000000003</v>
      </c>
      <c r="AG418" s="287">
        <f t="shared" si="301"/>
        <v>277225.64999999997</v>
      </c>
      <c r="AH418" s="287">
        <f t="shared" si="302"/>
        <v>319674.74999999983</v>
      </c>
      <c r="AI418" s="530">
        <f t="shared" si="292"/>
        <v>-43753.199999999772</v>
      </c>
      <c r="AJ418" s="530">
        <f t="shared" si="321"/>
        <v>1271.8400000001691</v>
      </c>
      <c r="AK418" s="530">
        <f t="shared" si="293"/>
        <v>-42481.3599999996</v>
      </c>
      <c r="AL418" s="287">
        <f t="shared" si="303"/>
        <v>-1276.8500000002255</v>
      </c>
      <c r="AM418" s="428">
        <f t="shared" si="313"/>
        <v>29</v>
      </c>
      <c r="AN418" s="14">
        <f t="shared" si="294"/>
        <v>1536.52</v>
      </c>
      <c r="AO418" s="14">
        <f t="shared" si="276"/>
        <v>0</v>
      </c>
      <c r="AP418" s="14">
        <f t="shared" si="295"/>
        <v>1746.44</v>
      </c>
      <c r="AS418" s="14">
        <f t="shared" si="309"/>
        <v>1536.52</v>
      </c>
      <c r="AT418" s="14">
        <f t="shared" si="314"/>
        <v>0</v>
      </c>
      <c r="AU418" s="287">
        <f t="shared" si="315"/>
        <v>0</v>
      </c>
      <c r="AV418" s="287">
        <f t="shared" si="316"/>
        <v>0</v>
      </c>
    </row>
    <row r="419" spans="1:48" x14ac:dyDescent="0.25">
      <c r="A419" s="519" t="str">
        <f t="shared" si="281"/>
        <v xml:space="preserve"> </v>
      </c>
      <c r="B419" s="287">
        <f t="shared" si="278"/>
        <v>0</v>
      </c>
      <c r="C419" s="14">
        <f t="shared" si="304"/>
        <v>0</v>
      </c>
      <c r="D419" s="14">
        <f t="shared" si="317"/>
        <v>0</v>
      </c>
      <c r="E419" s="14">
        <f t="shared" si="305"/>
        <v>0</v>
      </c>
      <c r="F419" s="14">
        <f t="shared" si="282"/>
        <v>134.16999999999999</v>
      </c>
      <c r="G419" s="14">
        <f t="shared" si="279"/>
        <v>188.55</v>
      </c>
      <c r="H419" s="14">
        <f t="shared" si="280"/>
        <v>322.72000000000003</v>
      </c>
      <c r="I419" s="287">
        <f t="shared" si="283"/>
        <v>187026.8299999999</v>
      </c>
      <c r="J419" s="287">
        <f t="shared" si="284"/>
        <v>96593.969999999914</v>
      </c>
      <c r="K419" s="287">
        <f t="shared" si="285"/>
        <v>0</v>
      </c>
      <c r="L419" s="428">
        <f t="shared" si="277"/>
        <v>30</v>
      </c>
      <c r="M419" s="428">
        <f t="shared" si="310"/>
        <v>360</v>
      </c>
      <c r="N419" s="287">
        <f t="shared" si="322"/>
        <v>0</v>
      </c>
      <c r="O419" s="287">
        <f t="shared" si="296"/>
        <v>0</v>
      </c>
      <c r="P419" s="287">
        <f t="shared" si="318"/>
        <v>0</v>
      </c>
      <c r="Q419" s="287">
        <f t="shared" si="297"/>
        <v>0</v>
      </c>
      <c r="R419" s="287">
        <f t="shared" si="288"/>
        <v>134.16999999999999</v>
      </c>
      <c r="S419" s="287">
        <f t="shared" si="289"/>
        <v>188.55</v>
      </c>
      <c r="T419" s="287">
        <f t="shared" si="286"/>
        <v>322.72000000000003</v>
      </c>
      <c r="U419" s="287">
        <f t="shared" si="319"/>
        <v>230955.00999999998</v>
      </c>
      <c r="V419" s="287">
        <f t="shared" si="320"/>
        <v>322192.18999999977</v>
      </c>
      <c r="W419" s="287">
        <f t="shared" si="287"/>
        <v>0</v>
      </c>
      <c r="X419" s="519" t="str">
        <f t="shared" si="312"/>
        <v xml:space="preserve"> </v>
      </c>
      <c r="Y419" s="287">
        <f t="shared" si="298"/>
        <v>0</v>
      </c>
      <c r="Z419" s="511">
        <f t="shared" si="306"/>
        <v>7.0000000000000007E-2</v>
      </c>
      <c r="AA419" s="287">
        <f t="shared" si="307"/>
        <v>0</v>
      </c>
      <c r="AB419" s="287">
        <f t="shared" si="299"/>
        <v>0</v>
      </c>
      <c r="AC419" s="287">
        <f t="shared" si="308"/>
        <v>0</v>
      </c>
      <c r="AD419" s="287">
        <f t="shared" si="290"/>
        <v>134.16999999999999</v>
      </c>
      <c r="AE419" s="287">
        <f t="shared" si="291"/>
        <v>188.55</v>
      </c>
      <c r="AF419" s="287">
        <f t="shared" si="300"/>
        <v>322.72000000000003</v>
      </c>
      <c r="AG419" s="287">
        <f t="shared" si="301"/>
        <v>277225.64999999997</v>
      </c>
      <c r="AH419" s="287">
        <f t="shared" si="302"/>
        <v>319674.74999999983</v>
      </c>
      <c r="AI419" s="530">
        <f t="shared" si="292"/>
        <v>-43753.199999999772</v>
      </c>
      <c r="AJ419" s="530">
        <f t="shared" si="321"/>
        <v>0</v>
      </c>
      <c r="AK419" s="530">
        <f t="shared" si="293"/>
        <v>-43753.199999999772</v>
      </c>
      <c r="AL419" s="287">
        <f t="shared" si="303"/>
        <v>0</v>
      </c>
      <c r="AM419" s="428">
        <f t="shared" si="313"/>
        <v>30</v>
      </c>
      <c r="AN419" s="14">
        <f t="shared" si="294"/>
        <v>0</v>
      </c>
      <c r="AO419" s="14">
        <f t="shared" si="276"/>
        <v>0</v>
      </c>
      <c r="AP419" s="14">
        <f t="shared" si="295"/>
        <v>0</v>
      </c>
      <c r="AS419" s="14">
        <f t="shared" si="309"/>
        <v>0</v>
      </c>
      <c r="AT419" s="14">
        <f t="shared" si="314"/>
        <v>0</v>
      </c>
      <c r="AU419" s="287">
        <f t="shared" si="315"/>
        <v>0</v>
      </c>
      <c r="AV419" s="287">
        <f t="shared" si="316"/>
        <v>0</v>
      </c>
    </row>
    <row r="420" spans="1:48" x14ac:dyDescent="0.25">
      <c r="A420" s="519" t="str">
        <f t="shared" si="281"/>
        <v xml:space="preserve"> </v>
      </c>
      <c r="B420" s="287">
        <f t="shared" si="278"/>
        <v>0</v>
      </c>
      <c r="C420" s="14">
        <f t="shared" si="304"/>
        <v>0</v>
      </c>
      <c r="D420" s="14">
        <f t="shared" si="317"/>
        <v>0</v>
      </c>
      <c r="E420" s="14">
        <f t="shared" si="305"/>
        <v>0</v>
      </c>
      <c r="F420" s="14">
        <f t="shared" si="282"/>
        <v>134.16999999999999</v>
      </c>
      <c r="G420" s="14">
        <f t="shared" si="279"/>
        <v>188.55</v>
      </c>
      <c r="H420" s="14">
        <f t="shared" si="280"/>
        <v>322.72000000000003</v>
      </c>
      <c r="I420" s="287">
        <f t="shared" si="283"/>
        <v>187026.8299999999</v>
      </c>
      <c r="J420" s="287">
        <f t="shared" si="284"/>
        <v>96593.969999999914</v>
      </c>
      <c r="K420" s="287">
        <f t="shared" si="285"/>
        <v>0</v>
      </c>
      <c r="L420" s="428">
        <f t="shared" si="277"/>
        <v>30</v>
      </c>
      <c r="M420" s="428">
        <f t="shared" si="310"/>
        <v>361</v>
      </c>
      <c r="N420" s="287">
        <f t="shared" si="322"/>
        <v>0</v>
      </c>
      <c r="O420" s="287">
        <f t="shared" si="296"/>
        <v>0</v>
      </c>
      <c r="P420" s="287">
        <f t="shared" si="318"/>
        <v>0</v>
      </c>
      <c r="Q420" s="287">
        <f t="shared" si="297"/>
        <v>0</v>
      </c>
      <c r="R420" s="287">
        <f t="shared" si="288"/>
        <v>134.16999999999999</v>
      </c>
      <c r="S420" s="287">
        <f t="shared" si="289"/>
        <v>188.55</v>
      </c>
      <c r="T420" s="287">
        <f t="shared" si="286"/>
        <v>322.72000000000003</v>
      </c>
      <c r="U420" s="287">
        <f t="shared" si="319"/>
        <v>230955.00999999998</v>
      </c>
      <c r="V420" s="287">
        <f t="shared" si="320"/>
        <v>322192.18999999977</v>
      </c>
      <c r="W420" s="287">
        <f t="shared" si="287"/>
        <v>0</v>
      </c>
      <c r="X420" s="519" t="str">
        <f t="shared" si="312"/>
        <v xml:space="preserve"> </v>
      </c>
      <c r="Y420" s="287">
        <f t="shared" si="298"/>
        <v>0</v>
      </c>
      <c r="Z420" s="511">
        <f t="shared" si="306"/>
        <v>7.0000000000000007E-2</v>
      </c>
      <c r="AA420" s="287">
        <f t="shared" si="307"/>
        <v>0</v>
      </c>
      <c r="AB420" s="287">
        <f t="shared" si="299"/>
        <v>0</v>
      </c>
      <c r="AC420" s="287">
        <f t="shared" si="308"/>
        <v>0</v>
      </c>
      <c r="AD420" s="287">
        <f t="shared" si="290"/>
        <v>134.16999999999999</v>
      </c>
      <c r="AE420" s="287">
        <f t="shared" si="291"/>
        <v>188.55</v>
      </c>
      <c r="AF420" s="287">
        <f t="shared" si="300"/>
        <v>322.72000000000003</v>
      </c>
      <c r="AG420" s="287">
        <f t="shared" si="301"/>
        <v>277225.64999999997</v>
      </c>
      <c r="AH420" s="287">
        <f t="shared" si="302"/>
        <v>319674.74999999983</v>
      </c>
      <c r="AI420" s="530">
        <f t="shared" si="292"/>
        <v>-43753.199999999772</v>
      </c>
      <c r="AJ420" s="530">
        <f t="shared" si="321"/>
        <v>0</v>
      </c>
      <c r="AK420" s="530">
        <f t="shared" si="293"/>
        <v>-43753.199999999772</v>
      </c>
      <c r="AL420" s="287">
        <f>+Y420-AB420</f>
        <v>0</v>
      </c>
      <c r="AM420" s="428">
        <f t="shared" si="313"/>
        <v>30</v>
      </c>
      <c r="AN420" s="14">
        <f t="shared" si="294"/>
        <v>0</v>
      </c>
      <c r="AO420" s="14">
        <f t="shared" si="276"/>
        <v>0</v>
      </c>
      <c r="AP420" s="14">
        <f t="shared" si="295"/>
        <v>0</v>
      </c>
      <c r="AS420" s="14">
        <f t="shared" si="309"/>
        <v>0</v>
      </c>
      <c r="AT420" s="14">
        <f t="shared" si="314"/>
        <v>0</v>
      </c>
      <c r="AU420" s="287">
        <f t="shared" si="315"/>
        <v>0</v>
      </c>
      <c r="AV420" s="287">
        <f t="shared" si="316"/>
        <v>0</v>
      </c>
    </row>
    <row r="421" spans="1:48" x14ac:dyDescent="0.25">
      <c r="A421" s="519" t="str">
        <f t="shared" si="281"/>
        <v xml:space="preserve"> </v>
      </c>
      <c r="B421" s="287">
        <f t="shared" si="278"/>
        <v>0</v>
      </c>
      <c r="C421" s="14">
        <f t="shared" si="304"/>
        <v>0</v>
      </c>
      <c r="D421" s="14">
        <f t="shared" si="317"/>
        <v>0</v>
      </c>
      <c r="E421" s="14">
        <f t="shared" si="305"/>
        <v>0</v>
      </c>
      <c r="F421" s="14">
        <f t="shared" si="282"/>
        <v>134.16999999999999</v>
      </c>
      <c r="G421" s="14">
        <f t="shared" si="279"/>
        <v>188.55</v>
      </c>
      <c r="H421" s="14">
        <f t="shared" si="280"/>
        <v>322.72000000000003</v>
      </c>
      <c r="I421" s="287">
        <f t="shared" si="283"/>
        <v>187026.8299999999</v>
      </c>
      <c r="J421" s="287">
        <f t="shared" si="284"/>
        <v>96593.969999999914</v>
      </c>
      <c r="K421" s="287">
        <f t="shared" si="285"/>
        <v>0</v>
      </c>
      <c r="L421" s="428">
        <f t="shared" si="277"/>
        <v>30</v>
      </c>
      <c r="M421" s="428">
        <f t="shared" si="310"/>
        <v>362</v>
      </c>
      <c r="N421" s="287">
        <f t="shared" si="322"/>
        <v>0</v>
      </c>
      <c r="O421" s="287">
        <f t="shared" si="296"/>
        <v>0</v>
      </c>
      <c r="P421" s="287">
        <f t="shared" si="318"/>
        <v>0</v>
      </c>
      <c r="Q421" s="287">
        <f t="shared" si="297"/>
        <v>0</v>
      </c>
      <c r="R421" s="287">
        <f t="shared" si="288"/>
        <v>134.16999999999999</v>
      </c>
      <c r="S421" s="287">
        <f t="shared" si="289"/>
        <v>188.55</v>
      </c>
      <c r="T421" s="287">
        <f t="shared" si="286"/>
        <v>322.72000000000003</v>
      </c>
      <c r="U421" s="287">
        <f t="shared" si="319"/>
        <v>230955.00999999998</v>
      </c>
      <c r="V421" s="287">
        <f t="shared" si="320"/>
        <v>322192.18999999977</v>
      </c>
      <c r="W421" s="287">
        <f t="shared" si="287"/>
        <v>0</v>
      </c>
      <c r="X421" s="519" t="str">
        <f t="shared" si="312"/>
        <v xml:space="preserve"> </v>
      </c>
      <c r="Y421" s="287">
        <f t="shared" si="298"/>
        <v>0</v>
      </c>
      <c r="Z421" s="511">
        <f t="shared" si="306"/>
        <v>7.0000000000000007E-2</v>
      </c>
      <c r="AA421" s="287">
        <f t="shared" si="307"/>
        <v>0</v>
      </c>
      <c r="AB421" s="287">
        <f t="shared" si="299"/>
        <v>0</v>
      </c>
      <c r="AC421" s="287">
        <f t="shared" si="308"/>
        <v>0</v>
      </c>
      <c r="AD421" s="287">
        <f t="shared" si="290"/>
        <v>134.16999999999999</v>
      </c>
      <c r="AE421" s="287">
        <f t="shared" si="291"/>
        <v>188.55</v>
      </c>
      <c r="AF421" s="287">
        <f t="shared" si="300"/>
        <v>322.72000000000003</v>
      </c>
      <c r="AG421" s="287">
        <f t="shared" si="301"/>
        <v>277225.64999999997</v>
      </c>
      <c r="AH421" s="287">
        <f t="shared" si="302"/>
        <v>319674.74999999983</v>
      </c>
      <c r="AI421" s="530">
        <f t="shared" si="292"/>
        <v>-43753.199999999772</v>
      </c>
      <c r="AJ421" s="530">
        <f t="shared" si="321"/>
        <v>0</v>
      </c>
      <c r="AK421" s="530">
        <f t="shared" si="293"/>
        <v>-43753.199999999772</v>
      </c>
      <c r="AL421" s="287">
        <f t="shared" si="303"/>
        <v>0</v>
      </c>
      <c r="AM421" s="428">
        <f t="shared" si="313"/>
        <v>30</v>
      </c>
      <c r="AN421" s="14">
        <f t="shared" si="294"/>
        <v>0</v>
      </c>
      <c r="AO421" s="14">
        <f t="shared" si="276"/>
        <v>0</v>
      </c>
      <c r="AP421" s="14">
        <f t="shared" si="295"/>
        <v>0</v>
      </c>
      <c r="AS421" s="14">
        <f t="shared" si="309"/>
        <v>0</v>
      </c>
      <c r="AT421" s="14">
        <f t="shared" si="314"/>
        <v>0</v>
      </c>
      <c r="AU421" s="287">
        <f t="shared" si="315"/>
        <v>0</v>
      </c>
      <c r="AV421" s="287">
        <f t="shared" si="316"/>
        <v>0</v>
      </c>
    </row>
    <row r="422" spans="1:48" ht="15.75" thickBot="1" x14ac:dyDescent="0.3">
      <c r="A422" s="522" t="str">
        <f t="shared" si="281"/>
        <v xml:space="preserve"> </v>
      </c>
      <c r="B422" s="348">
        <f t="shared" si="278"/>
        <v>0</v>
      </c>
      <c r="C422" s="21">
        <f t="shared" si="304"/>
        <v>0</v>
      </c>
      <c r="D422" s="21">
        <f t="shared" si="317"/>
        <v>0</v>
      </c>
      <c r="E422" s="21">
        <f t="shared" si="305"/>
        <v>0</v>
      </c>
      <c r="F422" s="21">
        <f t="shared" si="282"/>
        <v>134.16999999999999</v>
      </c>
      <c r="G422" s="21">
        <f t="shared" si="279"/>
        <v>188.55</v>
      </c>
      <c r="H422" s="21">
        <f t="shared" si="280"/>
        <v>322.72000000000003</v>
      </c>
      <c r="I422" s="348">
        <f t="shared" si="283"/>
        <v>187026.8299999999</v>
      </c>
      <c r="J422" s="348">
        <f t="shared" si="284"/>
        <v>96593.969999999914</v>
      </c>
      <c r="K422" s="348">
        <f t="shared" si="285"/>
        <v>0</v>
      </c>
      <c r="L422" s="429">
        <f t="shared" si="277"/>
        <v>30</v>
      </c>
      <c r="M422" s="429">
        <f t="shared" si="310"/>
        <v>363</v>
      </c>
      <c r="N422" s="348">
        <f t="shared" si="322"/>
        <v>0</v>
      </c>
      <c r="O422" s="348">
        <f t="shared" si="296"/>
        <v>0</v>
      </c>
      <c r="P422" s="348">
        <f t="shared" si="318"/>
        <v>0</v>
      </c>
      <c r="Q422" s="348">
        <f t="shared" si="297"/>
        <v>0</v>
      </c>
      <c r="R422" s="348">
        <f t="shared" si="288"/>
        <v>134.16999999999999</v>
      </c>
      <c r="S422" s="348">
        <f t="shared" si="289"/>
        <v>188.55</v>
      </c>
      <c r="T422" s="348">
        <f t="shared" si="286"/>
        <v>322.72000000000003</v>
      </c>
      <c r="U422" s="348">
        <f t="shared" si="319"/>
        <v>230955.00999999998</v>
      </c>
      <c r="V422" s="348">
        <f t="shared" si="320"/>
        <v>322192.18999999977</v>
      </c>
      <c r="W422" s="348">
        <f t="shared" si="287"/>
        <v>0</v>
      </c>
      <c r="X422" s="522" t="str">
        <f t="shared" si="312"/>
        <v xml:space="preserve"> </v>
      </c>
      <c r="Y422" s="348">
        <f t="shared" si="298"/>
        <v>0</v>
      </c>
      <c r="Z422" s="512">
        <f t="shared" si="306"/>
        <v>7.0000000000000007E-2</v>
      </c>
      <c r="AA422" s="348">
        <f t="shared" si="307"/>
        <v>0</v>
      </c>
      <c r="AB422" s="348">
        <f t="shared" si="299"/>
        <v>0</v>
      </c>
      <c r="AC422" s="348">
        <f t="shared" si="308"/>
        <v>0</v>
      </c>
      <c r="AD422" s="348">
        <f t="shared" si="290"/>
        <v>134.16999999999999</v>
      </c>
      <c r="AE422" s="348">
        <f t="shared" si="291"/>
        <v>188.55</v>
      </c>
      <c r="AF422" s="348">
        <f t="shared" si="300"/>
        <v>322.72000000000003</v>
      </c>
      <c r="AG422" s="348">
        <f t="shared" si="301"/>
        <v>277225.64999999997</v>
      </c>
      <c r="AH422" s="348">
        <f t="shared" si="302"/>
        <v>319674.74999999983</v>
      </c>
      <c r="AI422" s="531">
        <f t="shared" si="292"/>
        <v>-43753.199999999772</v>
      </c>
      <c r="AJ422" s="531">
        <f t="shared" si="321"/>
        <v>0</v>
      </c>
      <c r="AK422" s="530">
        <f t="shared" si="293"/>
        <v>-43753.199999999772</v>
      </c>
      <c r="AL422" s="348">
        <f t="shared" si="303"/>
        <v>0</v>
      </c>
      <c r="AM422" s="429">
        <f t="shared" si="313"/>
        <v>30</v>
      </c>
      <c r="AN422" s="21">
        <f t="shared" si="294"/>
        <v>0</v>
      </c>
      <c r="AO422" s="21">
        <f t="shared" si="276"/>
        <v>0</v>
      </c>
      <c r="AP422" s="21">
        <f t="shared" si="295"/>
        <v>0</v>
      </c>
      <c r="AQ422" s="21"/>
      <c r="AR422" s="23"/>
      <c r="AS422" s="21">
        <f t="shared" si="309"/>
        <v>0</v>
      </c>
      <c r="AT422" s="21">
        <f t="shared" si="314"/>
        <v>0</v>
      </c>
      <c r="AU422" s="348">
        <f t="shared" si="315"/>
        <v>0</v>
      </c>
      <c r="AV422" s="348">
        <f t="shared" si="316"/>
        <v>0</v>
      </c>
    </row>
    <row r="423" spans="1:48" x14ac:dyDescent="0.25">
      <c r="A423" s="519" t="str">
        <f t="shared" si="281"/>
        <v xml:space="preserve"> </v>
      </c>
      <c r="B423" s="287">
        <f t="shared" si="278"/>
        <v>0</v>
      </c>
      <c r="C423" s="14">
        <f t="shared" si="304"/>
        <v>0</v>
      </c>
      <c r="D423" s="14">
        <f t="shared" si="317"/>
        <v>0</v>
      </c>
      <c r="E423" s="14">
        <f t="shared" si="305"/>
        <v>0</v>
      </c>
      <c r="F423" s="14">
        <f t="shared" si="282"/>
        <v>134.16999999999999</v>
      </c>
      <c r="G423" s="14">
        <f t="shared" si="279"/>
        <v>188.55</v>
      </c>
      <c r="H423" s="14">
        <f t="shared" si="280"/>
        <v>322.72000000000003</v>
      </c>
      <c r="I423" s="287">
        <f t="shared" si="283"/>
        <v>187026.8299999999</v>
      </c>
      <c r="J423" s="287">
        <f t="shared" si="284"/>
        <v>96593.969999999914</v>
      </c>
      <c r="K423" s="287">
        <f t="shared" si="285"/>
        <v>0</v>
      </c>
      <c r="L423" s="428">
        <f t="shared" si="277"/>
        <v>30</v>
      </c>
      <c r="M423" s="428">
        <f t="shared" si="310"/>
        <v>364</v>
      </c>
      <c r="N423" s="287">
        <f t="shared" si="322"/>
        <v>0</v>
      </c>
      <c r="O423" s="287">
        <f t="shared" si="296"/>
        <v>0</v>
      </c>
      <c r="P423" s="287">
        <f t="shared" si="318"/>
        <v>0</v>
      </c>
      <c r="Q423" s="287">
        <f t="shared" si="297"/>
        <v>0</v>
      </c>
      <c r="R423" s="287">
        <f t="shared" si="288"/>
        <v>134.16999999999999</v>
      </c>
      <c r="S423" s="287">
        <f t="shared" si="289"/>
        <v>188.55</v>
      </c>
      <c r="T423" s="287">
        <f t="shared" si="286"/>
        <v>322.72000000000003</v>
      </c>
      <c r="U423" s="287">
        <f t="shared" si="319"/>
        <v>230955.00999999998</v>
      </c>
      <c r="V423" s="287">
        <f t="shared" si="320"/>
        <v>322192.18999999977</v>
      </c>
      <c r="W423" s="287">
        <f t="shared" si="287"/>
        <v>0</v>
      </c>
      <c r="X423" s="519" t="str">
        <f t="shared" si="312"/>
        <v xml:space="preserve"> </v>
      </c>
      <c r="Y423" s="287">
        <f t="shared" si="298"/>
        <v>0</v>
      </c>
      <c r="Z423" s="511">
        <f t="shared" si="306"/>
        <v>7.0000000000000007E-2</v>
      </c>
      <c r="AA423" s="287">
        <f t="shared" si="307"/>
        <v>0</v>
      </c>
      <c r="AB423" s="287">
        <f t="shared" si="299"/>
        <v>0</v>
      </c>
      <c r="AC423" s="287">
        <f t="shared" si="308"/>
        <v>0</v>
      </c>
      <c r="AD423" s="287">
        <f t="shared" si="290"/>
        <v>134.16999999999999</v>
      </c>
      <c r="AE423" s="287">
        <f t="shared" si="291"/>
        <v>188.55</v>
      </c>
      <c r="AF423" s="287">
        <f t="shared" si="300"/>
        <v>322.72000000000003</v>
      </c>
      <c r="AG423" s="287">
        <f t="shared" si="301"/>
        <v>277225.64999999997</v>
      </c>
      <c r="AH423" s="287">
        <f t="shared" si="302"/>
        <v>319674.74999999983</v>
      </c>
      <c r="AI423" s="530">
        <f t="shared" si="292"/>
        <v>-43753.199999999772</v>
      </c>
      <c r="AJ423" s="530">
        <f t="shared" si="321"/>
        <v>0</v>
      </c>
      <c r="AK423" s="530">
        <f t="shared" si="293"/>
        <v>-43753.199999999772</v>
      </c>
      <c r="AL423" s="287">
        <f t="shared" si="303"/>
        <v>0</v>
      </c>
      <c r="AM423" s="428">
        <f t="shared" si="313"/>
        <v>30</v>
      </c>
      <c r="AN423" s="14">
        <f t="shared" si="294"/>
        <v>0</v>
      </c>
      <c r="AO423" s="14">
        <f t="shared" si="276"/>
        <v>0</v>
      </c>
      <c r="AP423" s="14">
        <f t="shared" si="295"/>
        <v>0</v>
      </c>
      <c r="AS423" s="14">
        <f t="shared" si="309"/>
        <v>0</v>
      </c>
      <c r="AT423" s="14">
        <f t="shared" si="314"/>
        <v>0</v>
      </c>
      <c r="AU423" s="287">
        <f t="shared" si="315"/>
        <v>0</v>
      </c>
      <c r="AV423" s="287">
        <f t="shared" si="316"/>
        <v>0</v>
      </c>
    </row>
    <row r="424" spans="1:48" x14ac:dyDescent="0.25">
      <c r="A424" s="519" t="str">
        <f t="shared" si="281"/>
        <v xml:space="preserve"> </v>
      </c>
      <c r="B424" s="287">
        <f t="shared" si="278"/>
        <v>0</v>
      </c>
      <c r="C424" s="14">
        <f t="shared" si="304"/>
        <v>0</v>
      </c>
      <c r="D424" s="14">
        <f t="shared" si="317"/>
        <v>0</v>
      </c>
      <c r="E424" s="14">
        <f t="shared" si="305"/>
        <v>0</v>
      </c>
      <c r="F424" s="14">
        <f t="shared" si="282"/>
        <v>134.16999999999999</v>
      </c>
      <c r="G424" s="14">
        <f t="shared" si="279"/>
        <v>188.55</v>
      </c>
      <c r="H424" s="14">
        <f t="shared" si="280"/>
        <v>322.72000000000003</v>
      </c>
      <c r="I424" s="287">
        <f t="shared" si="283"/>
        <v>187026.8299999999</v>
      </c>
      <c r="J424" s="287">
        <f t="shared" si="284"/>
        <v>96593.969999999914</v>
      </c>
      <c r="K424" s="287">
        <f t="shared" si="285"/>
        <v>0</v>
      </c>
      <c r="L424" s="428">
        <f t="shared" si="277"/>
        <v>30</v>
      </c>
      <c r="M424" s="428">
        <f t="shared" si="310"/>
        <v>365</v>
      </c>
      <c r="N424" s="287">
        <f t="shared" si="322"/>
        <v>0</v>
      </c>
      <c r="O424" s="287">
        <f t="shared" si="296"/>
        <v>0</v>
      </c>
      <c r="P424" s="287">
        <f t="shared" si="318"/>
        <v>0</v>
      </c>
      <c r="Q424" s="287">
        <f t="shared" si="297"/>
        <v>0</v>
      </c>
      <c r="R424" s="287">
        <f t="shared" si="288"/>
        <v>134.16999999999999</v>
      </c>
      <c r="S424" s="287">
        <f t="shared" si="289"/>
        <v>188.55</v>
      </c>
      <c r="T424" s="287">
        <f t="shared" si="286"/>
        <v>322.72000000000003</v>
      </c>
      <c r="U424" s="287">
        <f t="shared" si="319"/>
        <v>230955.00999999998</v>
      </c>
      <c r="V424" s="287">
        <f t="shared" si="320"/>
        <v>322192.18999999977</v>
      </c>
      <c r="W424" s="287">
        <f t="shared" si="287"/>
        <v>0</v>
      </c>
      <c r="X424" s="519" t="str">
        <f t="shared" si="312"/>
        <v xml:space="preserve"> </v>
      </c>
      <c r="Y424" s="287">
        <f t="shared" si="298"/>
        <v>0</v>
      </c>
      <c r="Z424" s="511">
        <f t="shared" si="306"/>
        <v>7.0000000000000007E-2</v>
      </c>
      <c r="AA424" s="287">
        <f t="shared" si="307"/>
        <v>0</v>
      </c>
      <c r="AB424" s="287">
        <f t="shared" si="299"/>
        <v>0</v>
      </c>
      <c r="AC424" s="287">
        <f t="shared" si="308"/>
        <v>0</v>
      </c>
      <c r="AD424" s="287">
        <f t="shared" si="290"/>
        <v>134.16999999999999</v>
      </c>
      <c r="AE424" s="287">
        <f t="shared" si="291"/>
        <v>188.55</v>
      </c>
      <c r="AF424" s="287">
        <f t="shared" si="300"/>
        <v>322.72000000000003</v>
      </c>
      <c r="AG424" s="287">
        <f t="shared" si="301"/>
        <v>277225.64999999997</v>
      </c>
      <c r="AH424" s="287">
        <f t="shared" si="302"/>
        <v>319674.74999999983</v>
      </c>
      <c r="AI424" s="530">
        <f t="shared" si="292"/>
        <v>-43753.199999999772</v>
      </c>
      <c r="AJ424" s="530">
        <f t="shared" si="321"/>
        <v>0</v>
      </c>
      <c r="AK424" s="530">
        <f t="shared" si="293"/>
        <v>-43753.199999999772</v>
      </c>
      <c r="AL424" s="287">
        <f t="shared" si="303"/>
        <v>0</v>
      </c>
      <c r="AM424" s="428">
        <f t="shared" si="313"/>
        <v>30</v>
      </c>
      <c r="AN424" s="14">
        <f t="shared" si="294"/>
        <v>0</v>
      </c>
      <c r="AO424" s="14">
        <f t="shared" si="276"/>
        <v>0</v>
      </c>
      <c r="AP424" s="14">
        <f t="shared" si="295"/>
        <v>0</v>
      </c>
      <c r="AS424" s="14">
        <f t="shared" si="309"/>
        <v>0</v>
      </c>
      <c r="AT424" s="14">
        <f t="shared" si="314"/>
        <v>0</v>
      </c>
      <c r="AU424" s="287">
        <f t="shared" si="315"/>
        <v>0</v>
      </c>
      <c r="AV424" s="287">
        <f t="shared" si="316"/>
        <v>0</v>
      </c>
    </row>
    <row r="425" spans="1:48" x14ac:dyDescent="0.25">
      <c r="A425" s="519" t="str">
        <f t="shared" si="281"/>
        <v xml:space="preserve"> </v>
      </c>
      <c r="B425" s="287">
        <f t="shared" si="278"/>
        <v>0</v>
      </c>
      <c r="C425" s="14">
        <f t="shared" si="304"/>
        <v>0</v>
      </c>
      <c r="D425" s="14">
        <f t="shared" si="317"/>
        <v>0</v>
      </c>
      <c r="E425" s="14">
        <f t="shared" si="305"/>
        <v>0</v>
      </c>
      <c r="F425" s="14">
        <f t="shared" si="282"/>
        <v>134.16999999999999</v>
      </c>
      <c r="G425" s="14">
        <f t="shared" si="279"/>
        <v>188.55</v>
      </c>
      <c r="H425" s="14">
        <f t="shared" si="280"/>
        <v>322.72000000000003</v>
      </c>
      <c r="I425" s="287">
        <f t="shared" si="283"/>
        <v>187026.8299999999</v>
      </c>
      <c r="J425" s="287">
        <f t="shared" si="284"/>
        <v>96593.969999999914</v>
      </c>
      <c r="K425" s="287">
        <f t="shared" si="285"/>
        <v>0</v>
      </c>
      <c r="L425" s="428">
        <f t="shared" si="277"/>
        <v>30</v>
      </c>
      <c r="M425" s="428">
        <f t="shared" si="310"/>
        <v>366</v>
      </c>
      <c r="N425" s="287">
        <f t="shared" si="322"/>
        <v>0</v>
      </c>
      <c r="O425" s="287">
        <f t="shared" si="296"/>
        <v>0</v>
      </c>
      <c r="P425" s="287">
        <f t="shared" si="318"/>
        <v>0</v>
      </c>
      <c r="Q425" s="287">
        <f t="shared" si="297"/>
        <v>0</v>
      </c>
      <c r="R425" s="287">
        <f t="shared" si="288"/>
        <v>134.16999999999999</v>
      </c>
      <c r="S425" s="287">
        <f t="shared" si="289"/>
        <v>188.55</v>
      </c>
      <c r="T425" s="287">
        <f t="shared" si="286"/>
        <v>322.72000000000003</v>
      </c>
      <c r="U425" s="287">
        <f t="shared" si="319"/>
        <v>230955.00999999998</v>
      </c>
      <c r="V425" s="287">
        <f t="shared" si="320"/>
        <v>322192.18999999977</v>
      </c>
      <c r="W425" s="287">
        <f t="shared" si="287"/>
        <v>0</v>
      </c>
      <c r="X425" s="519" t="str">
        <f t="shared" si="312"/>
        <v xml:space="preserve"> </v>
      </c>
      <c r="Y425" s="287">
        <f t="shared" si="298"/>
        <v>0</v>
      </c>
      <c r="Z425" s="511">
        <f t="shared" si="306"/>
        <v>7.0000000000000007E-2</v>
      </c>
      <c r="AA425" s="287">
        <f t="shared" si="307"/>
        <v>0</v>
      </c>
      <c r="AB425" s="287">
        <f t="shared" si="299"/>
        <v>0</v>
      </c>
      <c r="AC425" s="287">
        <f t="shared" si="308"/>
        <v>0</v>
      </c>
      <c r="AD425" s="287">
        <f t="shared" si="290"/>
        <v>134.16999999999999</v>
      </c>
      <c r="AE425" s="287">
        <f t="shared" si="291"/>
        <v>188.55</v>
      </c>
      <c r="AF425" s="287">
        <f t="shared" si="300"/>
        <v>322.72000000000003</v>
      </c>
      <c r="AG425" s="287">
        <f t="shared" si="301"/>
        <v>277225.64999999997</v>
      </c>
      <c r="AH425" s="287">
        <f t="shared" si="302"/>
        <v>319674.74999999983</v>
      </c>
      <c r="AI425" s="530">
        <f t="shared" si="292"/>
        <v>-43753.199999999772</v>
      </c>
      <c r="AJ425" s="530">
        <f t="shared" si="321"/>
        <v>0</v>
      </c>
      <c r="AK425" s="530">
        <f t="shared" si="293"/>
        <v>-43753.199999999772</v>
      </c>
      <c r="AL425" s="287">
        <f t="shared" si="303"/>
        <v>0</v>
      </c>
      <c r="AM425" s="428">
        <f t="shared" si="313"/>
        <v>30</v>
      </c>
      <c r="AN425" s="14">
        <f t="shared" si="294"/>
        <v>0</v>
      </c>
      <c r="AO425" s="14">
        <f t="shared" si="276"/>
        <v>0</v>
      </c>
      <c r="AP425" s="14">
        <f t="shared" si="295"/>
        <v>0</v>
      </c>
      <c r="AS425" s="14">
        <f t="shared" si="309"/>
        <v>0</v>
      </c>
      <c r="AT425" s="14">
        <f t="shared" si="314"/>
        <v>0</v>
      </c>
      <c r="AU425" s="287">
        <f t="shared" si="315"/>
        <v>0</v>
      </c>
      <c r="AV425" s="287">
        <f t="shared" si="316"/>
        <v>0</v>
      </c>
    </row>
    <row r="426" spans="1:48" x14ac:dyDescent="0.25">
      <c r="A426" s="519" t="str">
        <f t="shared" si="281"/>
        <v xml:space="preserve"> </v>
      </c>
      <c r="B426" s="287">
        <f t="shared" si="278"/>
        <v>0</v>
      </c>
      <c r="C426" s="14">
        <f t="shared" si="304"/>
        <v>0</v>
      </c>
      <c r="D426" s="14">
        <f t="shared" si="317"/>
        <v>0</v>
      </c>
      <c r="E426" s="14">
        <f t="shared" si="305"/>
        <v>0</v>
      </c>
      <c r="F426" s="14">
        <f t="shared" si="282"/>
        <v>134.16999999999999</v>
      </c>
      <c r="G426" s="14">
        <f t="shared" si="279"/>
        <v>188.55</v>
      </c>
      <c r="H426" s="14">
        <f t="shared" si="280"/>
        <v>322.72000000000003</v>
      </c>
      <c r="I426" s="287">
        <f t="shared" si="283"/>
        <v>187026.8299999999</v>
      </c>
      <c r="J426" s="287">
        <f t="shared" si="284"/>
        <v>96593.969999999914</v>
      </c>
      <c r="K426" s="287">
        <f t="shared" si="285"/>
        <v>0</v>
      </c>
      <c r="L426" s="428">
        <f t="shared" si="277"/>
        <v>30</v>
      </c>
      <c r="M426" s="428">
        <f t="shared" si="310"/>
        <v>367</v>
      </c>
      <c r="N426" s="287">
        <f t="shared" si="322"/>
        <v>0</v>
      </c>
      <c r="O426" s="287">
        <f t="shared" si="296"/>
        <v>0</v>
      </c>
      <c r="P426" s="287">
        <f t="shared" si="318"/>
        <v>0</v>
      </c>
      <c r="Q426" s="287">
        <f t="shared" si="297"/>
        <v>0</v>
      </c>
      <c r="R426" s="287">
        <f t="shared" si="288"/>
        <v>134.16999999999999</v>
      </c>
      <c r="S426" s="287">
        <f t="shared" si="289"/>
        <v>188.55</v>
      </c>
      <c r="T426" s="287">
        <f t="shared" si="286"/>
        <v>322.72000000000003</v>
      </c>
      <c r="U426" s="287">
        <f t="shared" si="319"/>
        <v>230955.00999999998</v>
      </c>
      <c r="V426" s="287">
        <f t="shared" si="320"/>
        <v>322192.18999999977</v>
      </c>
      <c r="W426" s="287">
        <f t="shared" si="287"/>
        <v>0</v>
      </c>
      <c r="X426" s="519" t="str">
        <f t="shared" si="312"/>
        <v xml:space="preserve"> </v>
      </c>
      <c r="Y426" s="287">
        <f t="shared" si="298"/>
        <v>0</v>
      </c>
      <c r="Z426" s="511">
        <f t="shared" si="306"/>
        <v>7.0000000000000007E-2</v>
      </c>
      <c r="AA426" s="287">
        <f t="shared" si="307"/>
        <v>0</v>
      </c>
      <c r="AB426" s="287">
        <f t="shared" si="299"/>
        <v>0</v>
      </c>
      <c r="AC426" s="287">
        <f t="shared" si="308"/>
        <v>0</v>
      </c>
      <c r="AD426" s="287">
        <f t="shared" si="290"/>
        <v>134.16999999999999</v>
      </c>
      <c r="AE426" s="287">
        <f t="shared" si="291"/>
        <v>188.55</v>
      </c>
      <c r="AF426" s="287">
        <f t="shared" si="300"/>
        <v>322.72000000000003</v>
      </c>
      <c r="AG426" s="287">
        <f t="shared" si="301"/>
        <v>277225.64999999997</v>
      </c>
      <c r="AH426" s="287">
        <f t="shared" si="302"/>
        <v>319674.74999999983</v>
      </c>
      <c r="AI426" s="530">
        <f t="shared" si="292"/>
        <v>-43753.199999999772</v>
      </c>
      <c r="AJ426" s="530">
        <f t="shared" si="321"/>
        <v>0</v>
      </c>
      <c r="AK426" s="530">
        <f t="shared" si="293"/>
        <v>-43753.199999999772</v>
      </c>
      <c r="AL426" s="287">
        <f t="shared" si="303"/>
        <v>0</v>
      </c>
      <c r="AM426" s="428">
        <f t="shared" si="313"/>
        <v>30</v>
      </c>
      <c r="AN426" s="14">
        <f t="shared" si="294"/>
        <v>0</v>
      </c>
      <c r="AO426" s="14">
        <f t="shared" si="276"/>
        <v>0</v>
      </c>
      <c r="AP426" s="14">
        <f t="shared" si="295"/>
        <v>0</v>
      </c>
      <c r="AS426" s="14">
        <f t="shared" si="309"/>
        <v>0</v>
      </c>
      <c r="AT426" s="14">
        <f t="shared" si="314"/>
        <v>0</v>
      </c>
      <c r="AU426" s="287">
        <f t="shared" si="315"/>
        <v>0</v>
      </c>
      <c r="AV426" s="287">
        <f t="shared" si="316"/>
        <v>0</v>
      </c>
    </row>
    <row r="427" spans="1:48" x14ac:dyDescent="0.25">
      <c r="A427" s="519" t="str">
        <f t="shared" si="281"/>
        <v xml:space="preserve"> </v>
      </c>
      <c r="B427" s="287">
        <f t="shared" si="278"/>
        <v>0</v>
      </c>
      <c r="C427" s="14">
        <f t="shared" si="304"/>
        <v>0</v>
      </c>
      <c r="D427" s="14">
        <f t="shared" si="317"/>
        <v>0</v>
      </c>
      <c r="E427" s="14">
        <f t="shared" si="305"/>
        <v>0</v>
      </c>
      <c r="F427" s="14">
        <f t="shared" si="282"/>
        <v>134.16999999999999</v>
      </c>
      <c r="G427" s="14">
        <f t="shared" si="279"/>
        <v>188.55</v>
      </c>
      <c r="H427" s="14">
        <f t="shared" si="280"/>
        <v>322.72000000000003</v>
      </c>
      <c r="I427" s="287">
        <f t="shared" si="283"/>
        <v>187026.8299999999</v>
      </c>
      <c r="J427" s="287">
        <f t="shared" si="284"/>
        <v>96593.969999999914</v>
      </c>
      <c r="K427" s="287">
        <f t="shared" si="285"/>
        <v>0</v>
      </c>
      <c r="L427" s="428">
        <f t="shared" si="277"/>
        <v>30</v>
      </c>
      <c r="M427" s="428">
        <f t="shared" si="310"/>
        <v>368</v>
      </c>
      <c r="N427" s="287">
        <f t="shared" si="322"/>
        <v>0</v>
      </c>
      <c r="O427" s="287">
        <f t="shared" si="296"/>
        <v>0</v>
      </c>
      <c r="P427" s="287">
        <f t="shared" si="318"/>
        <v>0</v>
      </c>
      <c r="Q427" s="287">
        <f t="shared" si="297"/>
        <v>0</v>
      </c>
      <c r="R427" s="287">
        <f t="shared" si="288"/>
        <v>134.16999999999999</v>
      </c>
      <c r="S427" s="287">
        <f t="shared" si="289"/>
        <v>188.55</v>
      </c>
      <c r="T427" s="287">
        <f t="shared" si="286"/>
        <v>322.72000000000003</v>
      </c>
      <c r="U427" s="287">
        <f t="shared" si="319"/>
        <v>230955.00999999998</v>
      </c>
      <c r="V427" s="287">
        <f t="shared" si="320"/>
        <v>322192.18999999977</v>
      </c>
      <c r="W427" s="287">
        <f t="shared" si="287"/>
        <v>0</v>
      </c>
      <c r="X427" s="519" t="str">
        <f t="shared" si="312"/>
        <v xml:space="preserve"> </v>
      </c>
      <c r="Y427" s="287">
        <f t="shared" si="298"/>
        <v>0</v>
      </c>
      <c r="Z427" s="511">
        <f t="shared" si="306"/>
        <v>7.0000000000000007E-2</v>
      </c>
      <c r="AA427" s="287">
        <f t="shared" si="307"/>
        <v>0</v>
      </c>
      <c r="AB427" s="287">
        <f t="shared" si="299"/>
        <v>0</v>
      </c>
      <c r="AC427" s="287">
        <f t="shared" si="308"/>
        <v>0</v>
      </c>
      <c r="AD427" s="287">
        <f t="shared" si="290"/>
        <v>134.16999999999999</v>
      </c>
      <c r="AE427" s="287">
        <f t="shared" si="291"/>
        <v>188.55</v>
      </c>
      <c r="AF427" s="287">
        <f t="shared" si="300"/>
        <v>322.72000000000003</v>
      </c>
      <c r="AG427" s="287">
        <f t="shared" si="301"/>
        <v>277225.64999999997</v>
      </c>
      <c r="AH427" s="287">
        <f t="shared" si="302"/>
        <v>319674.74999999983</v>
      </c>
      <c r="AI427" s="530">
        <f t="shared" si="292"/>
        <v>-43753.199999999772</v>
      </c>
      <c r="AJ427" s="530">
        <f t="shared" si="321"/>
        <v>0</v>
      </c>
      <c r="AK427" s="530">
        <f t="shared" si="293"/>
        <v>-43753.199999999772</v>
      </c>
      <c r="AL427" s="287">
        <f t="shared" si="303"/>
        <v>0</v>
      </c>
      <c r="AM427" s="428">
        <f t="shared" si="313"/>
        <v>30</v>
      </c>
      <c r="AN427" s="14">
        <f t="shared" si="294"/>
        <v>0</v>
      </c>
      <c r="AO427" s="14">
        <f t="shared" si="276"/>
        <v>0</v>
      </c>
      <c r="AP427" s="14">
        <f t="shared" si="295"/>
        <v>0</v>
      </c>
      <c r="AS427" s="14">
        <f t="shared" si="309"/>
        <v>0</v>
      </c>
      <c r="AT427" s="14">
        <f t="shared" si="314"/>
        <v>0</v>
      </c>
      <c r="AU427" s="287">
        <f t="shared" si="315"/>
        <v>0</v>
      </c>
      <c r="AV427" s="287">
        <f t="shared" si="316"/>
        <v>0</v>
      </c>
    </row>
    <row r="428" spans="1:48" x14ac:dyDescent="0.25">
      <c r="A428" s="519" t="str">
        <f t="shared" si="281"/>
        <v xml:space="preserve"> </v>
      </c>
      <c r="B428" s="287">
        <f t="shared" si="278"/>
        <v>0</v>
      </c>
      <c r="C428" s="14">
        <f t="shared" si="304"/>
        <v>0</v>
      </c>
      <c r="D428" s="14">
        <f t="shared" si="317"/>
        <v>0</v>
      </c>
      <c r="E428" s="14">
        <f t="shared" si="305"/>
        <v>0</v>
      </c>
      <c r="F428" s="14">
        <f t="shared" si="282"/>
        <v>134.16999999999999</v>
      </c>
      <c r="G428" s="14">
        <f t="shared" si="279"/>
        <v>188.55</v>
      </c>
      <c r="H428" s="14">
        <f t="shared" si="280"/>
        <v>322.72000000000003</v>
      </c>
      <c r="I428" s="287">
        <f t="shared" si="283"/>
        <v>187026.8299999999</v>
      </c>
      <c r="J428" s="287">
        <f t="shared" si="284"/>
        <v>96593.969999999914</v>
      </c>
      <c r="K428" s="287">
        <f t="shared" si="285"/>
        <v>0</v>
      </c>
      <c r="L428" s="428">
        <f t="shared" si="277"/>
        <v>30</v>
      </c>
      <c r="M428" s="428">
        <f t="shared" si="310"/>
        <v>369</v>
      </c>
      <c r="N428" s="287">
        <f t="shared" si="322"/>
        <v>0</v>
      </c>
      <c r="O428" s="287">
        <f t="shared" si="296"/>
        <v>0</v>
      </c>
      <c r="P428" s="287">
        <f t="shared" si="318"/>
        <v>0</v>
      </c>
      <c r="Q428" s="287">
        <f t="shared" si="297"/>
        <v>0</v>
      </c>
      <c r="R428" s="287">
        <f t="shared" si="288"/>
        <v>134.16999999999999</v>
      </c>
      <c r="S428" s="287">
        <f t="shared" si="289"/>
        <v>188.55</v>
      </c>
      <c r="T428" s="287">
        <f t="shared" si="286"/>
        <v>322.72000000000003</v>
      </c>
      <c r="U428" s="287">
        <f t="shared" si="319"/>
        <v>230955.00999999998</v>
      </c>
      <c r="V428" s="287">
        <f t="shared" si="320"/>
        <v>322192.18999999977</v>
      </c>
      <c r="W428" s="287">
        <f t="shared" si="287"/>
        <v>0</v>
      </c>
      <c r="X428" s="519" t="str">
        <f t="shared" si="312"/>
        <v xml:space="preserve"> </v>
      </c>
      <c r="Y428" s="287">
        <f t="shared" si="298"/>
        <v>0</v>
      </c>
      <c r="Z428" s="511">
        <f t="shared" si="306"/>
        <v>7.0000000000000007E-2</v>
      </c>
      <c r="AA428" s="287">
        <f t="shared" si="307"/>
        <v>0</v>
      </c>
      <c r="AB428" s="287">
        <f t="shared" si="299"/>
        <v>0</v>
      </c>
      <c r="AC428" s="287">
        <f t="shared" si="308"/>
        <v>0</v>
      </c>
      <c r="AD428" s="287">
        <f t="shared" si="290"/>
        <v>134.16999999999999</v>
      </c>
      <c r="AE428" s="287">
        <f t="shared" si="291"/>
        <v>188.55</v>
      </c>
      <c r="AF428" s="287">
        <f t="shared" si="300"/>
        <v>322.72000000000003</v>
      </c>
      <c r="AG428" s="287">
        <f t="shared" si="301"/>
        <v>277225.64999999997</v>
      </c>
      <c r="AH428" s="287">
        <f t="shared" si="302"/>
        <v>319674.74999999983</v>
      </c>
      <c r="AI428" s="530">
        <f t="shared" si="292"/>
        <v>-43753.199999999772</v>
      </c>
      <c r="AJ428" s="530">
        <f t="shared" si="321"/>
        <v>0</v>
      </c>
      <c r="AK428" s="530">
        <f t="shared" si="293"/>
        <v>-43753.199999999772</v>
      </c>
      <c r="AL428" s="287">
        <f t="shared" si="303"/>
        <v>0</v>
      </c>
      <c r="AM428" s="428">
        <f t="shared" si="313"/>
        <v>30</v>
      </c>
      <c r="AN428" s="14">
        <f t="shared" si="294"/>
        <v>0</v>
      </c>
      <c r="AO428" s="14">
        <f t="shared" si="276"/>
        <v>0</v>
      </c>
      <c r="AP428" s="14">
        <f t="shared" si="295"/>
        <v>0</v>
      </c>
      <c r="AS428" s="14">
        <f t="shared" si="309"/>
        <v>0</v>
      </c>
      <c r="AT428" s="14">
        <f t="shared" si="314"/>
        <v>0</v>
      </c>
      <c r="AU428" s="287">
        <f t="shared" si="315"/>
        <v>0</v>
      </c>
      <c r="AV428" s="287">
        <f t="shared" si="316"/>
        <v>0</v>
      </c>
    </row>
    <row r="429" spans="1:48" x14ac:dyDescent="0.25">
      <c r="A429" s="519" t="str">
        <f t="shared" si="281"/>
        <v xml:space="preserve"> </v>
      </c>
      <c r="B429" s="287">
        <f t="shared" si="278"/>
        <v>0</v>
      </c>
      <c r="C429" s="14">
        <f t="shared" si="304"/>
        <v>0</v>
      </c>
      <c r="D429" s="14">
        <f t="shared" si="317"/>
        <v>0</v>
      </c>
      <c r="E429" s="14">
        <f t="shared" si="305"/>
        <v>0</v>
      </c>
      <c r="F429" s="14">
        <f t="shared" si="282"/>
        <v>134.16999999999999</v>
      </c>
      <c r="G429" s="14">
        <f t="shared" si="279"/>
        <v>188.55</v>
      </c>
      <c r="H429" s="14">
        <f t="shared" si="280"/>
        <v>322.72000000000003</v>
      </c>
      <c r="I429" s="287">
        <f t="shared" si="283"/>
        <v>187026.8299999999</v>
      </c>
      <c r="J429" s="287">
        <f t="shared" si="284"/>
        <v>96593.969999999914</v>
      </c>
      <c r="K429" s="287">
        <f t="shared" si="285"/>
        <v>0</v>
      </c>
      <c r="L429" s="428">
        <f t="shared" si="277"/>
        <v>30</v>
      </c>
      <c r="M429" s="428">
        <f t="shared" si="310"/>
        <v>370</v>
      </c>
      <c r="N429" s="287">
        <f t="shared" si="322"/>
        <v>0</v>
      </c>
      <c r="O429" s="287">
        <f t="shared" si="296"/>
        <v>0</v>
      </c>
      <c r="P429" s="287">
        <f t="shared" si="318"/>
        <v>0</v>
      </c>
      <c r="Q429" s="287">
        <f t="shared" si="297"/>
        <v>0</v>
      </c>
      <c r="R429" s="287">
        <f t="shared" si="288"/>
        <v>134.16999999999999</v>
      </c>
      <c r="S429" s="287">
        <f t="shared" si="289"/>
        <v>188.55</v>
      </c>
      <c r="T429" s="287">
        <f t="shared" si="286"/>
        <v>322.72000000000003</v>
      </c>
      <c r="U429" s="287">
        <f t="shared" si="319"/>
        <v>230955.00999999998</v>
      </c>
      <c r="V429" s="287">
        <f t="shared" si="320"/>
        <v>322192.18999999977</v>
      </c>
      <c r="W429" s="287">
        <f t="shared" si="287"/>
        <v>0</v>
      </c>
      <c r="X429" s="519" t="str">
        <f t="shared" si="312"/>
        <v xml:space="preserve"> </v>
      </c>
      <c r="Y429" s="287">
        <f t="shared" si="298"/>
        <v>0</v>
      </c>
      <c r="Z429" s="511">
        <f t="shared" si="306"/>
        <v>7.0000000000000007E-2</v>
      </c>
      <c r="AA429" s="287">
        <f t="shared" si="307"/>
        <v>0</v>
      </c>
      <c r="AB429" s="287">
        <f t="shared" si="299"/>
        <v>0</v>
      </c>
      <c r="AC429" s="287">
        <f t="shared" si="308"/>
        <v>0</v>
      </c>
      <c r="AD429" s="287">
        <f t="shared" si="290"/>
        <v>134.16999999999999</v>
      </c>
      <c r="AE429" s="287">
        <f t="shared" si="291"/>
        <v>188.55</v>
      </c>
      <c r="AF429" s="287">
        <f t="shared" si="300"/>
        <v>322.72000000000003</v>
      </c>
      <c r="AG429" s="287">
        <f t="shared" si="301"/>
        <v>277225.64999999997</v>
      </c>
      <c r="AH429" s="287">
        <f t="shared" si="302"/>
        <v>319674.74999999983</v>
      </c>
      <c r="AI429" s="530">
        <f t="shared" si="292"/>
        <v>-43753.199999999772</v>
      </c>
      <c r="AJ429" s="530">
        <f t="shared" si="321"/>
        <v>0</v>
      </c>
      <c r="AK429" s="530">
        <f t="shared" si="293"/>
        <v>-43753.199999999772</v>
      </c>
      <c r="AL429" s="287">
        <f t="shared" si="303"/>
        <v>0</v>
      </c>
      <c r="AM429" s="428">
        <f t="shared" si="313"/>
        <v>30</v>
      </c>
      <c r="AN429" s="14">
        <f t="shared" si="294"/>
        <v>0</v>
      </c>
      <c r="AO429" s="14">
        <f t="shared" ref="AO429:AO490" si="323">IF(W429&lt;=0,0,+$AA$5-$C$2+I429-U429)</f>
        <v>0</v>
      </c>
      <c r="AP429" s="14">
        <f t="shared" si="295"/>
        <v>0</v>
      </c>
      <c r="AS429" s="14">
        <f t="shared" si="309"/>
        <v>0</v>
      </c>
      <c r="AT429" s="14">
        <f t="shared" si="314"/>
        <v>0</v>
      </c>
      <c r="AU429" s="287">
        <f t="shared" si="315"/>
        <v>0</v>
      </c>
      <c r="AV429" s="287">
        <f t="shared" si="316"/>
        <v>0</v>
      </c>
    </row>
    <row r="430" spans="1:48" x14ac:dyDescent="0.25">
      <c r="A430" s="519" t="str">
        <f t="shared" si="281"/>
        <v xml:space="preserve"> </v>
      </c>
      <c r="B430" s="287">
        <f t="shared" si="278"/>
        <v>0</v>
      </c>
      <c r="C430" s="14">
        <f t="shared" si="304"/>
        <v>0</v>
      </c>
      <c r="D430" s="14">
        <f t="shared" si="317"/>
        <v>0</v>
      </c>
      <c r="E430" s="14">
        <f t="shared" si="305"/>
        <v>0</v>
      </c>
      <c r="F430" s="14">
        <f t="shared" si="282"/>
        <v>134.16999999999999</v>
      </c>
      <c r="G430" s="14">
        <f t="shared" si="279"/>
        <v>188.55</v>
      </c>
      <c r="H430" s="14">
        <f t="shared" si="280"/>
        <v>322.72000000000003</v>
      </c>
      <c r="I430" s="287">
        <f t="shared" si="283"/>
        <v>187026.8299999999</v>
      </c>
      <c r="J430" s="287">
        <f t="shared" si="284"/>
        <v>96593.969999999914</v>
      </c>
      <c r="K430" s="287">
        <f t="shared" si="285"/>
        <v>0</v>
      </c>
      <c r="L430" s="428">
        <f t="shared" si="277"/>
        <v>30</v>
      </c>
      <c r="M430" s="428">
        <f t="shared" si="310"/>
        <v>371</v>
      </c>
      <c r="N430" s="287">
        <f t="shared" si="322"/>
        <v>0</v>
      </c>
      <c r="O430" s="287">
        <f t="shared" si="296"/>
        <v>0</v>
      </c>
      <c r="P430" s="287">
        <f t="shared" si="318"/>
        <v>0</v>
      </c>
      <c r="Q430" s="287">
        <f t="shared" si="297"/>
        <v>0</v>
      </c>
      <c r="R430" s="287">
        <f t="shared" si="288"/>
        <v>134.16999999999999</v>
      </c>
      <c r="S430" s="287">
        <f t="shared" si="289"/>
        <v>188.55</v>
      </c>
      <c r="T430" s="287">
        <f t="shared" si="286"/>
        <v>322.72000000000003</v>
      </c>
      <c r="U430" s="287">
        <f t="shared" si="319"/>
        <v>230955.00999999998</v>
      </c>
      <c r="V430" s="287">
        <f t="shared" si="320"/>
        <v>322192.18999999977</v>
      </c>
      <c r="W430" s="287">
        <f t="shared" si="287"/>
        <v>0</v>
      </c>
      <c r="X430" s="519" t="str">
        <f t="shared" si="312"/>
        <v xml:space="preserve"> </v>
      </c>
      <c r="Y430" s="287">
        <f t="shared" si="298"/>
        <v>0</v>
      </c>
      <c r="Z430" s="511">
        <f t="shared" si="306"/>
        <v>7.0000000000000007E-2</v>
      </c>
      <c r="AA430" s="287">
        <f t="shared" si="307"/>
        <v>0</v>
      </c>
      <c r="AB430" s="287">
        <f t="shared" si="299"/>
        <v>0</v>
      </c>
      <c r="AC430" s="287">
        <f t="shared" si="308"/>
        <v>0</v>
      </c>
      <c r="AD430" s="287">
        <f t="shared" si="290"/>
        <v>134.16999999999999</v>
      </c>
      <c r="AE430" s="287">
        <f t="shared" si="291"/>
        <v>188.55</v>
      </c>
      <c r="AF430" s="287">
        <f t="shared" si="300"/>
        <v>322.72000000000003</v>
      </c>
      <c r="AG430" s="287">
        <f t="shared" si="301"/>
        <v>277225.64999999997</v>
      </c>
      <c r="AH430" s="287">
        <f t="shared" si="302"/>
        <v>319674.74999999983</v>
      </c>
      <c r="AI430" s="530">
        <f t="shared" si="292"/>
        <v>-43753.199999999772</v>
      </c>
      <c r="AJ430" s="530">
        <f t="shared" si="321"/>
        <v>0</v>
      </c>
      <c r="AK430" s="530">
        <f t="shared" si="293"/>
        <v>-43753.199999999772</v>
      </c>
      <c r="AL430" s="287">
        <f t="shared" si="303"/>
        <v>0</v>
      </c>
      <c r="AM430" s="428">
        <f t="shared" si="313"/>
        <v>30</v>
      </c>
      <c r="AN430" s="14">
        <f t="shared" si="294"/>
        <v>0</v>
      </c>
      <c r="AO430" s="14">
        <f t="shared" si="323"/>
        <v>0</v>
      </c>
      <c r="AP430" s="14">
        <f t="shared" si="295"/>
        <v>0</v>
      </c>
      <c r="AS430" s="14">
        <f t="shared" si="309"/>
        <v>0</v>
      </c>
      <c r="AT430" s="14">
        <f t="shared" si="314"/>
        <v>0</v>
      </c>
      <c r="AU430" s="287">
        <f t="shared" si="315"/>
        <v>0</v>
      </c>
      <c r="AV430" s="287">
        <f t="shared" si="316"/>
        <v>0</v>
      </c>
    </row>
    <row r="431" spans="1:48" x14ac:dyDescent="0.25">
      <c r="A431" s="519" t="str">
        <f t="shared" si="281"/>
        <v xml:space="preserve"> </v>
      </c>
      <c r="B431" s="287">
        <f t="shared" si="278"/>
        <v>0</v>
      </c>
      <c r="C431" s="14">
        <f t="shared" si="304"/>
        <v>0</v>
      </c>
      <c r="D431" s="14">
        <f t="shared" si="317"/>
        <v>0</v>
      </c>
      <c r="E431" s="14">
        <f t="shared" si="305"/>
        <v>0</v>
      </c>
      <c r="F431" s="14">
        <f t="shared" si="282"/>
        <v>134.16999999999999</v>
      </c>
      <c r="G431" s="14">
        <f t="shared" si="279"/>
        <v>188.55</v>
      </c>
      <c r="H431" s="14">
        <f t="shared" si="280"/>
        <v>322.72000000000003</v>
      </c>
      <c r="I431" s="287">
        <f t="shared" si="283"/>
        <v>187026.8299999999</v>
      </c>
      <c r="J431" s="287">
        <f t="shared" si="284"/>
        <v>96593.969999999914</v>
      </c>
      <c r="K431" s="287">
        <f t="shared" si="285"/>
        <v>0</v>
      </c>
      <c r="L431" s="428">
        <f t="shared" ref="L431:L494" si="324">IF(MOD(M431,12)=0,M431/12,L430)</f>
        <v>31</v>
      </c>
      <c r="M431" s="428">
        <f t="shared" si="310"/>
        <v>372</v>
      </c>
      <c r="N431" s="287">
        <f t="shared" si="322"/>
        <v>0</v>
      </c>
      <c r="O431" s="287">
        <f t="shared" si="296"/>
        <v>0</v>
      </c>
      <c r="P431" s="287">
        <f t="shared" si="318"/>
        <v>0</v>
      </c>
      <c r="Q431" s="287">
        <f t="shared" si="297"/>
        <v>0</v>
      </c>
      <c r="R431" s="287">
        <f t="shared" si="288"/>
        <v>134.16999999999999</v>
      </c>
      <c r="S431" s="287">
        <f t="shared" si="289"/>
        <v>188.55</v>
      </c>
      <c r="T431" s="287">
        <f t="shared" si="286"/>
        <v>322.72000000000003</v>
      </c>
      <c r="U431" s="287">
        <f t="shared" si="319"/>
        <v>230955.00999999998</v>
      </c>
      <c r="V431" s="287">
        <f t="shared" si="320"/>
        <v>322192.18999999977</v>
      </c>
      <c r="W431" s="287">
        <f t="shared" si="287"/>
        <v>0</v>
      </c>
      <c r="X431" s="519" t="str">
        <f t="shared" si="312"/>
        <v xml:space="preserve"> </v>
      </c>
      <c r="Y431" s="287">
        <f t="shared" si="298"/>
        <v>0</v>
      </c>
      <c r="Z431" s="511">
        <f t="shared" si="306"/>
        <v>7.0000000000000007E-2</v>
      </c>
      <c r="AA431" s="287">
        <f t="shared" si="307"/>
        <v>0</v>
      </c>
      <c r="AB431" s="287">
        <f t="shared" si="299"/>
        <v>0</v>
      </c>
      <c r="AC431" s="287">
        <f t="shared" si="308"/>
        <v>0</v>
      </c>
      <c r="AD431" s="287">
        <f t="shared" si="290"/>
        <v>134.16999999999999</v>
      </c>
      <c r="AE431" s="287">
        <f t="shared" si="291"/>
        <v>188.55</v>
      </c>
      <c r="AF431" s="287">
        <f t="shared" si="300"/>
        <v>322.72000000000003</v>
      </c>
      <c r="AG431" s="287">
        <f t="shared" si="301"/>
        <v>277225.64999999997</v>
      </c>
      <c r="AH431" s="287">
        <f t="shared" si="302"/>
        <v>319674.74999999983</v>
      </c>
      <c r="AI431" s="530">
        <f t="shared" si="292"/>
        <v>-43753.199999999772</v>
      </c>
      <c r="AJ431" s="530">
        <f t="shared" si="321"/>
        <v>0</v>
      </c>
      <c r="AK431" s="530">
        <f t="shared" si="293"/>
        <v>-43753.199999999772</v>
      </c>
      <c r="AL431" s="287">
        <f t="shared" si="303"/>
        <v>0</v>
      </c>
      <c r="AM431" s="428">
        <f t="shared" si="313"/>
        <v>31</v>
      </c>
      <c r="AN431" s="14">
        <f t="shared" si="294"/>
        <v>0</v>
      </c>
      <c r="AO431" s="14">
        <f t="shared" si="323"/>
        <v>0</v>
      </c>
      <c r="AP431" s="14">
        <f t="shared" si="295"/>
        <v>0</v>
      </c>
      <c r="AS431" s="14">
        <f t="shared" si="309"/>
        <v>0</v>
      </c>
      <c r="AT431" s="14">
        <f t="shared" si="314"/>
        <v>0</v>
      </c>
      <c r="AU431" s="287">
        <f t="shared" si="315"/>
        <v>0</v>
      </c>
      <c r="AV431" s="287">
        <f t="shared" si="316"/>
        <v>0</v>
      </c>
    </row>
    <row r="432" spans="1:48" x14ac:dyDescent="0.25">
      <c r="A432" s="519" t="str">
        <f t="shared" si="281"/>
        <v xml:space="preserve"> </v>
      </c>
      <c r="B432" s="287">
        <f t="shared" si="278"/>
        <v>0</v>
      </c>
      <c r="C432" s="14">
        <f t="shared" si="304"/>
        <v>0</v>
      </c>
      <c r="D432" s="14">
        <f t="shared" si="317"/>
        <v>0</v>
      </c>
      <c r="E432" s="14">
        <f t="shared" si="305"/>
        <v>0</v>
      </c>
      <c r="F432" s="14">
        <f t="shared" si="282"/>
        <v>134.16999999999999</v>
      </c>
      <c r="G432" s="14">
        <f t="shared" si="279"/>
        <v>188.55</v>
      </c>
      <c r="H432" s="14">
        <f t="shared" si="280"/>
        <v>322.72000000000003</v>
      </c>
      <c r="I432" s="287">
        <f t="shared" si="283"/>
        <v>187026.8299999999</v>
      </c>
      <c r="J432" s="287">
        <f t="shared" si="284"/>
        <v>96593.969999999914</v>
      </c>
      <c r="K432" s="287">
        <f t="shared" si="285"/>
        <v>0</v>
      </c>
      <c r="L432" s="428">
        <f t="shared" si="324"/>
        <v>31</v>
      </c>
      <c r="M432" s="428">
        <f t="shared" si="310"/>
        <v>373</v>
      </c>
      <c r="N432" s="287">
        <f t="shared" si="322"/>
        <v>0</v>
      </c>
      <c r="O432" s="287">
        <f t="shared" si="296"/>
        <v>0</v>
      </c>
      <c r="P432" s="287">
        <f t="shared" si="318"/>
        <v>0</v>
      </c>
      <c r="Q432" s="287">
        <f t="shared" si="297"/>
        <v>0</v>
      </c>
      <c r="R432" s="287">
        <f t="shared" si="288"/>
        <v>134.16999999999999</v>
      </c>
      <c r="S432" s="287">
        <f t="shared" si="289"/>
        <v>188.55</v>
      </c>
      <c r="T432" s="287">
        <f t="shared" si="286"/>
        <v>322.72000000000003</v>
      </c>
      <c r="U432" s="287">
        <f t="shared" si="319"/>
        <v>230955.00999999998</v>
      </c>
      <c r="V432" s="287">
        <f t="shared" si="320"/>
        <v>322192.18999999977</v>
      </c>
      <c r="W432" s="287">
        <f t="shared" si="287"/>
        <v>0</v>
      </c>
      <c r="X432" s="519" t="str">
        <f t="shared" si="312"/>
        <v xml:space="preserve"> </v>
      </c>
      <c r="Y432" s="287">
        <f t="shared" si="298"/>
        <v>0</v>
      </c>
      <c r="Z432" s="511">
        <f t="shared" si="306"/>
        <v>7.0000000000000007E-2</v>
      </c>
      <c r="AA432" s="287">
        <f t="shared" si="307"/>
        <v>0</v>
      </c>
      <c r="AB432" s="287">
        <f t="shared" si="299"/>
        <v>0</v>
      </c>
      <c r="AC432" s="287">
        <f t="shared" si="308"/>
        <v>0</v>
      </c>
      <c r="AD432" s="287">
        <f t="shared" si="290"/>
        <v>134.16999999999999</v>
      </c>
      <c r="AE432" s="287">
        <f t="shared" si="291"/>
        <v>188.55</v>
      </c>
      <c r="AF432" s="287">
        <f t="shared" si="300"/>
        <v>322.72000000000003</v>
      </c>
      <c r="AG432" s="287">
        <f t="shared" si="301"/>
        <v>277225.64999999997</v>
      </c>
      <c r="AH432" s="287">
        <f t="shared" si="302"/>
        <v>319674.74999999983</v>
      </c>
      <c r="AI432" s="530">
        <f t="shared" si="292"/>
        <v>-43753.199999999772</v>
      </c>
      <c r="AJ432" s="530">
        <f t="shared" si="321"/>
        <v>0</v>
      </c>
      <c r="AK432" s="530">
        <f t="shared" si="293"/>
        <v>-43753.199999999772</v>
      </c>
      <c r="AL432" s="287">
        <f t="shared" si="303"/>
        <v>0</v>
      </c>
      <c r="AM432" s="428">
        <f t="shared" si="313"/>
        <v>31</v>
      </c>
      <c r="AN432" s="14">
        <f t="shared" si="294"/>
        <v>0</v>
      </c>
      <c r="AO432" s="14">
        <f t="shared" si="323"/>
        <v>0</v>
      </c>
      <c r="AP432" s="14">
        <f t="shared" si="295"/>
        <v>0</v>
      </c>
      <c r="AS432" s="14">
        <f t="shared" si="309"/>
        <v>0</v>
      </c>
      <c r="AT432" s="14">
        <f t="shared" si="314"/>
        <v>0</v>
      </c>
      <c r="AU432" s="287">
        <f t="shared" si="315"/>
        <v>0</v>
      </c>
      <c r="AV432" s="287">
        <f t="shared" si="316"/>
        <v>0</v>
      </c>
    </row>
    <row r="433" spans="1:48" x14ac:dyDescent="0.25">
      <c r="A433" s="519" t="str">
        <f t="shared" si="281"/>
        <v xml:space="preserve"> </v>
      </c>
      <c r="B433" s="287">
        <f t="shared" si="278"/>
        <v>0</v>
      </c>
      <c r="C433" s="14">
        <f t="shared" si="304"/>
        <v>0</v>
      </c>
      <c r="D433" s="14">
        <f t="shared" si="317"/>
        <v>0</v>
      </c>
      <c r="E433" s="14">
        <f t="shared" si="305"/>
        <v>0</v>
      </c>
      <c r="F433" s="14">
        <f t="shared" si="282"/>
        <v>134.16999999999999</v>
      </c>
      <c r="G433" s="14">
        <f t="shared" si="279"/>
        <v>188.55</v>
      </c>
      <c r="H433" s="14">
        <f t="shared" si="280"/>
        <v>322.72000000000003</v>
      </c>
      <c r="I433" s="287">
        <f t="shared" si="283"/>
        <v>187026.8299999999</v>
      </c>
      <c r="J433" s="287">
        <f t="shared" si="284"/>
        <v>96593.969999999914</v>
      </c>
      <c r="K433" s="287">
        <f t="shared" si="285"/>
        <v>0</v>
      </c>
      <c r="L433" s="428">
        <f t="shared" si="324"/>
        <v>31</v>
      </c>
      <c r="M433" s="428">
        <f t="shared" si="310"/>
        <v>374</v>
      </c>
      <c r="N433" s="287">
        <f t="shared" si="322"/>
        <v>0</v>
      </c>
      <c r="O433" s="287">
        <f t="shared" si="296"/>
        <v>0</v>
      </c>
      <c r="P433" s="287">
        <f t="shared" si="318"/>
        <v>0</v>
      </c>
      <c r="Q433" s="287">
        <f t="shared" si="297"/>
        <v>0</v>
      </c>
      <c r="R433" s="287">
        <f t="shared" si="288"/>
        <v>134.16999999999999</v>
      </c>
      <c r="S433" s="287">
        <f t="shared" si="289"/>
        <v>188.55</v>
      </c>
      <c r="T433" s="287">
        <f t="shared" si="286"/>
        <v>322.72000000000003</v>
      </c>
      <c r="U433" s="287">
        <f t="shared" si="319"/>
        <v>230955.00999999998</v>
      </c>
      <c r="V433" s="287">
        <f t="shared" si="320"/>
        <v>322192.18999999977</v>
      </c>
      <c r="W433" s="287">
        <f t="shared" si="287"/>
        <v>0</v>
      </c>
      <c r="X433" s="519" t="str">
        <f t="shared" si="312"/>
        <v xml:space="preserve"> </v>
      </c>
      <c r="Y433" s="287">
        <f t="shared" si="298"/>
        <v>0</v>
      </c>
      <c r="Z433" s="511">
        <f t="shared" si="306"/>
        <v>7.0000000000000007E-2</v>
      </c>
      <c r="AA433" s="287">
        <f t="shared" si="307"/>
        <v>0</v>
      </c>
      <c r="AB433" s="287">
        <f t="shared" si="299"/>
        <v>0</v>
      </c>
      <c r="AC433" s="287">
        <f t="shared" si="308"/>
        <v>0</v>
      </c>
      <c r="AD433" s="287">
        <f t="shared" si="290"/>
        <v>134.16999999999999</v>
      </c>
      <c r="AE433" s="287">
        <f t="shared" si="291"/>
        <v>188.55</v>
      </c>
      <c r="AF433" s="287">
        <f t="shared" si="300"/>
        <v>322.72000000000003</v>
      </c>
      <c r="AG433" s="287">
        <f t="shared" si="301"/>
        <v>277225.64999999997</v>
      </c>
      <c r="AH433" s="287">
        <f t="shared" si="302"/>
        <v>319674.74999999983</v>
      </c>
      <c r="AI433" s="530">
        <f t="shared" si="292"/>
        <v>-43753.199999999772</v>
      </c>
      <c r="AJ433" s="530">
        <f t="shared" si="321"/>
        <v>0</v>
      </c>
      <c r="AK433" s="530">
        <f t="shared" si="293"/>
        <v>-43753.199999999772</v>
      </c>
      <c r="AL433" s="287">
        <f t="shared" si="303"/>
        <v>0</v>
      </c>
      <c r="AM433" s="428">
        <f t="shared" si="313"/>
        <v>31</v>
      </c>
      <c r="AN433" s="14">
        <f t="shared" si="294"/>
        <v>0</v>
      </c>
      <c r="AO433" s="14">
        <f t="shared" si="323"/>
        <v>0</v>
      </c>
      <c r="AP433" s="14">
        <f t="shared" si="295"/>
        <v>0</v>
      </c>
      <c r="AS433" s="14">
        <f t="shared" si="309"/>
        <v>0</v>
      </c>
      <c r="AT433" s="14">
        <f t="shared" si="314"/>
        <v>0</v>
      </c>
      <c r="AU433" s="287">
        <f t="shared" si="315"/>
        <v>0</v>
      </c>
      <c r="AV433" s="287">
        <f t="shared" si="316"/>
        <v>0</v>
      </c>
    </row>
    <row r="434" spans="1:48" ht="15.75" thickBot="1" x14ac:dyDescent="0.3">
      <c r="A434" s="522" t="str">
        <f t="shared" si="281"/>
        <v xml:space="preserve"> </v>
      </c>
      <c r="B434" s="348">
        <f t="shared" si="278"/>
        <v>0</v>
      </c>
      <c r="C434" s="21">
        <f t="shared" si="304"/>
        <v>0</v>
      </c>
      <c r="D434" s="21">
        <f t="shared" si="317"/>
        <v>0</v>
      </c>
      <c r="E434" s="21">
        <f t="shared" si="305"/>
        <v>0</v>
      </c>
      <c r="F434" s="21">
        <f t="shared" si="282"/>
        <v>134.16999999999999</v>
      </c>
      <c r="G434" s="21">
        <f t="shared" si="279"/>
        <v>188.55</v>
      </c>
      <c r="H434" s="21">
        <f t="shared" si="280"/>
        <v>322.72000000000003</v>
      </c>
      <c r="I434" s="348">
        <f t="shared" si="283"/>
        <v>187026.8299999999</v>
      </c>
      <c r="J434" s="348">
        <f t="shared" si="284"/>
        <v>96593.969999999914</v>
      </c>
      <c r="K434" s="348">
        <f t="shared" si="285"/>
        <v>0</v>
      </c>
      <c r="L434" s="429">
        <f t="shared" si="324"/>
        <v>31</v>
      </c>
      <c r="M434" s="429">
        <f t="shared" si="310"/>
        <v>375</v>
      </c>
      <c r="N434" s="348">
        <f t="shared" si="322"/>
        <v>0</v>
      </c>
      <c r="O434" s="348">
        <f t="shared" si="296"/>
        <v>0</v>
      </c>
      <c r="P434" s="348">
        <f t="shared" si="318"/>
        <v>0</v>
      </c>
      <c r="Q434" s="348">
        <f t="shared" si="297"/>
        <v>0</v>
      </c>
      <c r="R434" s="348">
        <f t="shared" si="288"/>
        <v>134.16999999999999</v>
      </c>
      <c r="S434" s="348">
        <f t="shared" si="289"/>
        <v>188.55</v>
      </c>
      <c r="T434" s="348">
        <f t="shared" si="286"/>
        <v>322.72000000000003</v>
      </c>
      <c r="U434" s="348">
        <f t="shared" si="319"/>
        <v>230955.00999999998</v>
      </c>
      <c r="V434" s="348">
        <f t="shared" si="320"/>
        <v>322192.18999999977</v>
      </c>
      <c r="W434" s="348">
        <f t="shared" si="287"/>
        <v>0</v>
      </c>
      <c r="X434" s="522" t="str">
        <f t="shared" si="312"/>
        <v xml:space="preserve"> </v>
      </c>
      <c r="Y434" s="348">
        <f t="shared" si="298"/>
        <v>0</v>
      </c>
      <c r="Z434" s="512">
        <f t="shared" si="306"/>
        <v>7.0000000000000007E-2</v>
      </c>
      <c r="AA434" s="348">
        <f t="shared" si="307"/>
        <v>0</v>
      </c>
      <c r="AB434" s="348">
        <f t="shared" si="299"/>
        <v>0</v>
      </c>
      <c r="AC434" s="348">
        <f t="shared" si="308"/>
        <v>0</v>
      </c>
      <c r="AD434" s="348">
        <f t="shared" si="290"/>
        <v>134.16999999999999</v>
      </c>
      <c r="AE434" s="348">
        <f t="shared" si="291"/>
        <v>188.55</v>
      </c>
      <c r="AF434" s="348">
        <f t="shared" si="300"/>
        <v>322.72000000000003</v>
      </c>
      <c r="AG434" s="348">
        <f t="shared" si="301"/>
        <v>277225.64999999997</v>
      </c>
      <c r="AH434" s="348">
        <f t="shared" si="302"/>
        <v>319674.74999999983</v>
      </c>
      <c r="AI434" s="531">
        <f t="shared" si="292"/>
        <v>-43753.199999999772</v>
      </c>
      <c r="AJ434" s="531">
        <f t="shared" si="321"/>
        <v>0</v>
      </c>
      <c r="AK434" s="530">
        <f t="shared" si="293"/>
        <v>-43753.199999999772</v>
      </c>
      <c r="AL434" s="348">
        <f t="shared" si="303"/>
        <v>0</v>
      </c>
      <c r="AM434" s="429">
        <f t="shared" si="313"/>
        <v>31</v>
      </c>
      <c r="AN434" s="21">
        <f t="shared" si="294"/>
        <v>0</v>
      </c>
      <c r="AO434" s="21">
        <f t="shared" si="323"/>
        <v>0</v>
      </c>
      <c r="AP434" s="21">
        <f t="shared" si="295"/>
        <v>0</v>
      </c>
      <c r="AQ434" s="21"/>
      <c r="AR434" s="23"/>
      <c r="AS434" s="21">
        <f t="shared" si="309"/>
        <v>0</v>
      </c>
      <c r="AT434" s="21">
        <f t="shared" si="314"/>
        <v>0</v>
      </c>
      <c r="AU434" s="348">
        <f t="shared" si="315"/>
        <v>0</v>
      </c>
      <c r="AV434" s="348">
        <f t="shared" si="316"/>
        <v>0</v>
      </c>
    </row>
    <row r="435" spans="1:48" x14ac:dyDescent="0.25">
      <c r="A435" s="519" t="str">
        <f t="shared" si="281"/>
        <v xml:space="preserve"> </v>
      </c>
      <c r="B435" s="287">
        <f t="shared" si="278"/>
        <v>0</v>
      </c>
      <c r="C435" s="14">
        <f t="shared" si="304"/>
        <v>0</v>
      </c>
      <c r="D435" s="14">
        <f t="shared" si="317"/>
        <v>0</v>
      </c>
      <c r="E435" s="14">
        <f t="shared" si="305"/>
        <v>0</v>
      </c>
      <c r="F435" s="14">
        <f t="shared" si="282"/>
        <v>134.16999999999999</v>
      </c>
      <c r="G435" s="14">
        <f t="shared" si="279"/>
        <v>188.55</v>
      </c>
      <c r="H435" s="14">
        <f t="shared" si="280"/>
        <v>322.72000000000003</v>
      </c>
      <c r="I435" s="287">
        <f t="shared" si="283"/>
        <v>187026.8299999999</v>
      </c>
      <c r="J435" s="287">
        <f t="shared" si="284"/>
        <v>96593.969999999914</v>
      </c>
      <c r="K435" s="287">
        <f t="shared" si="285"/>
        <v>0</v>
      </c>
      <c r="L435" s="428">
        <f t="shared" si="324"/>
        <v>31</v>
      </c>
      <c r="M435" s="428">
        <f t="shared" si="310"/>
        <v>376</v>
      </c>
      <c r="N435" s="287">
        <f t="shared" si="322"/>
        <v>0</v>
      </c>
      <c r="O435" s="287">
        <f t="shared" si="296"/>
        <v>0</v>
      </c>
      <c r="P435" s="287">
        <f t="shared" si="318"/>
        <v>0</v>
      </c>
      <c r="Q435" s="287">
        <f t="shared" si="297"/>
        <v>0</v>
      </c>
      <c r="R435" s="287">
        <f t="shared" si="288"/>
        <v>134.16999999999999</v>
      </c>
      <c r="S435" s="287">
        <f t="shared" si="289"/>
        <v>188.55</v>
      </c>
      <c r="T435" s="287">
        <f t="shared" si="286"/>
        <v>322.72000000000003</v>
      </c>
      <c r="U435" s="287">
        <f t="shared" si="319"/>
        <v>230955.00999999998</v>
      </c>
      <c r="V435" s="287">
        <f t="shared" si="320"/>
        <v>322192.18999999977</v>
      </c>
      <c r="W435" s="287">
        <f t="shared" si="287"/>
        <v>0</v>
      </c>
      <c r="X435" s="519" t="str">
        <f t="shared" si="312"/>
        <v xml:space="preserve"> </v>
      </c>
      <c r="Y435" s="287">
        <f t="shared" si="298"/>
        <v>0</v>
      </c>
      <c r="Z435" s="511">
        <f t="shared" si="306"/>
        <v>7.0000000000000007E-2</v>
      </c>
      <c r="AA435" s="287">
        <f t="shared" si="307"/>
        <v>0</v>
      </c>
      <c r="AB435" s="287">
        <f t="shared" si="299"/>
        <v>0</v>
      </c>
      <c r="AC435" s="287">
        <f t="shared" si="308"/>
        <v>0</v>
      </c>
      <c r="AD435" s="287">
        <f t="shared" si="290"/>
        <v>134.16999999999999</v>
      </c>
      <c r="AE435" s="287">
        <f t="shared" si="291"/>
        <v>188.55</v>
      </c>
      <c r="AF435" s="287">
        <f t="shared" si="300"/>
        <v>322.72000000000003</v>
      </c>
      <c r="AG435" s="287">
        <f t="shared" si="301"/>
        <v>277225.64999999997</v>
      </c>
      <c r="AH435" s="287">
        <f t="shared" si="302"/>
        <v>319674.74999999983</v>
      </c>
      <c r="AI435" s="530">
        <f t="shared" si="292"/>
        <v>-43753.199999999772</v>
      </c>
      <c r="AJ435" s="530">
        <f t="shared" si="321"/>
        <v>0</v>
      </c>
      <c r="AK435" s="530">
        <f t="shared" si="293"/>
        <v>-43753.199999999772</v>
      </c>
      <c r="AL435" s="287">
        <f t="shared" si="303"/>
        <v>0</v>
      </c>
      <c r="AM435" s="428">
        <f t="shared" si="313"/>
        <v>31</v>
      </c>
      <c r="AN435" s="14">
        <f t="shared" si="294"/>
        <v>0</v>
      </c>
      <c r="AO435" s="14">
        <f t="shared" si="323"/>
        <v>0</v>
      </c>
      <c r="AP435" s="14">
        <f t="shared" si="295"/>
        <v>0</v>
      </c>
      <c r="AS435" s="14">
        <f t="shared" si="309"/>
        <v>0</v>
      </c>
      <c r="AT435" s="14">
        <f t="shared" si="314"/>
        <v>0</v>
      </c>
      <c r="AU435" s="287">
        <f t="shared" si="315"/>
        <v>0</v>
      </c>
      <c r="AV435" s="287">
        <f t="shared" si="316"/>
        <v>0</v>
      </c>
    </row>
    <row r="436" spans="1:48" x14ac:dyDescent="0.25">
      <c r="A436" s="519" t="str">
        <f t="shared" si="281"/>
        <v xml:space="preserve"> </v>
      </c>
      <c r="B436" s="287">
        <f t="shared" si="278"/>
        <v>0</v>
      </c>
      <c r="C436" s="14">
        <f t="shared" si="304"/>
        <v>0</v>
      </c>
      <c r="D436" s="14">
        <f t="shared" si="317"/>
        <v>0</v>
      </c>
      <c r="E436" s="14">
        <f t="shared" si="305"/>
        <v>0</v>
      </c>
      <c r="F436" s="14">
        <f t="shared" si="282"/>
        <v>134.16999999999999</v>
      </c>
      <c r="G436" s="14">
        <f t="shared" si="279"/>
        <v>188.55</v>
      </c>
      <c r="H436" s="14">
        <f t="shared" si="280"/>
        <v>322.72000000000003</v>
      </c>
      <c r="I436" s="287">
        <f t="shared" si="283"/>
        <v>187026.8299999999</v>
      </c>
      <c r="J436" s="287">
        <f t="shared" si="284"/>
        <v>96593.969999999914</v>
      </c>
      <c r="K436" s="287">
        <f t="shared" si="285"/>
        <v>0</v>
      </c>
      <c r="L436" s="428">
        <f t="shared" si="324"/>
        <v>31</v>
      </c>
      <c r="M436" s="428">
        <f t="shared" si="310"/>
        <v>377</v>
      </c>
      <c r="N436" s="287">
        <f t="shared" si="322"/>
        <v>0</v>
      </c>
      <c r="O436" s="287">
        <f t="shared" si="296"/>
        <v>0</v>
      </c>
      <c r="P436" s="287">
        <f t="shared" si="318"/>
        <v>0</v>
      </c>
      <c r="Q436" s="287">
        <f t="shared" si="297"/>
        <v>0</v>
      </c>
      <c r="R436" s="287">
        <f t="shared" si="288"/>
        <v>134.16999999999999</v>
      </c>
      <c r="S436" s="287">
        <f t="shared" si="289"/>
        <v>188.55</v>
      </c>
      <c r="T436" s="287">
        <f t="shared" si="286"/>
        <v>322.72000000000003</v>
      </c>
      <c r="U436" s="287">
        <f t="shared" si="319"/>
        <v>230955.00999999998</v>
      </c>
      <c r="V436" s="287">
        <f t="shared" si="320"/>
        <v>322192.18999999977</v>
      </c>
      <c r="W436" s="287">
        <f t="shared" si="287"/>
        <v>0</v>
      </c>
      <c r="X436" s="519" t="str">
        <f t="shared" si="312"/>
        <v xml:space="preserve"> </v>
      </c>
      <c r="Y436" s="287">
        <f t="shared" si="298"/>
        <v>0</v>
      </c>
      <c r="Z436" s="511">
        <f t="shared" si="306"/>
        <v>7.0000000000000007E-2</v>
      </c>
      <c r="AA436" s="287">
        <f t="shared" si="307"/>
        <v>0</v>
      </c>
      <c r="AB436" s="287">
        <f t="shared" si="299"/>
        <v>0</v>
      </c>
      <c r="AC436" s="287">
        <f t="shared" si="308"/>
        <v>0</v>
      </c>
      <c r="AD436" s="287">
        <f t="shared" si="290"/>
        <v>134.16999999999999</v>
      </c>
      <c r="AE436" s="287">
        <f t="shared" si="291"/>
        <v>188.55</v>
      </c>
      <c r="AF436" s="287">
        <f t="shared" si="300"/>
        <v>322.72000000000003</v>
      </c>
      <c r="AG436" s="287">
        <f t="shared" si="301"/>
        <v>277225.64999999997</v>
      </c>
      <c r="AH436" s="287">
        <f t="shared" si="302"/>
        <v>319674.74999999983</v>
      </c>
      <c r="AI436" s="530">
        <f t="shared" si="292"/>
        <v>-43753.199999999772</v>
      </c>
      <c r="AJ436" s="530">
        <f t="shared" si="321"/>
        <v>0</v>
      </c>
      <c r="AK436" s="530">
        <f t="shared" si="293"/>
        <v>-43753.199999999772</v>
      </c>
      <c r="AL436" s="287">
        <f t="shared" si="303"/>
        <v>0</v>
      </c>
      <c r="AM436" s="428">
        <f t="shared" si="313"/>
        <v>31</v>
      </c>
      <c r="AN436" s="14">
        <f t="shared" si="294"/>
        <v>0</v>
      </c>
      <c r="AO436" s="14">
        <f t="shared" si="323"/>
        <v>0</v>
      </c>
      <c r="AP436" s="14">
        <f t="shared" si="295"/>
        <v>0</v>
      </c>
      <c r="AS436" s="14">
        <f t="shared" si="309"/>
        <v>0</v>
      </c>
      <c r="AT436" s="14">
        <f t="shared" si="314"/>
        <v>0</v>
      </c>
      <c r="AU436" s="287">
        <f t="shared" si="315"/>
        <v>0</v>
      </c>
      <c r="AV436" s="287">
        <f t="shared" si="316"/>
        <v>0</v>
      </c>
    </row>
    <row r="437" spans="1:48" x14ac:dyDescent="0.25">
      <c r="A437" s="519" t="str">
        <f t="shared" si="281"/>
        <v xml:space="preserve"> </v>
      </c>
      <c r="B437" s="287">
        <f t="shared" si="278"/>
        <v>0</v>
      </c>
      <c r="C437" s="14">
        <f t="shared" si="304"/>
        <v>0</v>
      </c>
      <c r="D437" s="14">
        <f t="shared" si="317"/>
        <v>0</v>
      </c>
      <c r="E437" s="14">
        <f t="shared" si="305"/>
        <v>0</v>
      </c>
      <c r="F437" s="14">
        <f t="shared" si="282"/>
        <v>134.16999999999999</v>
      </c>
      <c r="G437" s="14">
        <f t="shared" si="279"/>
        <v>188.55</v>
      </c>
      <c r="H437" s="14">
        <f t="shared" si="280"/>
        <v>322.72000000000003</v>
      </c>
      <c r="I437" s="287">
        <f t="shared" si="283"/>
        <v>187026.8299999999</v>
      </c>
      <c r="J437" s="287">
        <f t="shared" si="284"/>
        <v>96593.969999999914</v>
      </c>
      <c r="K437" s="287">
        <f t="shared" si="285"/>
        <v>0</v>
      </c>
      <c r="L437" s="428">
        <f t="shared" si="324"/>
        <v>31</v>
      </c>
      <c r="M437" s="428">
        <f t="shared" si="310"/>
        <v>378</v>
      </c>
      <c r="N437" s="287">
        <f t="shared" si="322"/>
        <v>0</v>
      </c>
      <c r="O437" s="287">
        <f t="shared" si="296"/>
        <v>0</v>
      </c>
      <c r="P437" s="287">
        <f t="shared" si="318"/>
        <v>0</v>
      </c>
      <c r="Q437" s="287">
        <f t="shared" si="297"/>
        <v>0</v>
      </c>
      <c r="R437" s="287">
        <f t="shared" si="288"/>
        <v>134.16999999999999</v>
      </c>
      <c r="S437" s="287">
        <f t="shared" si="289"/>
        <v>188.55</v>
      </c>
      <c r="T437" s="287">
        <f t="shared" si="286"/>
        <v>322.72000000000003</v>
      </c>
      <c r="U437" s="287">
        <f t="shared" si="319"/>
        <v>230955.00999999998</v>
      </c>
      <c r="V437" s="287">
        <f t="shared" si="320"/>
        <v>322192.18999999977</v>
      </c>
      <c r="W437" s="287">
        <f t="shared" si="287"/>
        <v>0</v>
      </c>
      <c r="X437" s="519" t="str">
        <f t="shared" si="312"/>
        <v xml:space="preserve"> </v>
      </c>
      <c r="Y437" s="287">
        <f t="shared" si="298"/>
        <v>0</v>
      </c>
      <c r="Z437" s="511">
        <f t="shared" si="306"/>
        <v>7.0000000000000007E-2</v>
      </c>
      <c r="AA437" s="287">
        <f t="shared" si="307"/>
        <v>0</v>
      </c>
      <c r="AB437" s="287">
        <f t="shared" si="299"/>
        <v>0</v>
      </c>
      <c r="AC437" s="287">
        <f t="shared" si="308"/>
        <v>0</v>
      </c>
      <c r="AD437" s="287">
        <f t="shared" si="290"/>
        <v>134.16999999999999</v>
      </c>
      <c r="AE437" s="287">
        <f t="shared" si="291"/>
        <v>188.55</v>
      </c>
      <c r="AF437" s="287">
        <f t="shared" si="300"/>
        <v>322.72000000000003</v>
      </c>
      <c r="AG437" s="287">
        <f t="shared" si="301"/>
        <v>277225.64999999997</v>
      </c>
      <c r="AH437" s="287">
        <f t="shared" si="302"/>
        <v>319674.74999999983</v>
      </c>
      <c r="AI437" s="530">
        <f t="shared" si="292"/>
        <v>-43753.199999999772</v>
      </c>
      <c r="AJ437" s="530">
        <f t="shared" si="321"/>
        <v>0</v>
      </c>
      <c r="AK437" s="530">
        <f t="shared" si="293"/>
        <v>-43753.199999999772</v>
      </c>
      <c r="AL437" s="287">
        <f t="shared" si="303"/>
        <v>0</v>
      </c>
      <c r="AM437" s="428">
        <f t="shared" si="313"/>
        <v>31</v>
      </c>
      <c r="AN437" s="14">
        <f t="shared" si="294"/>
        <v>0</v>
      </c>
      <c r="AO437" s="14">
        <f t="shared" si="323"/>
        <v>0</v>
      </c>
      <c r="AP437" s="14">
        <f t="shared" si="295"/>
        <v>0</v>
      </c>
      <c r="AS437" s="14">
        <f t="shared" si="309"/>
        <v>0</v>
      </c>
      <c r="AT437" s="14">
        <f t="shared" si="314"/>
        <v>0</v>
      </c>
      <c r="AU437" s="287">
        <f t="shared" si="315"/>
        <v>0</v>
      </c>
      <c r="AV437" s="287">
        <f t="shared" si="316"/>
        <v>0</v>
      </c>
    </row>
    <row r="438" spans="1:48" x14ac:dyDescent="0.25">
      <c r="A438" s="519" t="str">
        <f t="shared" si="281"/>
        <v xml:space="preserve"> </v>
      </c>
      <c r="B438" s="287">
        <f t="shared" si="278"/>
        <v>0</v>
      </c>
      <c r="C438" s="14">
        <f t="shared" si="304"/>
        <v>0</v>
      </c>
      <c r="D438" s="14">
        <f t="shared" si="317"/>
        <v>0</v>
      </c>
      <c r="E438" s="14">
        <f t="shared" si="305"/>
        <v>0</v>
      </c>
      <c r="F438" s="14">
        <f t="shared" si="282"/>
        <v>134.16999999999999</v>
      </c>
      <c r="G438" s="14">
        <f t="shared" si="279"/>
        <v>188.55</v>
      </c>
      <c r="H438" s="14">
        <f t="shared" si="280"/>
        <v>322.72000000000003</v>
      </c>
      <c r="I438" s="287">
        <f t="shared" si="283"/>
        <v>187026.8299999999</v>
      </c>
      <c r="J438" s="287">
        <f t="shared" si="284"/>
        <v>96593.969999999914</v>
      </c>
      <c r="K438" s="287">
        <f t="shared" si="285"/>
        <v>0</v>
      </c>
      <c r="L438" s="428">
        <f t="shared" si="324"/>
        <v>31</v>
      </c>
      <c r="M438" s="428">
        <f t="shared" si="310"/>
        <v>379</v>
      </c>
      <c r="N438" s="287">
        <f t="shared" si="322"/>
        <v>0</v>
      </c>
      <c r="O438" s="287">
        <f t="shared" si="296"/>
        <v>0</v>
      </c>
      <c r="P438" s="287">
        <f t="shared" si="318"/>
        <v>0</v>
      </c>
      <c r="Q438" s="287">
        <f t="shared" si="297"/>
        <v>0</v>
      </c>
      <c r="R438" s="287">
        <f t="shared" si="288"/>
        <v>134.16999999999999</v>
      </c>
      <c r="S438" s="287">
        <f t="shared" si="289"/>
        <v>188.55</v>
      </c>
      <c r="T438" s="287">
        <f t="shared" si="286"/>
        <v>322.72000000000003</v>
      </c>
      <c r="U438" s="287">
        <f t="shared" si="319"/>
        <v>230955.00999999998</v>
      </c>
      <c r="V438" s="287">
        <f t="shared" si="320"/>
        <v>322192.18999999977</v>
      </c>
      <c r="W438" s="287">
        <f t="shared" si="287"/>
        <v>0</v>
      </c>
      <c r="X438" s="519" t="str">
        <f t="shared" si="312"/>
        <v xml:space="preserve"> </v>
      </c>
      <c r="Y438" s="287">
        <f t="shared" si="298"/>
        <v>0</v>
      </c>
      <c r="Z438" s="511">
        <f t="shared" si="306"/>
        <v>7.0000000000000007E-2</v>
      </c>
      <c r="AA438" s="287">
        <f t="shared" si="307"/>
        <v>0</v>
      </c>
      <c r="AB438" s="287">
        <f t="shared" si="299"/>
        <v>0</v>
      </c>
      <c r="AC438" s="287">
        <f t="shared" si="308"/>
        <v>0</v>
      </c>
      <c r="AD438" s="287">
        <f t="shared" si="290"/>
        <v>134.16999999999999</v>
      </c>
      <c r="AE438" s="287">
        <f t="shared" si="291"/>
        <v>188.55</v>
      </c>
      <c r="AF438" s="287">
        <f t="shared" si="300"/>
        <v>322.72000000000003</v>
      </c>
      <c r="AG438" s="287">
        <f t="shared" si="301"/>
        <v>277225.64999999997</v>
      </c>
      <c r="AH438" s="287">
        <f t="shared" si="302"/>
        <v>319674.74999999983</v>
      </c>
      <c r="AI438" s="530">
        <f t="shared" si="292"/>
        <v>-43753.199999999772</v>
      </c>
      <c r="AJ438" s="530">
        <f t="shared" si="321"/>
        <v>0</v>
      </c>
      <c r="AK438" s="530">
        <f t="shared" si="293"/>
        <v>-43753.199999999772</v>
      </c>
      <c r="AL438" s="287">
        <f t="shared" si="303"/>
        <v>0</v>
      </c>
      <c r="AM438" s="428">
        <f t="shared" si="313"/>
        <v>31</v>
      </c>
      <c r="AN438" s="14">
        <f t="shared" si="294"/>
        <v>0</v>
      </c>
      <c r="AO438" s="14">
        <f t="shared" si="323"/>
        <v>0</v>
      </c>
      <c r="AP438" s="14">
        <f t="shared" si="295"/>
        <v>0</v>
      </c>
      <c r="AS438" s="14">
        <f t="shared" si="309"/>
        <v>0</v>
      </c>
      <c r="AT438" s="14">
        <f t="shared" si="314"/>
        <v>0</v>
      </c>
      <c r="AU438" s="287">
        <f t="shared" si="315"/>
        <v>0</v>
      </c>
      <c r="AV438" s="287">
        <f t="shared" si="316"/>
        <v>0</v>
      </c>
    </row>
    <row r="439" spans="1:48" x14ac:dyDescent="0.25">
      <c r="A439" s="519" t="str">
        <f t="shared" si="281"/>
        <v xml:space="preserve"> </v>
      </c>
      <c r="B439" s="287">
        <f t="shared" si="278"/>
        <v>0</v>
      </c>
      <c r="C439" s="14">
        <f t="shared" si="304"/>
        <v>0</v>
      </c>
      <c r="D439" s="14">
        <f t="shared" si="317"/>
        <v>0</v>
      </c>
      <c r="E439" s="14">
        <f t="shared" si="305"/>
        <v>0</v>
      </c>
      <c r="F439" s="14">
        <f t="shared" si="282"/>
        <v>134.16999999999999</v>
      </c>
      <c r="G439" s="14">
        <f t="shared" si="279"/>
        <v>188.55</v>
      </c>
      <c r="H439" s="14">
        <f t="shared" si="280"/>
        <v>322.72000000000003</v>
      </c>
      <c r="I439" s="287">
        <f t="shared" si="283"/>
        <v>187026.8299999999</v>
      </c>
      <c r="J439" s="287">
        <f t="shared" si="284"/>
        <v>96593.969999999914</v>
      </c>
      <c r="K439" s="287">
        <f t="shared" si="285"/>
        <v>0</v>
      </c>
      <c r="L439" s="428">
        <f t="shared" si="324"/>
        <v>31</v>
      </c>
      <c r="M439" s="428">
        <f t="shared" si="310"/>
        <v>380</v>
      </c>
      <c r="N439" s="287">
        <f t="shared" si="322"/>
        <v>0</v>
      </c>
      <c r="O439" s="287">
        <f t="shared" si="296"/>
        <v>0</v>
      </c>
      <c r="P439" s="287">
        <f t="shared" si="318"/>
        <v>0</v>
      </c>
      <c r="Q439" s="287">
        <f t="shared" si="297"/>
        <v>0</v>
      </c>
      <c r="R439" s="287">
        <f t="shared" si="288"/>
        <v>134.16999999999999</v>
      </c>
      <c r="S439" s="287">
        <f t="shared" si="289"/>
        <v>188.55</v>
      </c>
      <c r="T439" s="287">
        <f t="shared" si="286"/>
        <v>322.72000000000003</v>
      </c>
      <c r="U439" s="287">
        <f t="shared" si="319"/>
        <v>230955.00999999998</v>
      </c>
      <c r="V439" s="287">
        <f t="shared" si="320"/>
        <v>322192.18999999977</v>
      </c>
      <c r="W439" s="287">
        <f t="shared" si="287"/>
        <v>0</v>
      </c>
      <c r="X439" s="519" t="str">
        <f t="shared" si="312"/>
        <v xml:space="preserve"> </v>
      </c>
      <c r="Y439" s="287">
        <f t="shared" si="298"/>
        <v>0</v>
      </c>
      <c r="Z439" s="511">
        <f t="shared" si="306"/>
        <v>7.0000000000000007E-2</v>
      </c>
      <c r="AA439" s="287">
        <f t="shared" si="307"/>
        <v>0</v>
      </c>
      <c r="AB439" s="287">
        <f t="shared" si="299"/>
        <v>0</v>
      </c>
      <c r="AC439" s="287">
        <f t="shared" si="308"/>
        <v>0</v>
      </c>
      <c r="AD439" s="287">
        <f t="shared" si="290"/>
        <v>134.16999999999999</v>
      </c>
      <c r="AE439" s="287">
        <f t="shared" si="291"/>
        <v>188.55</v>
      </c>
      <c r="AF439" s="287">
        <f t="shared" si="300"/>
        <v>322.72000000000003</v>
      </c>
      <c r="AG439" s="287">
        <f t="shared" si="301"/>
        <v>277225.64999999997</v>
      </c>
      <c r="AH439" s="287">
        <f t="shared" si="302"/>
        <v>319674.74999999983</v>
      </c>
      <c r="AI439" s="530">
        <f t="shared" si="292"/>
        <v>-43753.199999999772</v>
      </c>
      <c r="AJ439" s="530">
        <f t="shared" si="321"/>
        <v>0</v>
      </c>
      <c r="AK439" s="530">
        <f t="shared" si="293"/>
        <v>-43753.199999999772</v>
      </c>
      <c r="AL439" s="287">
        <f t="shared" si="303"/>
        <v>0</v>
      </c>
      <c r="AM439" s="428">
        <f t="shared" si="313"/>
        <v>31</v>
      </c>
      <c r="AN439" s="14">
        <f t="shared" si="294"/>
        <v>0</v>
      </c>
      <c r="AO439" s="14">
        <f t="shared" si="323"/>
        <v>0</v>
      </c>
      <c r="AP439" s="14">
        <f t="shared" si="295"/>
        <v>0</v>
      </c>
      <c r="AS439" s="14">
        <f t="shared" si="309"/>
        <v>0</v>
      </c>
      <c r="AT439" s="14">
        <f t="shared" si="314"/>
        <v>0</v>
      </c>
      <c r="AU439" s="287">
        <f t="shared" si="315"/>
        <v>0</v>
      </c>
      <c r="AV439" s="287">
        <f t="shared" si="316"/>
        <v>0</v>
      </c>
    </row>
    <row r="440" spans="1:48" x14ac:dyDescent="0.25">
      <c r="A440" s="519" t="str">
        <f t="shared" si="281"/>
        <v xml:space="preserve"> </v>
      </c>
      <c r="B440" s="287">
        <f t="shared" ref="B440:B490" si="325">IF(+K439&lt;0,0,+K439)</f>
        <v>0</v>
      </c>
      <c r="C440" s="14">
        <f t="shared" si="304"/>
        <v>0</v>
      </c>
      <c r="D440" s="14">
        <f t="shared" si="317"/>
        <v>0</v>
      </c>
      <c r="E440" s="14">
        <f t="shared" si="305"/>
        <v>0</v>
      </c>
      <c r="F440" s="14">
        <f t="shared" si="282"/>
        <v>134.16999999999999</v>
      </c>
      <c r="G440" s="14">
        <f t="shared" si="279"/>
        <v>188.55</v>
      </c>
      <c r="H440" s="14">
        <f t="shared" si="280"/>
        <v>322.72000000000003</v>
      </c>
      <c r="I440" s="287">
        <f t="shared" si="283"/>
        <v>187026.8299999999</v>
      </c>
      <c r="J440" s="287">
        <f t="shared" si="284"/>
        <v>96593.969999999914</v>
      </c>
      <c r="K440" s="287">
        <f t="shared" si="285"/>
        <v>0</v>
      </c>
      <c r="L440" s="428">
        <f t="shared" si="324"/>
        <v>31</v>
      </c>
      <c r="M440" s="428">
        <f t="shared" si="310"/>
        <v>381</v>
      </c>
      <c r="N440" s="287">
        <f t="shared" si="322"/>
        <v>0</v>
      </c>
      <c r="O440" s="287">
        <f t="shared" si="296"/>
        <v>0</v>
      </c>
      <c r="P440" s="287">
        <f t="shared" si="318"/>
        <v>0</v>
      </c>
      <c r="Q440" s="287">
        <f t="shared" si="297"/>
        <v>0</v>
      </c>
      <c r="R440" s="287">
        <f t="shared" si="288"/>
        <v>134.16999999999999</v>
      </c>
      <c r="S440" s="287">
        <f t="shared" si="289"/>
        <v>188.55</v>
      </c>
      <c r="T440" s="287">
        <f t="shared" si="286"/>
        <v>322.72000000000003</v>
      </c>
      <c r="U440" s="287">
        <f t="shared" si="319"/>
        <v>230955.00999999998</v>
      </c>
      <c r="V440" s="287">
        <f t="shared" si="320"/>
        <v>322192.18999999977</v>
      </c>
      <c r="W440" s="287">
        <f t="shared" si="287"/>
        <v>0</v>
      </c>
      <c r="X440" s="519" t="str">
        <f t="shared" si="312"/>
        <v xml:space="preserve"> </v>
      </c>
      <c r="Y440" s="287">
        <f t="shared" si="298"/>
        <v>0</v>
      </c>
      <c r="Z440" s="511">
        <f t="shared" si="306"/>
        <v>7.0000000000000007E-2</v>
      </c>
      <c r="AA440" s="287">
        <f t="shared" si="307"/>
        <v>0</v>
      </c>
      <c r="AB440" s="287">
        <f t="shared" si="299"/>
        <v>0</v>
      </c>
      <c r="AC440" s="287">
        <f t="shared" si="308"/>
        <v>0</v>
      </c>
      <c r="AD440" s="287">
        <f t="shared" si="290"/>
        <v>134.16999999999999</v>
      </c>
      <c r="AE440" s="287">
        <f t="shared" si="291"/>
        <v>188.55</v>
      </c>
      <c r="AF440" s="287">
        <f t="shared" si="300"/>
        <v>322.72000000000003</v>
      </c>
      <c r="AG440" s="287">
        <f t="shared" si="301"/>
        <v>277225.64999999997</v>
      </c>
      <c r="AH440" s="287">
        <f t="shared" si="302"/>
        <v>319674.74999999983</v>
      </c>
      <c r="AI440" s="530">
        <f t="shared" si="292"/>
        <v>-43753.199999999772</v>
      </c>
      <c r="AJ440" s="530">
        <f t="shared" si="321"/>
        <v>0</v>
      </c>
      <c r="AK440" s="530">
        <f t="shared" si="293"/>
        <v>-43753.199999999772</v>
      </c>
      <c r="AL440" s="287">
        <f t="shared" si="303"/>
        <v>0</v>
      </c>
      <c r="AM440" s="428">
        <f t="shared" si="313"/>
        <v>31</v>
      </c>
      <c r="AN440" s="14">
        <f t="shared" si="294"/>
        <v>0</v>
      </c>
      <c r="AO440" s="14">
        <f t="shared" si="323"/>
        <v>0</v>
      </c>
      <c r="AP440" s="14">
        <f t="shared" si="295"/>
        <v>0</v>
      </c>
      <c r="AS440" s="14">
        <f t="shared" si="309"/>
        <v>0</v>
      </c>
      <c r="AT440" s="14">
        <f t="shared" si="314"/>
        <v>0</v>
      </c>
      <c r="AU440" s="287">
        <f t="shared" si="315"/>
        <v>0</v>
      </c>
      <c r="AV440" s="287">
        <f t="shared" si="316"/>
        <v>0</v>
      </c>
    </row>
    <row r="441" spans="1:48" x14ac:dyDescent="0.25">
      <c r="A441" s="519" t="str">
        <f t="shared" si="281"/>
        <v xml:space="preserve"> </v>
      </c>
      <c r="B441" s="287">
        <f t="shared" si="325"/>
        <v>0</v>
      </c>
      <c r="C441" s="14">
        <f t="shared" si="304"/>
        <v>0</v>
      </c>
      <c r="D441" s="14">
        <f t="shared" si="317"/>
        <v>0</v>
      </c>
      <c r="E441" s="14">
        <f t="shared" si="305"/>
        <v>0</v>
      </c>
      <c r="F441" s="14">
        <f t="shared" si="282"/>
        <v>134.16999999999999</v>
      </c>
      <c r="G441" s="14">
        <f t="shared" si="279"/>
        <v>188.55</v>
      </c>
      <c r="H441" s="14">
        <f t="shared" si="280"/>
        <v>322.72000000000003</v>
      </c>
      <c r="I441" s="287">
        <f t="shared" si="283"/>
        <v>187026.8299999999</v>
      </c>
      <c r="J441" s="287">
        <f t="shared" si="284"/>
        <v>96593.969999999914</v>
      </c>
      <c r="K441" s="287">
        <f t="shared" si="285"/>
        <v>0</v>
      </c>
      <c r="L441" s="428">
        <f t="shared" si="324"/>
        <v>31</v>
      </c>
      <c r="M441" s="428">
        <f t="shared" si="310"/>
        <v>382</v>
      </c>
      <c r="N441" s="287">
        <f t="shared" si="322"/>
        <v>0</v>
      </c>
      <c r="O441" s="287">
        <f t="shared" si="296"/>
        <v>0</v>
      </c>
      <c r="P441" s="287">
        <f t="shared" si="318"/>
        <v>0</v>
      </c>
      <c r="Q441" s="287">
        <f t="shared" si="297"/>
        <v>0</v>
      </c>
      <c r="R441" s="287">
        <f t="shared" si="288"/>
        <v>134.16999999999999</v>
      </c>
      <c r="S441" s="287">
        <f t="shared" si="289"/>
        <v>188.55</v>
      </c>
      <c r="T441" s="287">
        <f t="shared" si="286"/>
        <v>322.72000000000003</v>
      </c>
      <c r="U441" s="287">
        <f t="shared" si="319"/>
        <v>230955.00999999998</v>
      </c>
      <c r="V441" s="287">
        <f t="shared" si="320"/>
        <v>322192.18999999977</v>
      </c>
      <c r="W441" s="287">
        <f t="shared" si="287"/>
        <v>0</v>
      </c>
      <c r="X441" s="519" t="str">
        <f t="shared" si="312"/>
        <v xml:space="preserve"> </v>
      </c>
      <c r="Y441" s="287">
        <f t="shared" si="298"/>
        <v>0</v>
      </c>
      <c r="Z441" s="511">
        <f t="shared" si="306"/>
        <v>7.0000000000000007E-2</v>
      </c>
      <c r="AA441" s="287">
        <f t="shared" si="307"/>
        <v>0</v>
      </c>
      <c r="AB441" s="287">
        <f t="shared" si="299"/>
        <v>0</v>
      </c>
      <c r="AC441" s="287">
        <f t="shared" si="308"/>
        <v>0</v>
      </c>
      <c r="AD441" s="287">
        <f t="shared" si="290"/>
        <v>134.16999999999999</v>
      </c>
      <c r="AE441" s="287">
        <f t="shared" si="291"/>
        <v>188.55</v>
      </c>
      <c r="AF441" s="287">
        <f t="shared" si="300"/>
        <v>322.72000000000003</v>
      </c>
      <c r="AG441" s="287">
        <f t="shared" si="301"/>
        <v>277225.64999999997</v>
      </c>
      <c r="AH441" s="287">
        <f t="shared" si="302"/>
        <v>319674.74999999983</v>
      </c>
      <c r="AI441" s="530">
        <f t="shared" si="292"/>
        <v>-43753.199999999772</v>
      </c>
      <c r="AJ441" s="530">
        <f t="shared" si="321"/>
        <v>0</v>
      </c>
      <c r="AK441" s="530">
        <f t="shared" si="293"/>
        <v>-43753.199999999772</v>
      </c>
      <c r="AL441" s="287">
        <f t="shared" si="303"/>
        <v>0</v>
      </c>
      <c r="AM441" s="428">
        <f t="shared" si="313"/>
        <v>31</v>
      </c>
      <c r="AN441" s="14">
        <f t="shared" si="294"/>
        <v>0</v>
      </c>
      <c r="AO441" s="14">
        <f t="shared" si="323"/>
        <v>0</v>
      </c>
      <c r="AP441" s="14">
        <f t="shared" si="295"/>
        <v>0</v>
      </c>
      <c r="AS441" s="14">
        <f t="shared" si="309"/>
        <v>0</v>
      </c>
      <c r="AT441" s="14">
        <f t="shared" si="314"/>
        <v>0</v>
      </c>
      <c r="AU441" s="287">
        <f t="shared" si="315"/>
        <v>0</v>
      </c>
      <c r="AV441" s="287">
        <f t="shared" si="316"/>
        <v>0</v>
      </c>
    </row>
    <row r="442" spans="1:48" x14ac:dyDescent="0.25">
      <c r="A442" s="519" t="str">
        <f t="shared" si="281"/>
        <v xml:space="preserve"> </v>
      </c>
      <c r="B442" s="287">
        <f t="shared" si="325"/>
        <v>0</v>
      </c>
      <c r="C442" s="14">
        <f t="shared" si="304"/>
        <v>0</v>
      </c>
      <c r="D442" s="14">
        <f t="shared" si="317"/>
        <v>0</v>
      </c>
      <c r="E442" s="14">
        <f t="shared" si="305"/>
        <v>0</v>
      </c>
      <c r="F442" s="14">
        <f t="shared" si="282"/>
        <v>134.16999999999999</v>
      </c>
      <c r="G442" s="14">
        <f t="shared" ref="G442:G490" si="326">+G441</f>
        <v>188.55</v>
      </c>
      <c r="H442" s="14">
        <f t="shared" ref="H442:H490" si="327">SUM(D442:G442)</f>
        <v>322.72000000000003</v>
      </c>
      <c r="I442" s="287">
        <f t="shared" si="283"/>
        <v>187026.8299999999</v>
      </c>
      <c r="J442" s="287">
        <f t="shared" si="284"/>
        <v>96593.969999999914</v>
      </c>
      <c r="K442" s="287">
        <f t="shared" si="285"/>
        <v>0</v>
      </c>
      <c r="L442" s="428">
        <f t="shared" si="324"/>
        <v>31</v>
      </c>
      <c r="M442" s="428">
        <f t="shared" si="310"/>
        <v>383</v>
      </c>
      <c r="N442" s="287">
        <f t="shared" si="322"/>
        <v>0</v>
      </c>
      <c r="O442" s="287">
        <f t="shared" si="296"/>
        <v>0</v>
      </c>
      <c r="P442" s="287">
        <f t="shared" si="318"/>
        <v>0</v>
      </c>
      <c r="Q442" s="287">
        <f t="shared" si="297"/>
        <v>0</v>
      </c>
      <c r="R442" s="287">
        <f t="shared" si="288"/>
        <v>134.16999999999999</v>
      </c>
      <c r="S442" s="287">
        <f t="shared" si="289"/>
        <v>188.55</v>
      </c>
      <c r="T442" s="287">
        <f t="shared" si="286"/>
        <v>322.72000000000003</v>
      </c>
      <c r="U442" s="287">
        <f t="shared" si="319"/>
        <v>230955.00999999998</v>
      </c>
      <c r="V442" s="287">
        <f t="shared" si="320"/>
        <v>322192.18999999977</v>
      </c>
      <c r="W442" s="287">
        <f t="shared" si="287"/>
        <v>0</v>
      </c>
      <c r="X442" s="519" t="str">
        <f t="shared" si="312"/>
        <v xml:space="preserve"> </v>
      </c>
      <c r="Y442" s="287">
        <f t="shared" si="298"/>
        <v>0</v>
      </c>
      <c r="Z442" s="511">
        <f t="shared" si="306"/>
        <v>7.0000000000000007E-2</v>
      </c>
      <c r="AA442" s="287">
        <f t="shared" si="307"/>
        <v>0</v>
      </c>
      <c r="AB442" s="287">
        <f t="shared" si="299"/>
        <v>0</v>
      </c>
      <c r="AC442" s="287">
        <f t="shared" si="308"/>
        <v>0</v>
      </c>
      <c r="AD442" s="287">
        <f t="shared" si="290"/>
        <v>134.16999999999999</v>
      </c>
      <c r="AE442" s="287">
        <f t="shared" si="291"/>
        <v>188.55</v>
      </c>
      <c r="AF442" s="287">
        <f t="shared" si="300"/>
        <v>322.72000000000003</v>
      </c>
      <c r="AG442" s="287">
        <f t="shared" si="301"/>
        <v>277225.64999999997</v>
      </c>
      <c r="AH442" s="287">
        <f t="shared" si="302"/>
        <v>319674.74999999983</v>
      </c>
      <c r="AI442" s="530">
        <f t="shared" si="292"/>
        <v>-43753.199999999772</v>
      </c>
      <c r="AJ442" s="530">
        <f t="shared" si="321"/>
        <v>0</v>
      </c>
      <c r="AK442" s="530">
        <f t="shared" si="293"/>
        <v>-43753.199999999772</v>
      </c>
      <c r="AL442" s="287">
        <f t="shared" si="303"/>
        <v>0</v>
      </c>
      <c r="AM442" s="428">
        <f t="shared" si="313"/>
        <v>31</v>
      </c>
      <c r="AN442" s="14">
        <f t="shared" si="294"/>
        <v>0</v>
      </c>
      <c r="AO442" s="14">
        <f t="shared" si="323"/>
        <v>0</v>
      </c>
      <c r="AP442" s="14">
        <f t="shared" si="295"/>
        <v>0</v>
      </c>
      <c r="AS442" s="14">
        <f t="shared" si="309"/>
        <v>0</v>
      </c>
      <c r="AT442" s="14">
        <f t="shared" si="314"/>
        <v>0</v>
      </c>
      <c r="AU442" s="287">
        <f t="shared" si="315"/>
        <v>0</v>
      </c>
      <c r="AV442" s="287">
        <f t="shared" si="316"/>
        <v>0</v>
      </c>
    </row>
    <row r="443" spans="1:48" x14ac:dyDescent="0.25">
      <c r="A443" s="519" t="str">
        <f t="shared" ref="A443:A490" si="328">IF(K443&lt;=0," ",+A442+30)</f>
        <v xml:space="preserve"> </v>
      </c>
      <c r="B443" s="287">
        <f t="shared" si="325"/>
        <v>0</v>
      </c>
      <c r="C443" s="14">
        <f t="shared" si="304"/>
        <v>0</v>
      </c>
      <c r="D443" s="14">
        <f t="shared" si="317"/>
        <v>0</v>
      </c>
      <c r="E443" s="14">
        <f t="shared" si="305"/>
        <v>0</v>
      </c>
      <c r="F443" s="14">
        <f t="shared" ref="F443:F490" si="329">+F442</f>
        <v>134.16999999999999</v>
      </c>
      <c r="G443" s="14">
        <f t="shared" si="326"/>
        <v>188.55</v>
      </c>
      <c r="H443" s="14">
        <f t="shared" si="327"/>
        <v>322.72000000000003</v>
      </c>
      <c r="I443" s="287">
        <f t="shared" ref="I443:I490" si="330">$D443+$I442</f>
        <v>187026.8299999999</v>
      </c>
      <c r="J443" s="287">
        <f t="shared" ref="J443:J490" si="331">$E443+$J442</f>
        <v>96593.969999999914</v>
      </c>
      <c r="K443" s="287">
        <f t="shared" ref="K443:K490" si="332">+B443-D443</f>
        <v>0</v>
      </c>
      <c r="L443" s="428">
        <f t="shared" si="324"/>
        <v>32</v>
      </c>
      <c r="M443" s="428">
        <f t="shared" si="310"/>
        <v>384</v>
      </c>
      <c r="N443" s="287">
        <f t="shared" si="322"/>
        <v>0</v>
      </c>
      <c r="O443" s="287">
        <f t="shared" si="296"/>
        <v>0</v>
      </c>
      <c r="P443" s="287">
        <f t="shared" si="318"/>
        <v>0</v>
      </c>
      <c r="Q443" s="287">
        <f t="shared" si="297"/>
        <v>0</v>
      </c>
      <c r="R443" s="287">
        <f t="shared" si="288"/>
        <v>134.16999999999999</v>
      </c>
      <c r="S443" s="287">
        <f t="shared" si="289"/>
        <v>188.55</v>
      </c>
      <c r="T443" s="287">
        <f t="shared" ref="T443:T490" si="333">SUM(P443:S443)</f>
        <v>322.72000000000003</v>
      </c>
      <c r="U443" s="287">
        <f t="shared" si="319"/>
        <v>230955.00999999998</v>
      </c>
      <c r="V443" s="287">
        <f t="shared" si="320"/>
        <v>322192.18999999977</v>
      </c>
      <c r="W443" s="287">
        <f t="shared" ref="W443:W490" si="334">+N443-P443</f>
        <v>0</v>
      </c>
      <c r="X443" s="519" t="str">
        <f t="shared" si="312"/>
        <v xml:space="preserve"> </v>
      </c>
      <c r="Y443" s="287">
        <f t="shared" si="298"/>
        <v>0</v>
      </c>
      <c r="Z443" s="511">
        <f t="shared" si="306"/>
        <v>7.0000000000000007E-2</v>
      </c>
      <c r="AA443" s="287">
        <f t="shared" si="307"/>
        <v>0</v>
      </c>
      <c r="AB443" s="287">
        <f t="shared" si="299"/>
        <v>0</v>
      </c>
      <c r="AC443" s="287">
        <f t="shared" si="308"/>
        <v>0</v>
      </c>
      <c r="AD443" s="287">
        <f t="shared" si="290"/>
        <v>134.16999999999999</v>
      </c>
      <c r="AE443" s="287">
        <f t="shared" si="291"/>
        <v>188.55</v>
      </c>
      <c r="AF443" s="287">
        <f t="shared" si="300"/>
        <v>322.72000000000003</v>
      </c>
      <c r="AG443" s="287">
        <f t="shared" si="301"/>
        <v>277225.64999999997</v>
      </c>
      <c r="AH443" s="287">
        <f t="shared" si="302"/>
        <v>319674.74999999983</v>
      </c>
      <c r="AI443" s="530">
        <f t="shared" si="292"/>
        <v>-43753.199999999772</v>
      </c>
      <c r="AJ443" s="530">
        <f t="shared" si="321"/>
        <v>0</v>
      </c>
      <c r="AK443" s="530">
        <f t="shared" si="293"/>
        <v>-43753.199999999772</v>
      </c>
      <c r="AL443" s="287">
        <f t="shared" si="303"/>
        <v>0</v>
      </c>
      <c r="AM443" s="428">
        <f t="shared" si="313"/>
        <v>32</v>
      </c>
      <c r="AN443" s="14">
        <f t="shared" si="294"/>
        <v>0</v>
      </c>
      <c r="AO443" s="14">
        <f t="shared" si="323"/>
        <v>0</v>
      </c>
      <c r="AP443" s="14">
        <f t="shared" si="295"/>
        <v>0</v>
      </c>
      <c r="AS443" s="14">
        <f t="shared" si="309"/>
        <v>0</v>
      </c>
      <c r="AT443" s="14">
        <f t="shared" si="314"/>
        <v>0</v>
      </c>
      <c r="AU443" s="287">
        <f t="shared" si="315"/>
        <v>0</v>
      </c>
      <c r="AV443" s="287">
        <f t="shared" si="316"/>
        <v>0</v>
      </c>
    </row>
    <row r="444" spans="1:48" x14ac:dyDescent="0.25">
      <c r="A444" s="519" t="str">
        <f t="shared" si="328"/>
        <v xml:space="preserve"> </v>
      </c>
      <c r="B444" s="287">
        <f t="shared" si="325"/>
        <v>0</v>
      </c>
      <c r="C444" s="14">
        <f t="shared" si="304"/>
        <v>0</v>
      </c>
      <c r="D444" s="14">
        <f t="shared" si="317"/>
        <v>0</v>
      </c>
      <c r="E444" s="14">
        <f t="shared" si="305"/>
        <v>0</v>
      </c>
      <c r="F444" s="14">
        <f t="shared" si="329"/>
        <v>134.16999999999999</v>
      </c>
      <c r="G444" s="14">
        <f t="shared" si="326"/>
        <v>188.55</v>
      </c>
      <c r="H444" s="14">
        <f t="shared" si="327"/>
        <v>322.72000000000003</v>
      </c>
      <c r="I444" s="287">
        <f t="shared" si="330"/>
        <v>187026.8299999999</v>
      </c>
      <c r="J444" s="287">
        <f t="shared" si="331"/>
        <v>96593.969999999914</v>
      </c>
      <c r="K444" s="287">
        <f t="shared" si="332"/>
        <v>0</v>
      </c>
      <c r="L444" s="428">
        <f t="shared" si="324"/>
        <v>32</v>
      </c>
      <c r="M444" s="428">
        <f t="shared" si="310"/>
        <v>385</v>
      </c>
      <c r="N444" s="287">
        <f t="shared" si="322"/>
        <v>0</v>
      </c>
      <c r="O444" s="287">
        <f t="shared" si="296"/>
        <v>0</v>
      </c>
      <c r="P444" s="287">
        <f t="shared" si="318"/>
        <v>0</v>
      </c>
      <c r="Q444" s="287">
        <f t="shared" si="297"/>
        <v>0</v>
      </c>
      <c r="R444" s="287">
        <f t="shared" ref="R444:R490" si="335">+R443</f>
        <v>134.16999999999999</v>
      </c>
      <c r="S444" s="287">
        <f t="shared" ref="S444:S490" si="336">+S443</f>
        <v>188.55</v>
      </c>
      <c r="T444" s="287">
        <f t="shared" si="333"/>
        <v>322.72000000000003</v>
      </c>
      <c r="U444" s="287">
        <f t="shared" si="319"/>
        <v>230955.00999999998</v>
      </c>
      <c r="V444" s="287">
        <f t="shared" si="320"/>
        <v>322192.18999999977</v>
      </c>
      <c r="W444" s="287">
        <f t="shared" si="334"/>
        <v>0</v>
      </c>
      <c r="X444" s="519" t="str">
        <f t="shared" si="312"/>
        <v xml:space="preserve"> </v>
      </c>
      <c r="Y444" s="287">
        <f t="shared" si="298"/>
        <v>0</v>
      </c>
      <c r="Z444" s="511">
        <f t="shared" si="306"/>
        <v>7.0000000000000007E-2</v>
      </c>
      <c r="AA444" s="287">
        <f t="shared" si="307"/>
        <v>0</v>
      </c>
      <c r="AB444" s="287">
        <f t="shared" si="299"/>
        <v>0</v>
      </c>
      <c r="AC444" s="287">
        <f t="shared" si="308"/>
        <v>0</v>
      </c>
      <c r="AD444" s="287">
        <f t="shared" ref="AD444:AD507" si="337">+AD443</f>
        <v>134.16999999999999</v>
      </c>
      <c r="AE444" s="287">
        <f t="shared" ref="AE444:AE507" si="338">+AE443</f>
        <v>188.55</v>
      </c>
      <c r="AF444" s="287">
        <f t="shared" si="300"/>
        <v>322.72000000000003</v>
      </c>
      <c r="AG444" s="287">
        <f t="shared" si="301"/>
        <v>277225.64999999997</v>
      </c>
      <c r="AH444" s="287">
        <f t="shared" si="302"/>
        <v>319674.74999999983</v>
      </c>
      <c r="AI444" s="530">
        <f t="shared" ref="AI444:AI507" si="339">O444-AA444+AI443</f>
        <v>-43753.199999999772</v>
      </c>
      <c r="AJ444" s="530">
        <f t="shared" si="321"/>
        <v>0</v>
      </c>
      <c r="AK444" s="530">
        <f t="shared" ref="AK444:AK507" si="340">SUM(AI444:AJ444)</f>
        <v>-43753.199999999772</v>
      </c>
      <c r="AL444" s="287">
        <f t="shared" si="303"/>
        <v>0</v>
      </c>
      <c r="AM444" s="428">
        <f t="shared" si="313"/>
        <v>32</v>
      </c>
      <c r="AN444" s="14">
        <f t="shared" ref="AN444:AN490" si="341">IF(O444=0,0,+O444-C444)</f>
        <v>0</v>
      </c>
      <c r="AO444" s="14">
        <f t="shared" si="323"/>
        <v>0</v>
      </c>
      <c r="AP444" s="14">
        <f t="shared" ref="AP444:AP490" si="342">IF($O444=0,0,+AA444-$C444)</f>
        <v>0</v>
      </c>
      <c r="AS444" s="14">
        <f t="shared" si="309"/>
        <v>0</v>
      </c>
      <c r="AT444" s="14">
        <f t="shared" si="314"/>
        <v>0</v>
      </c>
      <c r="AU444" s="287">
        <f t="shared" si="315"/>
        <v>0</v>
      </c>
      <c r="AV444" s="287">
        <f t="shared" si="316"/>
        <v>0</v>
      </c>
    </row>
    <row r="445" spans="1:48" x14ac:dyDescent="0.25">
      <c r="A445" s="519" t="str">
        <f t="shared" si="328"/>
        <v xml:space="preserve"> </v>
      </c>
      <c r="B445" s="287">
        <f t="shared" si="325"/>
        <v>0</v>
      </c>
      <c r="C445" s="14">
        <f t="shared" si="304"/>
        <v>0</v>
      </c>
      <c r="D445" s="14">
        <f t="shared" si="317"/>
        <v>0</v>
      </c>
      <c r="E445" s="14">
        <f t="shared" si="305"/>
        <v>0</v>
      </c>
      <c r="F445" s="14">
        <f t="shared" si="329"/>
        <v>134.16999999999999</v>
      </c>
      <c r="G445" s="14">
        <f t="shared" si="326"/>
        <v>188.55</v>
      </c>
      <c r="H445" s="14">
        <f t="shared" si="327"/>
        <v>322.72000000000003</v>
      </c>
      <c r="I445" s="287">
        <f t="shared" si="330"/>
        <v>187026.8299999999</v>
      </c>
      <c r="J445" s="287">
        <f t="shared" si="331"/>
        <v>96593.969999999914</v>
      </c>
      <c r="K445" s="287">
        <f t="shared" si="332"/>
        <v>0</v>
      </c>
      <c r="L445" s="428">
        <f t="shared" si="324"/>
        <v>32</v>
      </c>
      <c r="M445" s="428">
        <f t="shared" si="310"/>
        <v>386</v>
      </c>
      <c r="N445" s="287">
        <f t="shared" si="322"/>
        <v>0</v>
      </c>
      <c r="O445" s="287">
        <f t="shared" si="296"/>
        <v>0</v>
      </c>
      <c r="P445" s="287">
        <f t="shared" si="318"/>
        <v>0</v>
      </c>
      <c r="Q445" s="287">
        <f t="shared" si="297"/>
        <v>0</v>
      </c>
      <c r="R445" s="287">
        <f t="shared" si="335"/>
        <v>134.16999999999999</v>
      </c>
      <c r="S445" s="287">
        <f t="shared" si="336"/>
        <v>188.55</v>
      </c>
      <c r="T445" s="287">
        <f t="shared" si="333"/>
        <v>322.72000000000003</v>
      </c>
      <c r="U445" s="287">
        <f t="shared" si="319"/>
        <v>230955.00999999998</v>
      </c>
      <c r="V445" s="287">
        <f t="shared" si="320"/>
        <v>322192.18999999977</v>
      </c>
      <c r="W445" s="287">
        <f t="shared" si="334"/>
        <v>0</v>
      </c>
      <c r="X445" s="519" t="str">
        <f t="shared" si="312"/>
        <v xml:space="preserve"> </v>
      </c>
      <c r="Y445" s="287">
        <f t="shared" si="298"/>
        <v>0</v>
      </c>
      <c r="Z445" s="511">
        <f t="shared" si="306"/>
        <v>7.0000000000000007E-2</v>
      </c>
      <c r="AA445" s="287">
        <f t="shared" si="307"/>
        <v>0</v>
      </c>
      <c r="AB445" s="287">
        <f t="shared" si="299"/>
        <v>0</v>
      </c>
      <c r="AC445" s="287">
        <f t="shared" si="308"/>
        <v>0</v>
      </c>
      <c r="AD445" s="287">
        <f t="shared" si="337"/>
        <v>134.16999999999999</v>
      </c>
      <c r="AE445" s="287">
        <f t="shared" si="338"/>
        <v>188.55</v>
      </c>
      <c r="AF445" s="287">
        <f t="shared" si="300"/>
        <v>322.72000000000003</v>
      </c>
      <c r="AG445" s="287">
        <f t="shared" si="301"/>
        <v>277225.64999999997</v>
      </c>
      <c r="AH445" s="287">
        <f t="shared" si="302"/>
        <v>319674.74999999983</v>
      </c>
      <c r="AI445" s="530">
        <f t="shared" si="339"/>
        <v>-43753.199999999772</v>
      </c>
      <c r="AJ445" s="530">
        <f t="shared" si="321"/>
        <v>0</v>
      </c>
      <c r="AK445" s="530">
        <f t="shared" si="340"/>
        <v>-43753.199999999772</v>
      </c>
      <c r="AL445" s="287">
        <f t="shared" si="303"/>
        <v>0</v>
      </c>
      <c r="AM445" s="428">
        <f t="shared" si="313"/>
        <v>32</v>
      </c>
      <c r="AN445" s="14">
        <f t="shared" si="341"/>
        <v>0</v>
      </c>
      <c r="AO445" s="14">
        <f t="shared" si="323"/>
        <v>0</v>
      </c>
      <c r="AP445" s="14">
        <f t="shared" si="342"/>
        <v>0</v>
      </c>
      <c r="AS445" s="14">
        <f t="shared" si="309"/>
        <v>0</v>
      </c>
      <c r="AT445" s="14">
        <f t="shared" si="314"/>
        <v>0</v>
      </c>
      <c r="AU445" s="287">
        <f t="shared" si="315"/>
        <v>0</v>
      </c>
      <c r="AV445" s="287">
        <f t="shared" si="316"/>
        <v>0</v>
      </c>
    </row>
    <row r="446" spans="1:48" ht="15.75" thickBot="1" x14ac:dyDescent="0.3">
      <c r="A446" s="522" t="str">
        <f t="shared" si="328"/>
        <v xml:space="preserve"> </v>
      </c>
      <c r="B446" s="348">
        <f t="shared" si="325"/>
        <v>0</v>
      </c>
      <c r="C446" s="21">
        <f t="shared" si="304"/>
        <v>0</v>
      </c>
      <c r="D446" s="21">
        <f t="shared" si="317"/>
        <v>0</v>
      </c>
      <c r="E446" s="21">
        <f t="shared" si="305"/>
        <v>0</v>
      </c>
      <c r="F446" s="21">
        <f t="shared" si="329"/>
        <v>134.16999999999999</v>
      </c>
      <c r="G446" s="21">
        <f t="shared" si="326"/>
        <v>188.55</v>
      </c>
      <c r="H446" s="21">
        <f t="shared" si="327"/>
        <v>322.72000000000003</v>
      </c>
      <c r="I446" s="348">
        <f t="shared" si="330"/>
        <v>187026.8299999999</v>
      </c>
      <c r="J446" s="348">
        <f t="shared" si="331"/>
        <v>96593.969999999914</v>
      </c>
      <c r="K446" s="348">
        <f t="shared" si="332"/>
        <v>0</v>
      </c>
      <c r="L446" s="429">
        <f t="shared" si="324"/>
        <v>32</v>
      </c>
      <c r="M446" s="429">
        <f t="shared" si="310"/>
        <v>387</v>
      </c>
      <c r="N446" s="348">
        <f t="shared" si="322"/>
        <v>0</v>
      </c>
      <c r="O446" s="348">
        <f t="shared" ref="O446:O490" si="343">IF($O$9&lt;=A446,IF(+$W445&lt;=0,0,$O$8),0)</f>
        <v>0</v>
      </c>
      <c r="P446" s="348">
        <f t="shared" si="318"/>
        <v>0</v>
      </c>
      <c r="Q446" s="348">
        <f t="shared" ref="Q446:Q490" si="344">IF($O$9&lt;=A446,ROUND(N446*($O$6/12),2),0)</f>
        <v>0</v>
      </c>
      <c r="R446" s="348">
        <f t="shared" si="335"/>
        <v>134.16999999999999</v>
      </c>
      <c r="S446" s="348">
        <f t="shared" si="336"/>
        <v>188.55</v>
      </c>
      <c r="T446" s="348">
        <f t="shared" si="333"/>
        <v>322.72000000000003</v>
      </c>
      <c r="U446" s="348">
        <f t="shared" si="319"/>
        <v>230955.00999999998</v>
      </c>
      <c r="V446" s="348">
        <f t="shared" si="320"/>
        <v>322192.18999999977</v>
      </c>
      <c r="W446" s="348">
        <f t="shared" si="334"/>
        <v>0</v>
      </c>
      <c r="X446" s="522" t="str">
        <f t="shared" si="312"/>
        <v xml:space="preserve"> </v>
      </c>
      <c r="Y446" s="348">
        <f t="shared" ref="Y446:Y509" si="345">IF(+AL445&lt;0,0,+AL445)</f>
        <v>0</v>
      </c>
      <c r="Z446" s="512">
        <f t="shared" si="306"/>
        <v>7.0000000000000007E-2</v>
      </c>
      <c r="AA446" s="348">
        <f t="shared" si="307"/>
        <v>0</v>
      </c>
      <c r="AB446" s="348">
        <f t="shared" ref="AB446:AB509" si="346">+AA446-AC446</f>
        <v>0</v>
      </c>
      <c r="AC446" s="348">
        <f t="shared" si="308"/>
        <v>0</v>
      </c>
      <c r="AD446" s="348">
        <f t="shared" si="337"/>
        <v>134.16999999999999</v>
      </c>
      <c r="AE446" s="348">
        <f t="shared" si="338"/>
        <v>188.55</v>
      </c>
      <c r="AF446" s="348">
        <f t="shared" ref="AF446:AF509" si="347">SUM(AB446:AE446)</f>
        <v>322.72000000000003</v>
      </c>
      <c r="AG446" s="348">
        <f t="shared" ref="AG446:AG509" si="348">+AB446+AG445</f>
        <v>277225.64999999997</v>
      </c>
      <c r="AH446" s="348">
        <f t="shared" ref="AH446:AH509" si="349">+AH445+AC446</f>
        <v>319674.74999999983</v>
      </c>
      <c r="AI446" s="531">
        <f t="shared" si="339"/>
        <v>-43753.199999999772</v>
      </c>
      <c r="AJ446" s="531">
        <f t="shared" si="321"/>
        <v>0</v>
      </c>
      <c r="AK446" s="530">
        <f t="shared" si="340"/>
        <v>-43753.199999999772</v>
      </c>
      <c r="AL446" s="348">
        <f t="shared" ref="AL446:AL509" si="350">+Y446-AB446</f>
        <v>0</v>
      </c>
      <c r="AM446" s="429">
        <f t="shared" si="313"/>
        <v>32</v>
      </c>
      <c r="AN446" s="21">
        <f t="shared" si="341"/>
        <v>0</v>
      </c>
      <c r="AO446" s="21">
        <f t="shared" si="323"/>
        <v>0</v>
      </c>
      <c r="AP446" s="21">
        <f t="shared" si="342"/>
        <v>0</v>
      </c>
      <c r="AQ446" s="21"/>
      <c r="AR446" s="23"/>
      <c r="AS446" s="21">
        <f t="shared" si="309"/>
        <v>0</v>
      </c>
      <c r="AT446" s="21">
        <f t="shared" si="314"/>
        <v>0</v>
      </c>
      <c r="AU446" s="348">
        <f t="shared" si="315"/>
        <v>0</v>
      </c>
      <c r="AV446" s="348">
        <f t="shared" si="316"/>
        <v>0</v>
      </c>
    </row>
    <row r="447" spans="1:48" x14ac:dyDescent="0.25">
      <c r="A447" s="519" t="str">
        <f t="shared" si="328"/>
        <v xml:space="preserve"> </v>
      </c>
      <c r="B447" s="287">
        <f t="shared" si="325"/>
        <v>0</v>
      </c>
      <c r="C447" s="14">
        <f t="shared" si="304"/>
        <v>0</v>
      </c>
      <c r="D447" s="14">
        <f t="shared" si="317"/>
        <v>0</v>
      </c>
      <c r="E447" s="14">
        <f t="shared" si="305"/>
        <v>0</v>
      </c>
      <c r="F447" s="14">
        <f t="shared" si="329"/>
        <v>134.16999999999999</v>
      </c>
      <c r="G447" s="14">
        <f t="shared" si="326"/>
        <v>188.55</v>
      </c>
      <c r="H447" s="14">
        <f t="shared" si="327"/>
        <v>322.72000000000003</v>
      </c>
      <c r="I447" s="287">
        <f t="shared" si="330"/>
        <v>187026.8299999999</v>
      </c>
      <c r="J447" s="287">
        <f t="shared" si="331"/>
        <v>96593.969999999914</v>
      </c>
      <c r="K447" s="287">
        <f t="shared" si="332"/>
        <v>0</v>
      </c>
      <c r="L447" s="428">
        <f t="shared" si="324"/>
        <v>32</v>
      </c>
      <c r="M447" s="428">
        <f t="shared" si="310"/>
        <v>388</v>
      </c>
      <c r="N447" s="287">
        <f t="shared" si="322"/>
        <v>0</v>
      </c>
      <c r="O447" s="287">
        <f t="shared" si="343"/>
        <v>0</v>
      </c>
      <c r="P447" s="287">
        <f t="shared" si="318"/>
        <v>0</v>
      </c>
      <c r="Q447" s="287">
        <f t="shared" si="344"/>
        <v>0</v>
      </c>
      <c r="R447" s="287">
        <f t="shared" si="335"/>
        <v>134.16999999999999</v>
      </c>
      <c r="S447" s="287">
        <f t="shared" si="336"/>
        <v>188.55</v>
      </c>
      <c r="T447" s="287">
        <f t="shared" si="333"/>
        <v>322.72000000000003</v>
      </c>
      <c r="U447" s="287">
        <f t="shared" si="319"/>
        <v>230955.00999999998</v>
      </c>
      <c r="V447" s="287">
        <f t="shared" si="320"/>
        <v>322192.18999999977</v>
      </c>
      <c r="W447" s="287">
        <f t="shared" si="334"/>
        <v>0</v>
      </c>
      <c r="X447" s="519" t="str">
        <f t="shared" si="312"/>
        <v xml:space="preserve"> </v>
      </c>
      <c r="Y447" s="287">
        <f t="shared" si="345"/>
        <v>0</v>
      </c>
      <c r="Z447" s="511">
        <f t="shared" si="306"/>
        <v>7.0000000000000007E-2</v>
      </c>
      <c r="AA447" s="287">
        <f t="shared" si="307"/>
        <v>0</v>
      </c>
      <c r="AB447" s="287">
        <f t="shared" si="346"/>
        <v>0</v>
      </c>
      <c r="AC447" s="287">
        <f t="shared" si="308"/>
        <v>0</v>
      </c>
      <c r="AD447" s="287">
        <f t="shared" si="337"/>
        <v>134.16999999999999</v>
      </c>
      <c r="AE447" s="287">
        <f t="shared" si="338"/>
        <v>188.55</v>
      </c>
      <c r="AF447" s="287">
        <f t="shared" si="347"/>
        <v>322.72000000000003</v>
      </c>
      <c r="AG447" s="287">
        <f t="shared" si="348"/>
        <v>277225.64999999997</v>
      </c>
      <c r="AH447" s="287">
        <f t="shared" si="349"/>
        <v>319674.74999999983</v>
      </c>
      <c r="AI447" s="530">
        <f t="shared" si="339"/>
        <v>-43753.199999999772</v>
      </c>
      <c r="AJ447" s="530">
        <f t="shared" si="321"/>
        <v>0</v>
      </c>
      <c r="AK447" s="530">
        <f t="shared" si="340"/>
        <v>-43753.199999999772</v>
      </c>
      <c r="AL447" s="287">
        <f t="shared" si="350"/>
        <v>0</v>
      </c>
      <c r="AM447" s="428">
        <f t="shared" si="313"/>
        <v>32</v>
      </c>
      <c r="AN447" s="14">
        <f t="shared" si="341"/>
        <v>0</v>
      </c>
      <c r="AO447" s="14">
        <f t="shared" si="323"/>
        <v>0</v>
      </c>
      <c r="AP447" s="14">
        <f t="shared" si="342"/>
        <v>0</v>
      </c>
      <c r="AS447" s="14">
        <f t="shared" si="309"/>
        <v>0</v>
      </c>
      <c r="AT447" s="14">
        <f t="shared" si="314"/>
        <v>0</v>
      </c>
      <c r="AU447" s="287">
        <f t="shared" si="315"/>
        <v>0</v>
      </c>
      <c r="AV447" s="287">
        <f t="shared" si="316"/>
        <v>0</v>
      </c>
    </row>
    <row r="448" spans="1:48" x14ac:dyDescent="0.25">
      <c r="A448" s="519" t="str">
        <f t="shared" si="328"/>
        <v xml:space="preserve"> </v>
      </c>
      <c r="B448" s="287">
        <f t="shared" si="325"/>
        <v>0</v>
      </c>
      <c r="C448" s="14">
        <f t="shared" si="304"/>
        <v>0</v>
      </c>
      <c r="D448" s="14">
        <f t="shared" si="317"/>
        <v>0</v>
      </c>
      <c r="E448" s="14">
        <f t="shared" si="305"/>
        <v>0</v>
      </c>
      <c r="F448" s="14">
        <f t="shared" si="329"/>
        <v>134.16999999999999</v>
      </c>
      <c r="G448" s="14">
        <f t="shared" si="326"/>
        <v>188.55</v>
      </c>
      <c r="H448" s="14">
        <f t="shared" si="327"/>
        <v>322.72000000000003</v>
      </c>
      <c r="I448" s="287">
        <f t="shared" si="330"/>
        <v>187026.8299999999</v>
      </c>
      <c r="J448" s="287">
        <f t="shared" si="331"/>
        <v>96593.969999999914</v>
      </c>
      <c r="K448" s="287">
        <f t="shared" si="332"/>
        <v>0</v>
      </c>
      <c r="L448" s="428">
        <f t="shared" si="324"/>
        <v>32</v>
      </c>
      <c r="M448" s="428">
        <f t="shared" si="310"/>
        <v>389</v>
      </c>
      <c r="N448" s="287">
        <f t="shared" si="322"/>
        <v>0</v>
      </c>
      <c r="O448" s="287">
        <f t="shared" si="343"/>
        <v>0</v>
      </c>
      <c r="P448" s="287">
        <f t="shared" si="318"/>
        <v>0</v>
      </c>
      <c r="Q448" s="287">
        <f t="shared" si="344"/>
        <v>0</v>
      </c>
      <c r="R448" s="287">
        <f t="shared" si="335"/>
        <v>134.16999999999999</v>
      </c>
      <c r="S448" s="287">
        <f t="shared" si="336"/>
        <v>188.55</v>
      </c>
      <c r="T448" s="287">
        <f t="shared" si="333"/>
        <v>322.72000000000003</v>
      </c>
      <c r="U448" s="287">
        <f t="shared" si="319"/>
        <v>230955.00999999998</v>
      </c>
      <c r="V448" s="287">
        <f t="shared" si="320"/>
        <v>322192.18999999977</v>
      </c>
      <c r="W448" s="287">
        <f t="shared" si="334"/>
        <v>0</v>
      </c>
      <c r="X448" s="519" t="str">
        <f t="shared" si="312"/>
        <v xml:space="preserve"> </v>
      </c>
      <c r="Y448" s="287">
        <f t="shared" si="345"/>
        <v>0</v>
      </c>
      <c r="Z448" s="511">
        <f t="shared" si="306"/>
        <v>7.0000000000000007E-2</v>
      </c>
      <c r="AA448" s="287">
        <f t="shared" si="307"/>
        <v>0</v>
      </c>
      <c r="AB448" s="287">
        <f t="shared" si="346"/>
        <v>0</v>
      </c>
      <c r="AC448" s="287">
        <f t="shared" si="308"/>
        <v>0</v>
      </c>
      <c r="AD448" s="287">
        <f t="shared" si="337"/>
        <v>134.16999999999999</v>
      </c>
      <c r="AE448" s="287">
        <f t="shared" si="338"/>
        <v>188.55</v>
      </c>
      <c r="AF448" s="287">
        <f t="shared" si="347"/>
        <v>322.72000000000003</v>
      </c>
      <c r="AG448" s="287">
        <f t="shared" si="348"/>
        <v>277225.64999999997</v>
      </c>
      <c r="AH448" s="287">
        <f t="shared" si="349"/>
        <v>319674.74999999983</v>
      </c>
      <c r="AI448" s="530">
        <f t="shared" si="339"/>
        <v>-43753.199999999772</v>
      </c>
      <c r="AJ448" s="530">
        <f t="shared" si="321"/>
        <v>0</v>
      </c>
      <c r="AK448" s="530">
        <f t="shared" si="340"/>
        <v>-43753.199999999772</v>
      </c>
      <c r="AL448" s="287">
        <f t="shared" si="350"/>
        <v>0</v>
      </c>
      <c r="AM448" s="428">
        <f t="shared" si="313"/>
        <v>32</v>
      </c>
      <c r="AN448" s="14">
        <f t="shared" si="341"/>
        <v>0</v>
      </c>
      <c r="AO448" s="14">
        <f t="shared" si="323"/>
        <v>0</v>
      </c>
      <c r="AP448" s="14">
        <f t="shared" si="342"/>
        <v>0</v>
      </c>
      <c r="AS448" s="14">
        <f t="shared" si="309"/>
        <v>0</v>
      </c>
      <c r="AT448" s="14">
        <f t="shared" si="314"/>
        <v>0</v>
      </c>
      <c r="AU448" s="287">
        <f t="shared" si="315"/>
        <v>0</v>
      </c>
      <c r="AV448" s="287">
        <f t="shared" si="316"/>
        <v>0</v>
      </c>
    </row>
    <row r="449" spans="1:48" x14ac:dyDescent="0.25">
      <c r="A449" s="519" t="str">
        <f t="shared" si="328"/>
        <v xml:space="preserve"> </v>
      </c>
      <c r="B449" s="287">
        <f t="shared" si="325"/>
        <v>0</v>
      </c>
      <c r="C449" s="14">
        <f t="shared" si="304"/>
        <v>0</v>
      </c>
      <c r="D449" s="14">
        <f t="shared" si="317"/>
        <v>0</v>
      </c>
      <c r="E449" s="14">
        <f t="shared" si="305"/>
        <v>0</v>
      </c>
      <c r="F449" s="14">
        <f t="shared" si="329"/>
        <v>134.16999999999999</v>
      </c>
      <c r="G449" s="14">
        <f t="shared" si="326"/>
        <v>188.55</v>
      </c>
      <c r="H449" s="14">
        <f t="shared" si="327"/>
        <v>322.72000000000003</v>
      </c>
      <c r="I449" s="287">
        <f t="shared" si="330"/>
        <v>187026.8299999999</v>
      </c>
      <c r="J449" s="287">
        <f t="shared" si="331"/>
        <v>96593.969999999914</v>
      </c>
      <c r="K449" s="287">
        <f t="shared" si="332"/>
        <v>0</v>
      </c>
      <c r="L449" s="428">
        <f t="shared" si="324"/>
        <v>32</v>
      </c>
      <c r="M449" s="428">
        <f t="shared" si="310"/>
        <v>390</v>
      </c>
      <c r="N449" s="287">
        <f t="shared" si="322"/>
        <v>0</v>
      </c>
      <c r="O449" s="287">
        <f t="shared" si="343"/>
        <v>0</v>
      </c>
      <c r="P449" s="287">
        <f t="shared" si="318"/>
        <v>0</v>
      </c>
      <c r="Q449" s="287">
        <f t="shared" si="344"/>
        <v>0</v>
      </c>
      <c r="R449" s="287">
        <f t="shared" si="335"/>
        <v>134.16999999999999</v>
      </c>
      <c r="S449" s="287">
        <f t="shared" si="336"/>
        <v>188.55</v>
      </c>
      <c r="T449" s="287">
        <f t="shared" si="333"/>
        <v>322.72000000000003</v>
      </c>
      <c r="U449" s="287">
        <f t="shared" si="319"/>
        <v>230955.00999999998</v>
      </c>
      <c r="V449" s="287">
        <f t="shared" si="320"/>
        <v>322192.18999999977</v>
      </c>
      <c r="W449" s="287">
        <f t="shared" si="334"/>
        <v>0</v>
      </c>
      <c r="X449" s="519" t="str">
        <f t="shared" si="312"/>
        <v xml:space="preserve"> </v>
      </c>
      <c r="Y449" s="287">
        <f t="shared" si="345"/>
        <v>0</v>
      </c>
      <c r="Z449" s="511">
        <f t="shared" si="306"/>
        <v>7.0000000000000007E-2</v>
      </c>
      <c r="AA449" s="287">
        <f t="shared" si="307"/>
        <v>0</v>
      </c>
      <c r="AB449" s="287">
        <f t="shared" si="346"/>
        <v>0</v>
      </c>
      <c r="AC449" s="287">
        <f t="shared" si="308"/>
        <v>0</v>
      </c>
      <c r="AD449" s="287">
        <f t="shared" si="337"/>
        <v>134.16999999999999</v>
      </c>
      <c r="AE449" s="287">
        <f t="shared" si="338"/>
        <v>188.55</v>
      </c>
      <c r="AF449" s="287">
        <f t="shared" si="347"/>
        <v>322.72000000000003</v>
      </c>
      <c r="AG449" s="287">
        <f t="shared" si="348"/>
        <v>277225.64999999997</v>
      </c>
      <c r="AH449" s="287">
        <f t="shared" si="349"/>
        <v>319674.74999999983</v>
      </c>
      <c r="AI449" s="530">
        <f t="shared" si="339"/>
        <v>-43753.199999999772</v>
      </c>
      <c r="AJ449" s="530">
        <f t="shared" si="321"/>
        <v>0</v>
      </c>
      <c r="AK449" s="530">
        <f t="shared" si="340"/>
        <v>-43753.199999999772</v>
      </c>
      <c r="AL449" s="287">
        <f t="shared" si="350"/>
        <v>0</v>
      </c>
      <c r="AM449" s="428">
        <f t="shared" si="313"/>
        <v>32</v>
      </c>
      <c r="AN449" s="14">
        <f t="shared" si="341"/>
        <v>0</v>
      </c>
      <c r="AO449" s="14">
        <f t="shared" si="323"/>
        <v>0</v>
      </c>
      <c r="AP449" s="14">
        <f t="shared" si="342"/>
        <v>0</v>
      </c>
      <c r="AS449" s="14">
        <f t="shared" si="309"/>
        <v>0</v>
      </c>
      <c r="AT449" s="14">
        <f t="shared" si="314"/>
        <v>0</v>
      </c>
      <c r="AU449" s="287">
        <f t="shared" si="315"/>
        <v>0</v>
      </c>
      <c r="AV449" s="287">
        <f t="shared" si="316"/>
        <v>0</v>
      </c>
    </row>
    <row r="450" spans="1:48" x14ac:dyDescent="0.25">
      <c r="A450" s="519" t="str">
        <f t="shared" si="328"/>
        <v xml:space="preserve"> </v>
      </c>
      <c r="B450" s="287">
        <f t="shared" si="325"/>
        <v>0</v>
      </c>
      <c r="C450" s="14">
        <f t="shared" si="304"/>
        <v>0</v>
      </c>
      <c r="D450" s="14">
        <f t="shared" si="317"/>
        <v>0</v>
      </c>
      <c r="E450" s="14">
        <f t="shared" si="305"/>
        <v>0</v>
      </c>
      <c r="F450" s="14">
        <f t="shared" si="329"/>
        <v>134.16999999999999</v>
      </c>
      <c r="G450" s="14">
        <f t="shared" si="326"/>
        <v>188.55</v>
      </c>
      <c r="H450" s="14">
        <f t="shared" si="327"/>
        <v>322.72000000000003</v>
      </c>
      <c r="I450" s="287">
        <f t="shared" si="330"/>
        <v>187026.8299999999</v>
      </c>
      <c r="J450" s="287">
        <f t="shared" si="331"/>
        <v>96593.969999999914</v>
      </c>
      <c r="K450" s="287">
        <f t="shared" si="332"/>
        <v>0</v>
      </c>
      <c r="L450" s="428">
        <f t="shared" si="324"/>
        <v>32</v>
      </c>
      <c r="M450" s="428">
        <f t="shared" si="310"/>
        <v>391</v>
      </c>
      <c r="N450" s="287">
        <f t="shared" si="322"/>
        <v>0</v>
      </c>
      <c r="O450" s="287">
        <f t="shared" si="343"/>
        <v>0</v>
      </c>
      <c r="P450" s="287">
        <f t="shared" si="318"/>
        <v>0</v>
      </c>
      <c r="Q450" s="287">
        <f t="shared" si="344"/>
        <v>0</v>
      </c>
      <c r="R450" s="287">
        <f t="shared" si="335"/>
        <v>134.16999999999999</v>
      </c>
      <c r="S450" s="287">
        <f t="shared" si="336"/>
        <v>188.55</v>
      </c>
      <c r="T450" s="287">
        <f t="shared" si="333"/>
        <v>322.72000000000003</v>
      </c>
      <c r="U450" s="287">
        <f t="shared" si="319"/>
        <v>230955.00999999998</v>
      </c>
      <c r="V450" s="287">
        <f t="shared" si="320"/>
        <v>322192.18999999977</v>
      </c>
      <c r="W450" s="287">
        <f t="shared" si="334"/>
        <v>0</v>
      </c>
      <c r="X450" s="519" t="str">
        <f t="shared" si="312"/>
        <v xml:space="preserve"> </v>
      </c>
      <c r="Y450" s="287">
        <f t="shared" si="345"/>
        <v>0</v>
      </c>
      <c r="Z450" s="511">
        <f t="shared" si="306"/>
        <v>7.0000000000000007E-2</v>
      </c>
      <c r="AA450" s="287">
        <f t="shared" si="307"/>
        <v>0</v>
      </c>
      <c r="AB450" s="287">
        <f t="shared" si="346"/>
        <v>0</v>
      </c>
      <c r="AC450" s="287">
        <f t="shared" si="308"/>
        <v>0</v>
      </c>
      <c r="AD450" s="287">
        <f t="shared" si="337"/>
        <v>134.16999999999999</v>
      </c>
      <c r="AE450" s="287">
        <f t="shared" si="338"/>
        <v>188.55</v>
      </c>
      <c r="AF450" s="287">
        <f t="shared" si="347"/>
        <v>322.72000000000003</v>
      </c>
      <c r="AG450" s="287">
        <f t="shared" si="348"/>
        <v>277225.64999999997</v>
      </c>
      <c r="AH450" s="287">
        <f t="shared" si="349"/>
        <v>319674.74999999983</v>
      </c>
      <c r="AI450" s="530">
        <f t="shared" si="339"/>
        <v>-43753.199999999772</v>
      </c>
      <c r="AJ450" s="530">
        <f t="shared" si="321"/>
        <v>0</v>
      </c>
      <c r="AK450" s="530">
        <f t="shared" si="340"/>
        <v>-43753.199999999772</v>
      </c>
      <c r="AL450" s="287">
        <f t="shared" si="350"/>
        <v>0</v>
      </c>
      <c r="AM450" s="428">
        <f t="shared" si="313"/>
        <v>32</v>
      </c>
      <c r="AN450" s="14">
        <f t="shared" si="341"/>
        <v>0</v>
      </c>
      <c r="AO450" s="14">
        <f t="shared" si="323"/>
        <v>0</v>
      </c>
      <c r="AP450" s="14">
        <f t="shared" si="342"/>
        <v>0</v>
      </c>
      <c r="AS450" s="14">
        <f t="shared" si="309"/>
        <v>0</v>
      </c>
      <c r="AT450" s="14">
        <f t="shared" si="314"/>
        <v>0</v>
      </c>
      <c r="AU450" s="287">
        <f t="shared" si="315"/>
        <v>0</v>
      </c>
      <c r="AV450" s="287">
        <f t="shared" si="316"/>
        <v>0</v>
      </c>
    </row>
    <row r="451" spans="1:48" x14ac:dyDescent="0.25">
      <c r="A451" s="519" t="str">
        <f t="shared" si="328"/>
        <v xml:space="preserve"> </v>
      </c>
      <c r="B451" s="287">
        <f t="shared" si="325"/>
        <v>0</v>
      </c>
      <c r="C451" s="14">
        <f t="shared" si="304"/>
        <v>0</v>
      </c>
      <c r="D451" s="14">
        <f t="shared" si="317"/>
        <v>0</v>
      </c>
      <c r="E451" s="14">
        <f t="shared" si="305"/>
        <v>0</v>
      </c>
      <c r="F451" s="14">
        <f t="shared" si="329"/>
        <v>134.16999999999999</v>
      </c>
      <c r="G451" s="14">
        <f t="shared" si="326"/>
        <v>188.55</v>
      </c>
      <c r="H451" s="14">
        <f t="shared" si="327"/>
        <v>322.72000000000003</v>
      </c>
      <c r="I451" s="287">
        <f t="shared" si="330"/>
        <v>187026.8299999999</v>
      </c>
      <c r="J451" s="287">
        <f t="shared" si="331"/>
        <v>96593.969999999914</v>
      </c>
      <c r="K451" s="287">
        <f t="shared" si="332"/>
        <v>0</v>
      </c>
      <c r="L451" s="428">
        <f t="shared" si="324"/>
        <v>32</v>
      </c>
      <c r="M451" s="428">
        <f t="shared" si="310"/>
        <v>392</v>
      </c>
      <c r="N451" s="287">
        <f t="shared" si="322"/>
        <v>0</v>
      </c>
      <c r="O451" s="287">
        <f t="shared" si="343"/>
        <v>0</v>
      </c>
      <c r="P451" s="287">
        <f t="shared" si="318"/>
        <v>0</v>
      </c>
      <c r="Q451" s="287">
        <f t="shared" si="344"/>
        <v>0</v>
      </c>
      <c r="R451" s="287">
        <f t="shared" si="335"/>
        <v>134.16999999999999</v>
      </c>
      <c r="S451" s="287">
        <f t="shared" si="336"/>
        <v>188.55</v>
      </c>
      <c r="T451" s="287">
        <f t="shared" si="333"/>
        <v>322.72000000000003</v>
      </c>
      <c r="U451" s="287">
        <f t="shared" si="319"/>
        <v>230955.00999999998</v>
      </c>
      <c r="V451" s="287">
        <f t="shared" si="320"/>
        <v>322192.18999999977</v>
      </c>
      <c r="W451" s="287">
        <f t="shared" si="334"/>
        <v>0</v>
      </c>
      <c r="X451" s="519" t="str">
        <f t="shared" si="312"/>
        <v xml:space="preserve"> </v>
      </c>
      <c r="Y451" s="287">
        <f t="shared" si="345"/>
        <v>0</v>
      </c>
      <c r="Z451" s="511">
        <f t="shared" si="306"/>
        <v>7.0000000000000007E-2</v>
      </c>
      <c r="AA451" s="287">
        <f t="shared" si="307"/>
        <v>0</v>
      </c>
      <c r="AB451" s="287">
        <f t="shared" si="346"/>
        <v>0</v>
      </c>
      <c r="AC451" s="287">
        <f t="shared" si="308"/>
        <v>0</v>
      </c>
      <c r="AD451" s="287">
        <f t="shared" si="337"/>
        <v>134.16999999999999</v>
      </c>
      <c r="AE451" s="287">
        <f t="shared" si="338"/>
        <v>188.55</v>
      </c>
      <c r="AF451" s="287">
        <f t="shared" si="347"/>
        <v>322.72000000000003</v>
      </c>
      <c r="AG451" s="287">
        <f t="shared" si="348"/>
        <v>277225.64999999997</v>
      </c>
      <c r="AH451" s="287">
        <f t="shared" si="349"/>
        <v>319674.74999999983</v>
      </c>
      <c r="AI451" s="530">
        <f t="shared" si="339"/>
        <v>-43753.199999999772</v>
      </c>
      <c r="AJ451" s="530">
        <f t="shared" si="321"/>
        <v>0</v>
      </c>
      <c r="AK451" s="530">
        <f t="shared" si="340"/>
        <v>-43753.199999999772</v>
      </c>
      <c r="AL451" s="287">
        <f t="shared" si="350"/>
        <v>0</v>
      </c>
      <c r="AM451" s="428">
        <f t="shared" si="313"/>
        <v>32</v>
      </c>
      <c r="AN451" s="14">
        <f t="shared" si="341"/>
        <v>0</v>
      </c>
      <c r="AO451" s="14">
        <f t="shared" si="323"/>
        <v>0</v>
      </c>
      <c r="AP451" s="14">
        <f t="shared" si="342"/>
        <v>0</v>
      </c>
      <c r="AS451" s="14">
        <f t="shared" si="309"/>
        <v>0</v>
      </c>
      <c r="AT451" s="14">
        <f t="shared" si="314"/>
        <v>0</v>
      </c>
      <c r="AU451" s="287">
        <f t="shared" si="315"/>
        <v>0</v>
      </c>
      <c r="AV451" s="287">
        <f t="shared" si="316"/>
        <v>0</v>
      </c>
    </row>
    <row r="452" spans="1:48" x14ac:dyDescent="0.25">
      <c r="A452" s="519" t="str">
        <f t="shared" si="328"/>
        <v xml:space="preserve"> </v>
      </c>
      <c r="B452" s="287">
        <f t="shared" si="325"/>
        <v>0</v>
      </c>
      <c r="C452" s="14">
        <f t="shared" si="304"/>
        <v>0</v>
      </c>
      <c r="D452" s="14">
        <f t="shared" si="317"/>
        <v>0</v>
      </c>
      <c r="E452" s="14">
        <f t="shared" si="305"/>
        <v>0</v>
      </c>
      <c r="F452" s="14">
        <f t="shared" si="329"/>
        <v>134.16999999999999</v>
      </c>
      <c r="G452" s="14">
        <f t="shared" si="326"/>
        <v>188.55</v>
      </c>
      <c r="H452" s="14">
        <f t="shared" si="327"/>
        <v>322.72000000000003</v>
      </c>
      <c r="I452" s="287">
        <f t="shared" si="330"/>
        <v>187026.8299999999</v>
      </c>
      <c r="J452" s="287">
        <f t="shared" si="331"/>
        <v>96593.969999999914</v>
      </c>
      <c r="K452" s="287">
        <f t="shared" si="332"/>
        <v>0</v>
      </c>
      <c r="L452" s="428">
        <f t="shared" si="324"/>
        <v>32</v>
      </c>
      <c r="M452" s="428">
        <f t="shared" si="310"/>
        <v>393</v>
      </c>
      <c r="N452" s="287">
        <f t="shared" si="322"/>
        <v>0</v>
      </c>
      <c r="O452" s="287">
        <f t="shared" si="343"/>
        <v>0</v>
      </c>
      <c r="P452" s="287">
        <f t="shared" si="318"/>
        <v>0</v>
      </c>
      <c r="Q452" s="287">
        <f t="shared" si="344"/>
        <v>0</v>
      </c>
      <c r="R452" s="287">
        <f t="shared" si="335"/>
        <v>134.16999999999999</v>
      </c>
      <c r="S452" s="287">
        <f t="shared" si="336"/>
        <v>188.55</v>
      </c>
      <c r="T452" s="287">
        <f t="shared" si="333"/>
        <v>322.72000000000003</v>
      </c>
      <c r="U452" s="287">
        <f t="shared" si="319"/>
        <v>230955.00999999998</v>
      </c>
      <c r="V452" s="287">
        <f t="shared" si="320"/>
        <v>322192.18999999977</v>
      </c>
      <c r="W452" s="287">
        <f t="shared" si="334"/>
        <v>0</v>
      </c>
      <c r="X452" s="519" t="str">
        <f t="shared" si="312"/>
        <v xml:space="preserve"> </v>
      </c>
      <c r="Y452" s="287">
        <f t="shared" si="345"/>
        <v>0</v>
      </c>
      <c r="Z452" s="511">
        <f t="shared" si="306"/>
        <v>7.0000000000000007E-2</v>
      </c>
      <c r="AA452" s="287">
        <f t="shared" si="307"/>
        <v>0</v>
      </c>
      <c r="AB452" s="287">
        <f t="shared" si="346"/>
        <v>0</v>
      </c>
      <c r="AC452" s="287">
        <f t="shared" si="308"/>
        <v>0</v>
      </c>
      <c r="AD452" s="287">
        <f t="shared" si="337"/>
        <v>134.16999999999999</v>
      </c>
      <c r="AE452" s="287">
        <f t="shared" si="338"/>
        <v>188.55</v>
      </c>
      <c r="AF452" s="287">
        <f t="shared" si="347"/>
        <v>322.72000000000003</v>
      </c>
      <c r="AG452" s="287">
        <f t="shared" si="348"/>
        <v>277225.64999999997</v>
      </c>
      <c r="AH452" s="287">
        <f t="shared" si="349"/>
        <v>319674.74999999983</v>
      </c>
      <c r="AI452" s="530">
        <f t="shared" si="339"/>
        <v>-43753.199999999772</v>
      </c>
      <c r="AJ452" s="530">
        <f t="shared" si="321"/>
        <v>0</v>
      </c>
      <c r="AK452" s="530">
        <f t="shared" si="340"/>
        <v>-43753.199999999772</v>
      </c>
      <c r="AL452" s="287">
        <f t="shared" si="350"/>
        <v>0</v>
      </c>
      <c r="AM452" s="428">
        <f t="shared" si="313"/>
        <v>32</v>
      </c>
      <c r="AN452" s="14">
        <f t="shared" si="341"/>
        <v>0</v>
      </c>
      <c r="AO452" s="14">
        <f t="shared" si="323"/>
        <v>0</v>
      </c>
      <c r="AP452" s="14">
        <f t="shared" si="342"/>
        <v>0</v>
      </c>
      <c r="AS452" s="14">
        <f t="shared" si="309"/>
        <v>0</v>
      </c>
      <c r="AT452" s="14">
        <f t="shared" si="314"/>
        <v>0</v>
      </c>
      <c r="AU452" s="287">
        <f t="shared" si="315"/>
        <v>0</v>
      </c>
      <c r="AV452" s="287">
        <f t="shared" si="316"/>
        <v>0</v>
      </c>
    </row>
    <row r="453" spans="1:48" x14ac:dyDescent="0.25">
      <c r="A453" s="519" t="str">
        <f t="shared" si="328"/>
        <v xml:space="preserve"> </v>
      </c>
      <c r="B453" s="287">
        <f t="shared" si="325"/>
        <v>0</v>
      </c>
      <c r="C453" s="14">
        <f t="shared" si="304"/>
        <v>0</v>
      </c>
      <c r="D453" s="14">
        <f t="shared" si="317"/>
        <v>0</v>
      </c>
      <c r="E453" s="14">
        <f t="shared" si="305"/>
        <v>0</v>
      </c>
      <c r="F453" s="14">
        <f t="shared" si="329"/>
        <v>134.16999999999999</v>
      </c>
      <c r="G453" s="14">
        <f t="shared" si="326"/>
        <v>188.55</v>
      </c>
      <c r="H453" s="14">
        <f t="shared" si="327"/>
        <v>322.72000000000003</v>
      </c>
      <c r="I453" s="287">
        <f t="shared" si="330"/>
        <v>187026.8299999999</v>
      </c>
      <c r="J453" s="287">
        <f t="shared" si="331"/>
        <v>96593.969999999914</v>
      </c>
      <c r="K453" s="287">
        <f t="shared" si="332"/>
        <v>0</v>
      </c>
      <c r="L453" s="428">
        <f t="shared" si="324"/>
        <v>32</v>
      </c>
      <c r="M453" s="428">
        <f t="shared" si="310"/>
        <v>394</v>
      </c>
      <c r="N453" s="287">
        <f t="shared" si="322"/>
        <v>0</v>
      </c>
      <c r="O453" s="287">
        <f t="shared" si="343"/>
        <v>0</v>
      </c>
      <c r="P453" s="287">
        <f t="shared" si="318"/>
        <v>0</v>
      </c>
      <c r="Q453" s="287">
        <f t="shared" si="344"/>
        <v>0</v>
      </c>
      <c r="R453" s="287">
        <f t="shared" si="335"/>
        <v>134.16999999999999</v>
      </c>
      <c r="S453" s="287">
        <f t="shared" si="336"/>
        <v>188.55</v>
      </c>
      <c r="T453" s="287">
        <f t="shared" si="333"/>
        <v>322.72000000000003</v>
      </c>
      <c r="U453" s="287">
        <f t="shared" si="319"/>
        <v>230955.00999999998</v>
      </c>
      <c r="V453" s="287">
        <f t="shared" si="320"/>
        <v>322192.18999999977</v>
      </c>
      <c r="W453" s="287">
        <f t="shared" si="334"/>
        <v>0</v>
      </c>
      <c r="X453" s="519" t="str">
        <f t="shared" si="312"/>
        <v xml:space="preserve"> </v>
      </c>
      <c r="Y453" s="287">
        <f t="shared" si="345"/>
        <v>0</v>
      </c>
      <c r="Z453" s="511">
        <f t="shared" si="306"/>
        <v>7.0000000000000007E-2</v>
      </c>
      <c r="AA453" s="287">
        <f t="shared" si="307"/>
        <v>0</v>
      </c>
      <c r="AB453" s="287">
        <f t="shared" si="346"/>
        <v>0</v>
      </c>
      <c r="AC453" s="287">
        <f t="shared" si="308"/>
        <v>0</v>
      </c>
      <c r="AD453" s="287">
        <f t="shared" si="337"/>
        <v>134.16999999999999</v>
      </c>
      <c r="AE453" s="287">
        <f t="shared" si="338"/>
        <v>188.55</v>
      </c>
      <c r="AF453" s="287">
        <f t="shared" si="347"/>
        <v>322.72000000000003</v>
      </c>
      <c r="AG453" s="287">
        <f t="shared" si="348"/>
        <v>277225.64999999997</v>
      </c>
      <c r="AH453" s="287">
        <f t="shared" si="349"/>
        <v>319674.74999999983</v>
      </c>
      <c r="AI453" s="530">
        <f t="shared" si="339"/>
        <v>-43753.199999999772</v>
      </c>
      <c r="AJ453" s="530">
        <f t="shared" si="321"/>
        <v>0</v>
      </c>
      <c r="AK453" s="530">
        <f t="shared" si="340"/>
        <v>-43753.199999999772</v>
      </c>
      <c r="AL453" s="287">
        <f t="shared" si="350"/>
        <v>0</v>
      </c>
      <c r="AM453" s="428">
        <f t="shared" si="313"/>
        <v>32</v>
      </c>
      <c r="AN453" s="14">
        <f t="shared" si="341"/>
        <v>0</v>
      </c>
      <c r="AO453" s="14">
        <f t="shared" si="323"/>
        <v>0</v>
      </c>
      <c r="AP453" s="14">
        <f t="shared" si="342"/>
        <v>0</v>
      </c>
      <c r="AS453" s="14">
        <f t="shared" si="309"/>
        <v>0</v>
      </c>
      <c r="AT453" s="14">
        <f t="shared" si="314"/>
        <v>0</v>
      </c>
      <c r="AU453" s="287">
        <f t="shared" si="315"/>
        <v>0</v>
      </c>
      <c r="AV453" s="287">
        <f t="shared" si="316"/>
        <v>0</v>
      </c>
    </row>
    <row r="454" spans="1:48" x14ac:dyDescent="0.25">
      <c r="A454" s="519" t="str">
        <f t="shared" si="328"/>
        <v xml:space="preserve"> </v>
      </c>
      <c r="B454" s="287">
        <f t="shared" si="325"/>
        <v>0</v>
      </c>
      <c r="C454" s="14">
        <f t="shared" si="304"/>
        <v>0</v>
      </c>
      <c r="D454" s="14">
        <f t="shared" si="317"/>
        <v>0</v>
      </c>
      <c r="E454" s="14">
        <f t="shared" si="305"/>
        <v>0</v>
      </c>
      <c r="F454" s="14">
        <f t="shared" si="329"/>
        <v>134.16999999999999</v>
      </c>
      <c r="G454" s="14">
        <f t="shared" si="326"/>
        <v>188.55</v>
      </c>
      <c r="H454" s="14">
        <f t="shared" si="327"/>
        <v>322.72000000000003</v>
      </c>
      <c r="I454" s="287">
        <f t="shared" si="330"/>
        <v>187026.8299999999</v>
      </c>
      <c r="J454" s="287">
        <f t="shared" si="331"/>
        <v>96593.969999999914</v>
      </c>
      <c r="K454" s="287">
        <f t="shared" si="332"/>
        <v>0</v>
      </c>
      <c r="L454" s="428">
        <f t="shared" si="324"/>
        <v>32</v>
      </c>
      <c r="M454" s="428">
        <f t="shared" si="310"/>
        <v>395</v>
      </c>
      <c r="N454" s="287">
        <f t="shared" si="322"/>
        <v>0</v>
      </c>
      <c r="O454" s="287">
        <f t="shared" si="343"/>
        <v>0</v>
      </c>
      <c r="P454" s="287">
        <f t="shared" si="318"/>
        <v>0</v>
      </c>
      <c r="Q454" s="287">
        <f t="shared" si="344"/>
        <v>0</v>
      </c>
      <c r="R454" s="287">
        <f t="shared" si="335"/>
        <v>134.16999999999999</v>
      </c>
      <c r="S454" s="287">
        <f t="shared" si="336"/>
        <v>188.55</v>
      </c>
      <c r="T454" s="287">
        <f t="shared" si="333"/>
        <v>322.72000000000003</v>
      </c>
      <c r="U454" s="287">
        <f t="shared" si="319"/>
        <v>230955.00999999998</v>
      </c>
      <c r="V454" s="287">
        <f t="shared" si="320"/>
        <v>322192.18999999977</v>
      </c>
      <c r="W454" s="287">
        <f t="shared" si="334"/>
        <v>0</v>
      </c>
      <c r="X454" s="519" t="str">
        <f t="shared" si="312"/>
        <v xml:space="preserve"> </v>
      </c>
      <c r="Y454" s="287">
        <f t="shared" si="345"/>
        <v>0</v>
      </c>
      <c r="Z454" s="511">
        <f t="shared" si="306"/>
        <v>7.0000000000000007E-2</v>
      </c>
      <c r="AA454" s="287">
        <f t="shared" si="307"/>
        <v>0</v>
      </c>
      <c r="AB454" s="287">
        <f t="shared" si="346"/>
        <v>0</v>
      </c>
      <c r="AC454" s="287">
        <f t="shared" si="308"/>
        <v>0</v>
      </c>
      <c r="AD454" s="287">
        <f t="shared" si="337"/>
        <v>134.16999999999999</v>
      </c>
      <c r="AE454" s="287">
        <f t="shared" si="338"/>
        <v>188.55</v>
      </c>
      <c r="AF454" s="287">
        <f t="shared" si="347"/>
        <v>322.72000000000003</v>
      </c>
      <c r="AG454" s="287">
        <f t="shared" si="348"/>
        <v>277225.64999999997</v>
      </c>
      <c r="AH454" s="287">
        <f t="shared" si="349"/>
        <v>319674.74999999983</v>
      </c>
      <c r="AI454" s="530">
        <f t="shared" si="339"/>
        <v>-43753.199999999772</v>
      </c>
      <c r="AJ454" s="530">
        <f t="shared" si="321"/>
        <v>0</v>
      </c>
      <c r="AK454" s="530">
        <f t="shared" si="340"/>
        <v>-43753.199999999772</v>
      </c>
      <c r="AL454" s="287">
        <f t="shared" si="350"/>
        <v>0</v>
      </c>
      <c r="AM454" s="428">
        <f t="shared" si="313"/>
        <v>32</v>
      </c>
      <c r="AN454" s="14">
        <f t="shared" si="341"/>
        <v>0</v>
      </c>
      <c r="AO454" s="14">
        <f t="shared" si="323"/>
        <v>0</v>
      </c>
      <c r="AP454" s="14">
        <f t="shared" si="342"/>
        <v>0</v>
      </c>
      <c r="AS454" s="14">
        <f t="shared" si="309"/>
        <v>0</v>
      </c>
      <c r="AT454" s="14">
        <f t="shared" si="314"/>
        <v>0</v>
      </c>
      <c r="AU454" s="287">
        <f t="shared" si="315"/>
        <v>0</v>
      </c>
      <c r="AV454" s="287">
        <f t="shared" si="316"/>
        <v>0</v>
      </c>
    </row>
    <row r="455" spans="1:48" x14ac:dyDescent="0.25">
      <c r="A455" s="519" t="str">
        <f t="shared" si="328"/>
        <v xml:space="preserve"> </v>
      </c>
      <c r="B455" s="287">
        <f t="shared" si="325"/>
        <v>0</v>
      </c>
      <c r="C455" s="14">
        <f t="shared" si="304"/>
        <v>0</v>
      </c>
      <c r="D455" s="14">
        <f t="shared" si="317"/>
        <v>0</v>
      </c>
      <c r="E455" s="14">
        <f t="shared" si="305"/>
        <v>0</v>
      </c>
      <c r="F455" s="14">
        <f t="shared" si="329"/>
        <v>134.16999999999999</v>
      </c>
      <c r="G455" s="14">
        <f t="shared" si="326"/>
        <v>188.55</v>
      </c>
      <c r="H455" s="14">
        <f t="shared" si="327"/>
        <v>322.72000000000003</v>
      </c>
      <c r="I455" s="287">
        <f t="shared" si="330"/>
        <v>187026.8299999999</v>
      </c>
      <c r="J455" s="287">
        <f t="shared" si="331"/>
        <v>96593.969999999914</v>
      </c>
      <c r="K455" s="287">
        <f t="shared" si="332"/>
        <v>0</v>
      </c>
      <c r="L455" s="428">
        <f t="shared" si="324"/>
        <v>33</v>
      </c>
      <c r="M455" s="428">
        <f t="shared" si="310"/>
        <v>396</v>
      </c>
      <c r="N455" s="287">
        <f t="shared" si="322"/>
        <v>0</v>
      </c>
      <c r="O455" s="287">
        <f t="shared" si="343"/>
        <v>0</v>
      </c>
      <c r="P455" s="287">
        <f t="shared" si="318"/>
        <v>0</v>
      </c>
      <c r="Q455" s="287">
        <f t="shared" si="344"/>
        <v>0</v>
      </c>
      <c r="R455" s="287">
        <f t="shared" si="335"/>
        <v>134.16999999999999</v>
      </c>
      <c r="S455" s="287">
        <f t="shared" si="336"/>
        <v>188.55</v>
      </c>
      <c r="T455" s="287">
        <f t="shared" si="333"/>
        <v>322.72000000000003</v>
      </c>
      <c r="U455" s="287">
        <f t="shared" si="319"/>
        <v>230955.00999999998</v>
      </c>
      <c r="V455" s="287">
        <f t="shared" si="320"/>
        <v>322192.18999999977</v>
      </c>
      <c r="W455" s="287">
        <f t="shared" si="334"/>
        <v>0</v>
      </c>
      <c r="X455" s="519" t="str">
        <f t="shared" si="312"/>
        <v xml:space="preserve"> </v>
      </c>
      <c r="Y455" s="287">
        <f t="shared" si="345"/>
        <v>0</v>
      </c>
      <c r="Z455" s="511">
        <f t="shared" si="306"/>
        <v>7.0000000000000007E-2</v>
      </c>
      <c r="AA455" s="287">
        <f t="shared" si="307"/>
        <v>0</v>
      </c>
      <c r="AB455" s="287">
        <f t="shared" si="346"/>
        <v>0</v>
      </c>
      <c r="AC455" s="287">
        <f t="shared" si="308"/>
        <v>0</v>
      </c>
      <c r="AD455" s="287">
        <f t="shared" si="337"/>
        <v>134.16999999999999</v>
      </c>
      <c r="AE455" s="287">
        <f t="shared" si="338"/>
        <v>188.55</v>
      </c>
      <c r="AF455" s="287">
        <f t="shared" si="347"/>
        <v>322.72000000000003</v>
      </c>
      <c r="AG455" s="287">
        <f t="shared" si="348"/>
        <v>277225.64999999997</v>
      </c>
      <c r="AH455" s="287">
        <f t="shared" si="349"/>
        <v>319674.74999999983</v>
      </c>
      <c r="AI455" s="530">
        <f t="shared" si="339"/>
        <v>-43753.199999999772</v>
      </c>
      <c r="AJ455" s="530">
        <f t="shared" si="321"/>
        <v>0</v>
      </c>
      <c r="AK455" s="530">
        <f t="shared" si="340"/>
        <v>-43753.199999999772</v>
      </c>
      <c r="AL455" s="287">
        <f t="shared" si="350"/>
        <v>0</v>
      </c>
      <c r="AM455" s="428">
        <f t="shared" si="313"/>
        <v>33</v>
      </c>
      <c r="AN455" s="14">
        <f t="shared" si="341"/>
        <v>0</v>
      </c>
      <c r="AO455" s="14">
        <f t="shared" si="323"/>
        <v>0</v>
      </c>
      <c r="AP455" s="14">
        <f t="shared" si="342"/>
        <v>0</v>
      </c>
      <c r="AS455" s="14">
        <f t="shared" si="309"/>
        <v>0</v>
      </c>
      <c r="AT455" s="14">
        <f t="shared" si="314"/>
        <v>0</v>
      </c>
      <c r="AU455" s="287">
        <f t="shared" si="315"/>
        <v>0</v>
      </c>
      <c r="AV455" s="287">
        <f t="shared" si="316"/>
        <v>0</v>
      </c>
    </row>
    <row r="456" spans="1:48" x14ac:dyDescent="0.25">
      <c r="A456" s="519" t="str">
        <f t="shared" si="328"/>
        <v xml:space="preserve"> </v>
      </c>
      <c r="B456" s="287">
        <f t="shared" si="325"/>
        <v>0</v>
      </c>
      <c r="C456" s="14">
        <f t="shared" si="304"/>
        <v>0</v>
      </c>
      <c r="D456" s="14">
        <f t="shared" si="317"/>
        <v>0</v>
      </c>
      <c r="E456" s="14">
        <f t="shared" si="305"/>
        <v>0</v>
      </c>
      <c r="F456" s="14">
        <f t="shared" si="329"/>
        <v>134.16999999999999</v>
      </c>
      <c r="G456" s="14">
        <f t="shared" si="326"/>
        <v>188.55</v>
      </c>
      <c r="H456" s="14">
        <f t="shared" si="327"/>
        <v>322.72000000000003</v>
      </c>
      <c r="I456" s="287">
        <f t="shared" si="330"/>
        <v>187026.8299999999</v>
      </c>
      <c r="J456" s="287">
        <f t="shared" si="331"/>
        <v>96593.969999999914</v>
      </c>
      <c r="K456" s="287">
        <f t="shared" si="332"/>
        <v>0</v>
      </c>
      <c r="L456" s="428">
        <f t="shared" si="324"/>
        <v>33</v>
      </c>
      <c r="M456" s="428">
        <f t="shared" si="310"/>
        <v>397</v>
      </c>
      <c r="N456" s="287">
        <f t="shared" si="322"/>
        <v>0</v>
      </c>
      <c r="O456" s="287">
        <f t="shared" si="343"/>
        <v>0</v>
      </c>
      <c r="P456" s="287">
        <f t="shared" si="318"/>
        <v>0</v>
      </c>
      <c r="Q456" s="287">
        <f t="shared" si="344"/>
        <v>0</v>
      </c>
      <c r="R456" s="287">
        <f t="shared" si="335"/>
        <v>134.16999999999999</v>
      </c>
      <c r="S456" s="287">
        <f t="shared" si="336"/>
        <v>188.55</v>
      </c>
      <c r="T456" s="287">
        <f t="shared" si="333"/>
        <v>322.72000000000003</v>
      </c>
      <c r="U456" s="287">
        <f t="shared" si="319"/>
        <v>230955.00999999998</v>
      </c>
      <c r="V456" s="287">
        <f t="shared" si="320"/>
        <v>322192.18999999977</v>
      </c>
      <c r="W456" s="287">
        <f t="shared" si="334"/>
        <v>0</v>
      </c>
      <c r="X456" s="519" t="str">
        <f t="shared" si="312"/>
        <v xml:space="preserve"> </v>
      </c>
      <c r="Y456" s="287">
        <f t="shared" si="345"/>
        <v>0</v>
      </c>
      <c r="Z456" s="511">
        <f t="shared" si="306"/>
        <v>7.0000000000000007E-2</v>
      </c>
      <c r="AA456" s="287">
        <f t="shared" si="307"/>
        <v>0</v>
      </c>
      <c r="AB456" s="287">
        <f t="shared" si="346"/>
        <v>0</v>
      </c>
      <c r="AC456" s="287">
        <f t="shared" si="308"/>
        <v>0</v>
      </c>
      <c r="AD456" s="287">
        <f t="shared" si="337"/>
        <v>134.16999999999999</v>
      </c>
      <c r="AE456" s="287">
        <f t="shared" si="338"/>
        <v>188.55</v>
      </c>
      <c r="AF456" s="287">
        <f t="shared" si="347"/>
        <v>322.72000000000003</v>
      </c>
      <c r="AG456" s="287">
        <f t="shared" si="348"/>
        <v>277225.64999999997</v>
      </c>
      <c r="AH456" s="287">
        <f t="shared" si="349"/>
        <v>319674.74999999983</v>
      </c>
      <c r="AI456" s="530">
        <f t="shared" si="339"/>
        <v>-43753.199999999772</v>
      </c>
      <c r="AJ456" s="530">
        <f t="shared" si="321"/>
        <v>0</v>
      </c>
      <c r="AK456" s="530">
        <f t="shared" si="340"/>
        <v>-43753.199999999772</v>
      </c>
      <c r="AL456" s="287">
        <f t="shared" si="350"/>
        <v>0</v>
      </c>
      <c r="AM456" s="428">
        <f t="shared" si="313"/>
        <v>33</v>
      </c>
      <c r="AN456" s="14">
        <f t="shared" si="341"/>
        <v>0</v>
      </c>
      <c r="AO456" s="14">
        <f t="shared" si="323"/>
        <v>0</v>
      </c>
      <c r="AP456" s="14">
        <f t="shared" si="342"/>
        <v>0</v>
      </c>
      <c r="AS456" s="14">
        <f t="shared" si="309"/>
        <v>0</v>
      </c>
      <c r="AT456" s="14">
        <f t="shared" si="314"/>
        <v>0</v>
      </c>
      <c r="AU456" s="287">
        <f t="shared" si="315"/>
        <v>0</v>
      </c>
      <c r="AV456" s="287">
        <f t="shared" si="316"/>
        <v>0</v>
      </c>
    </row>
    <row r="457" spans="1:48" x14ac:dyDescent="0.25">
      <c r="A457" s="519" t="str">
        <f t="shared" si="328"/>
        <v xml:space="preserve"> </v>
      </c>
      <c r="B457" s="287">
        <f t="shared" si="325"/>
        <v>0</v>
      </c>
      <c r="C457" s="14">
        <f t="shared" si="304"/>
        <v>0</v>
      </c>
      <c r="D457" s="14">
        <f t="shared" si="317"/>
        <v>0</v>
      </c>
      <c r="E457" s="14">
        <f t="shared" si="305"/>
        <v>0</v>
      </c>
      <c r="F457" s="14">
        <f t="shared" si="329"/>
        <v>134.16999999999999</v>
      </c>
      <c r="G457" s="14">
        <f t="shared" si="326"/>
        <v>188.55</v>
      </c>
      <c r="H457" s="14">
        <f t="shared" si="327"/>
        <v>322.72000000000003</v>
      </c>
      <c r="I457" s="287">
        <f t="shared" si="330"/>
        <v>187026.8299999999</v>
      </c>
      <c r="J457" s="287">
        <f t="shared" si="331"/>
        <v>96593.969999999914</v>
      </c>
      <c r="K457" s="287">
        <f t="shared" si="332"/>
        <v>0</v>
      </c>
      <c r="L457" s="428">
        <f t="shared" si="324"/>
        <v>33</v>
      </c>
      <c r="M457" s="428">
        <f t="shared" si="310"/>
        <v>398</v>
      </c>
      <c r="N457" s="287">
        <f t="shared" si="322"/>
        <v>0</v>
      </c>
      <c r="O457" s="287">
        <f t="shared" si="343"/>
        <v>0</v>
      </c>
      <c r="P457" s="287">
        <f t="shared" si="318"/>
        <v>0</v>
      </c>
      <c r="Q457" s="287">
        <f t="shared" si="344"/>
        <v>0</v>
      </c>
      <c r="R457" s="287">
        <f t="shared" si="335"/>
        <v>134.16999999999999</v>
      </c>
      <c r="S457" s="287">
        <f t="shared" si="336"/>
        <v>188.55</v>
      </c>
      <c r="T457" s="287">
        <f t="shared" si="333"/>
        <v>322.72000000000003</v>
      </c>
      <c r="U457" s="287">
        <f t="shared" si="319"/>
        <v>230955.00999999998</v>
      </c>
      <c r="V457" s="287">
        <f t="shared" si="320"/>
        <v>322192.18999999977</v>
      </c>
      <c r="W457" s="287">
        <f t="shared" si="334"/>
        <v>0</v>
      </c>
      <c r="X457" s="519" t="str">
        <f t="shared" si="312"/>
        <v xml:space="preserve"> </v>
      </c>
      <c r="Y457" s="287">
        <f t="shared" si="345"/>
        <v>0</v>
      </c>
      <c r="Z457" s="511">
        <f t="shared" si="306"/>
        <v>7.0000000000000007E-2</v>
      </c>
      <c r="AA457" s="287">
        <f t="shared" si="307"/>
        <v>0</v>
      </c>
      <c r="AB457" s="287">
        <f t="shared" si="346"/>
        <v>0</v>
      </c>
      <c r="AC457" s="287">
        <f t="shared" si="308"/>
        <v>0</v>
      </c>
      <c r="AD457" s="287">
        <f t="shared" si="337"/>
        <v>134.16999999999999</v>
      </c>
      <c r="AE457" s="287">
        <f t="shared" si="338"/>
        <v>188.55</v>
      </c>
      <c r="AF457" s="287">
        <f t="shared" si="347"/>
        <v>322.72000000000003</v>
      </c>
      <c r="AG457" s="287">
        <f t="shared" si="348"/>
        <v>277225.64999999997</v>
      </c>
      <c r="AH457" s="287">
        <f t="shared" si="349"/>
        <v>319674.74999999983</v>
      </c>
      <c r="AI457" s="530">
        <f t="shared" si="339"/>
        <v>-43753.199999999772</v>
      </c>
      <c r="AJ457" s="530">
        <f t="shared" si="321"/>
        <v>0</v>
      </c>
      <c r="AK457" s="530">
        <f t="shared" si="340"/>
        <v>-43753.199999999772</v>
      </c>
      <c r="AL457" s="287">
        <f t="shared" si="350"/>
        <v>0</v>
      </c>
      <c r="AM457" s="428">
        <f t="shared" si="313"/>
        <v>33</v>
      </c>
      <c r="AN457" s="14">
        <f t="shared" si="341"/>
        <v>0</v>
      </c>
      <c r="AO457" s="14">
        <f t="shared" si="323"/>
        <v>0</v>
      </c>
      <c r="AP457" s="14">
        <f t="shared" si="342"/>
        <v>0</v>
      </c>
      <c r="AS457" s="14">
        <f t="shared" si="309"/>
        <v>0</v>
      </c>
      <c r="AT457" s="14">
        <f t="shared" si="314"/>
        <v>0</v>
      </c>
      <c r="AU457" s="287">
        <f t="shared" si="315"/>
        <v>0</v>
      </c>
      <c r="AV457" s="287">
        <f t="shared" si="316"/>
        <v>0</v>
      </c>
    </row>
    <row r="458" spans="1:48" ht="15.75" thickBot="1" x14ac:dyDescent="0.3">
      <c r="A458" s="522" t="str">
        <f t="shared" si="328"/>
        <v xml:space="preserve"> </v>
      </c>
      <c r="B458" s="348">
        <f t="shared" si="325"/>
        <v>0</v>
      </c>
      <c r="C458" s="21">
        <f t="shared" si="304"/>
        <v>0</v>
      </c>
      <c r="D458" s="21">
        <f t="shared" si="317"/>
        <v>0</v>
      </c>
      <c r="E458" s="21">
        <f t="shared" si="305"/>
        <v>0</v>
      </c>
      <c r="F458" s="21">
        <f t="shared" si="329"/>
        <v>134.16999999999999</v>
      </c>
      <c r="G458" s="21">
        <f t="shared" si="326"/>
        <v>188.55</v>
      </c>
      <c r="H458" s="21">
        <f t="shared" si="327"/>
        <v>322.72000000000003</v>
      </c>
      <c r="I458" s="348">
        <f t="shared" si="330"/>
        <v>187026.8299999999</v>
      </c>
      <c r="J458" s="348">
        <f t="shared" si="331"/>
        <v>96593.969999999914</v>
      </c>
      <c r="K458" s="348">
        <f t="shared" si="332"/>
        <v>0</v>
      </c>
      <c r="L458" s="429">
        <f t="shared" si="324"/>
        <v>33</v>
      </c>
      <c r="M458" s="429">
        <f t="shared" si="310"/>
        <v>399</v>
      </c>
      <c r="N458" s="348">
        <f t="shared" si="322"/>
        <v>0</v>
      </c>
      <c r="O458" s="348">
        <f t="shared" si="343"/>
        <v>0</v>
      </c>
      <c r="P458" s="348">
        <f t="shared" si="318"/>
        <v>0</v>
      </c>
      <c r="Q458" s="348">
        <f t="shared" si="344"/>
        <v>0</v>
      </c>
      <c r="R458" s="348">
        <f t="shared" si="335"/>
        <v>134.16999999999999</v>
      </c>
      <c r="S458" s="348">
        <f t="shared" si="336"/>
        <v>188.55</v>
      </c>
      <c r="T458" s="348">
        <f t="shared" si="333"/>
        <v>322.72000000000003</v>
      </c>
      <c r="U458" s="348">
        <f t="shared" si="319"/>
        <v>230955.00999999998</v>
      </c>
      <c r="V458" s="348">
        <f t="shared" si="320"/>
        <v>322192.18999999977</v>
      </c>
      <c r="W458" s="348">
        <f t="shared" si="334"/>
        <v>0</v>
      </c>
      <c r="X458" s="522" t="str">
        <f t="shared" si="312"/>
        <v xml:space="preserve"> </v>
      </c>
      <c r="Y458" s="348">
        <f t="shared" si="345"/>
        <v>0</v>
      </c>
      <c r="Z458" s="512">
        <f t="shared" si="306"/>
        <v>7.0000000000000007E-2</v>
      </c>
      <c r="AA458" s="348">
        <f t="shared" si="307"/>
        <v>0</v>
      </c>
      <c r="AB458" s="348">
        <f t="shared" si="346"/>
        <v>0</v>
      </c>
      <c r="AC458" s="348">
        <f t="shared" si="308"/>
        <v>0</v>
      </c>
      <c r="AD458" s="348">
        <f t="shared" si="337"/>
        <v>134.16999999999999</v>
      </c>
      <c r="AE458" s="348">
        <f t="shared" si="338"/>
        <v>188.55</v>
      </c>
      <c r="AF458" s="348">
        <f t="shared" si="347"/>
        <v>322.72000000000003</v>
      </c>
      <c r="AG458" s="348">
        <f t="shared" si="348"/>
        <v>277225.64999999997</v>
      </c>
      <c r="AH458" s="348">
        <f t="shared" si="349"/>
        <v>319674.74999999983</v>
      </c>
      <c r="AI458" s="531">
        <f t="shared" si="339"/>
        <v>-43753.199999999772</v>
      </c>
      <c r="AJ458" s="531">
        <f t="shared" si="321"/>
        <v>0</v>
      </c>
      <c r="AK458" s="530">
        <f t="shared" si="340"/>
        <v>-43753.199999999772</v>
      </c>
      <c r="AL458" s="348">
        <f t="shared" si="350"/>
        <v>0</v>
      </c>
      <c r="AM458" s="429">
        <f t="shared" si="313"/>
        <v>33</v>
      </c>
      <c r="AN458" s="21">
        <f t="shared" si="341"/>
        <v>0</v>
      </c>
      <c r="AO458" s="21">
        <f t="shared" si="323"/>
        <v>0</v>
      </c>
      <c r="AP458" s="21">
        <f t="shared" si="342"/>
        <v>0</v>
      </c>
      <c r="AQ458" s="21"/>
      <c r="AR458" s="23"/>
      <c r="AS458" s="21">
        <f t="shared" si="309"/>
        <v>0</v>
      </c>
      <c r="AT458" s="21">
        <f t="shared" si="314"/>
        <v>0</v>
      </c>
      <c r="AU458" s="348">
        <f t="shared" si="315"/>
        <v>0</v>
      </c>
      <c r="AV458" s="348">
        <f t="shared" si="316"/>
        <v>0</v>
      </c>
    </row>
    <row r="459" spans="1:48" x14ac:dyDescent="0.25">
      <c r="A459" s="519" t="str">
        <f t="shared" si="328"/>
        <v xml:space="preserve"> </v>
      </c>
      <c r="B459" s="287">
        <f t="shared" si="325"/>
        <v>0</v>
      </c>
      <c r="C459" s="14">
        <f t="shared" si="304"/>
        <v>0</v>
      </c>
      <c r="D459" s="14">
        <f t="shared" si="317"/>
        <v>0</v>
      </c>
      <c r="E459" s="14">
        <f t="shared" si="305"/>
        <v>0</v>
      </c>
      <c r="F459" s="14">
        <f t="shared" si="329"/>
        <v>134.16999999999999</v>
      </c>
      <c r="G459" s="14">
        <f t="shared" si="326"/>
        <v>188.55</v>
      </c>
      <c r="H459" s="14">
        <f t="shared" si="327"/>
        <v>322.72000000000003</v>
      </c>
      <c r="I459" s="287">
        <f t="shared" si="330"/>
        <v>187026.8299999999</v>
      </c>
      <c r="J459" s="287">
        <f t="shared" si="331"/>
        <v>96593.969999999914</v>
      </c>
      <c r="K459" s="287">
        <f t="shared" si="332"/>
        <v>0</v>
      </c>
      <c r="L459" s="428">
        <f t="shared" si="324"/>
        <v>33</v>
      </c>
      <c r="M459" s="428">
        <f t="shared" si="310"/>
        <v>400</v>
      </c>
      <c r="N459" s="287">
        <f t="shared" si="322"/>
        <v>0</v>
      </c>
      <c r="O459" s="287">
        <f t="shared" si="343"/>
        <v>0</v>
      </c>
      <c r="P459" s="287">
        <f t="shared" si="318"/>
        <v>0</v>
      </c>
      <c r="Q459" s="287">
        <f t="shared" si="344"/>
        <v>0</v>
      </c>
      <c r="R459" s="287">
        <f t="shared" si="335"/>
        <v>134.16999999999999</v>
      </c>
      <c r="S459" s="287">
        <f t="shared" si="336"/>
        <v>188.55</v>
      </c>
      <c r="T459" s="287">
        <f t="shared" si="333"/>
        <v>322.72000000000003</v>
      </c>
      <c r="U459" s="287">
        <f t="shared" si="319"/>
        <v>230955.00999999998</v>
      </c>
      <c r="V459" s="287">
        <f t="shared" si="320"/>
        <v>322192.18999999977</v>
      </c>
      <c r="W459" s="287">
        <f t="shared" si="334"/>
        <v>0</v>
      </c>
      <c r="X459" s="519" t="str">
        <f t="shared" si="312"/>
        <v xml:space="preserve"> </v>
      </c>
      <c r="Y459" s="287">
        <f t="shared" si="345"/>
        <v>0</v>
      </c>
      <c r="Z459" s="511">
        <f t="shared" si="306"/>
        <v>7.0000000000000007E-2</v>
      </c>
      <c r="AA459" s="287">
        <f t="shared" si="307"/>
        <v>0</v>
      </c>
      <c r="AB459" s="287">
        <f t="shared" si="346"/>
        <v>0</v>
      </c>
      <c r="AC459" s="287">
        <f t="shared" si="308"/>
        <v>0</v>
      </c>
      <c r="AD459" s="287">
        <f t="shared" si="337"/>
        <v>134.16999999999999</v>
      </c>
      <c r="AE459" s="287">
        <f t="shared" si="338"/>
        <v>188.55</v>
      </c>
      <c r="AF459" s="287">
        <f t="shared" si="347"/>
        <v>322.72000000000003</v>
      </c>
      <c r="AG459" s="287">
        <f t="shared" si="348"/>
        <v>277225.64999999997</v>
      </c>
      <c r="AH459" s="287">
        <f t="shared" si="349"/>
        <v>319674.74999999983</v>
      </c>
      <c r="AI459" s="530">
        <f t="shared" si="339"/>
        <v>-43753.199999999772</v>
      </c>
      <c r="AJ459" s="530">
        <f t="shared" si="321"/>
        <v>0</v>
      </c>
      <c r="AK459" s="530">
        <f t="shared" si="340"/>
        <v>-43753.199999999772</v>
      </c>
      <c r="AL459" s="287">
        <f t="shared" si="350"/>
        <v>0</v>
      </c>
      <c r="AM459" s="428">
        <f t="shared" si="313"/>
        <v>33</v>
      </c>
      <c r="AN459" s="14">
        <f t="shared" si="341"/>
        <v>0</v>
      </c>
      <c r="AO459" s="14">
        <f t="shared" si="323"/>
        <v>0</v>
      </c>
      <c r="AP459" s="14">
        <f t="shared" si="342"/>
        <v>0</v>
      </c>
      <c r="AS459" s="14">
        <f t="shared" si="309"/>
        <v>0</v>
      </c>
      <c r="AT459" s="14">
        <f t="shared" si="314"/>
        <v>0</v>
      </c>
      <c r="AU459" s="287">
        <f t="shared" si="315"/>
        <v>0</v>
      </c>
      <c r="AV459" s="287">
        <f t="shared" si="316"/>
        <v>0</v>
      </c>
    </row>
    <row r="460" spans="1:48" x14ac:dyDescent="0.25">
      <c r="A460" s="519" t="str">
        <f t="shared" si="328"/>
        <v xml:space="preserve"> </v>
      </c>
      <c r="B460" s="287">
        <f t="shared" si="325"/>
        <v>0</v>
      </c>
      <c r="C460" s="14">
        <f t="shared" si="304"/>
        <v>0</v>
      </c>
      <c r="D460" s="14">
        <f t="shared" si="317"/>
        <v>0</v>
      </c>
      <c r="E460" s="14">
        <f t="shared" si="305"/>
        <v>0</v>
      </c>
      <c r="F460" s="14">
        <f t="shared" si="329"/>
        <v>134.16999999999999</v>
      </c>
      <c r="G460" s="14">
        <f t="shared" si="326"/>
        <v>188.55</v>
      </c>
      <c r="H460" s="14">
        <f t="shared" si="327"/>
        <v>322.72000000000003</v>
      </c>
      <c r="I460" s="287">
        <f t="shared" si="330"/>
        <v>187026.8299999999</v>
      </c>
      <c r="J460" s="287">
        <f t="shared" si="331"/>
        <v>96593.969999999914</v>
      </c>
      <c r="K460" s="287">
        <f t="shared" si="332"/>
        <v>0</v>
      </c>
      <c r="L460" s="428">
        <f t="shared" si="324"/>
        <v>33</v>
      </c>
      <c r="M460" s="428">
        <f t="shared" si="310"/>
        <v>401</v>
      </c>
      <c r="N460" s="287">
        <f t="shared" si="322"/>
        <v>0</v>
      </c>
      <c r="O460" s="287">
        <f t="shared" si="343"/>
        <v>0</v>
      </c>
      <c r="P460" s="287">
        <f t="shared" si="318"/>
        <v>0</v>
      </c>
      <c r="Q460" s="287">
        <f t="shared" si="344"/>
        <v>0</v>
      </c>
      <c r="R460" s="287">
        <f t="shared" si="335"/>
        <v>134.16999999999999</v>
      </c>
      <c r="S460" s="287">
        <f t="shared" si="336"/>
        <v>188.55</v>
      </c>
      <c r="T460" s="287">
        <f t="shared" si="333"/>
        <v>322.72000000000003</v>
      </c>
      <c r="U460" s="287">
        <f t="shared" si="319"/>
        <v>230955.00999999998</v>
      </c>
      <c r="V460" s="287">
        <f t="shared" si="320"/>
        <v>322192.18999999977</v>
      </c>
      <c r="W460" s="287">
        <f t="shared" si="334"/>
        <v>0</v>
      </c>
      <c r="X460" s="519" t="str">
        <f t="shared" si="312"/>
        <v xml:space="preserve"> </v>
      </c>
      <c r="Y460" s="287">
        <f t="shared" si="345"/>
        <v>0</v>
      </c>
      <c r="Z460" s="511">
        <f t="shared" si="306"/>
        <v>7.0000000000000007E-2</v>
      </c>
      <c r="AA460" s="287">
        <f t="shared" si="307"/>
        <v>0</v>
      </c>
      <c r="AB460" s="287">
        <f t="shared" si="346"/>
        <v>0</v>
      </c>
      <c r="AC460" s="287">
        <f t="shared" si="308"/>
        <v>0</v>
      </c>
      <c r="AD460" s="287">
        <f t="shared" si="337"/>
        <v>134.16999999999999</v>
      </c>
      <c r="AE460" s="287">
        <f t="shared" si="338"/>
        <v>188.55</v>
      </c>
      <c r="AF460" s="287">
        <f t="shared" si="347"/>
        <v>322.72000000000003</v>
      </c>
      <c r="AG460" s="287">
        <f t="shared" si="348"/>
        <v>277225.64999999997</v>
      </c>
      <c r="AH460" s="287">
        <f t="shared" si="349"/>
        <v>319674.74999999983</v>
      </c>
      <c r="AI460" s="530">
        <f t="shared" si="339"/>
        <v>-43753.199999999772</v>
      </c>
      <c r="AJ460" s="530">
        <f t="shared" si="321"/>
        <v>0</v>
      </c>
      <c r="AK460" s="530">
        <f t="shared" si="340"/>
        <v>-43753.199999999772</v>
      </c>
      <c r="AL460" s="287">
        <f t="shared" si="350"/>
        <v>0</v>
      </c>
      <c r="AM460" s="428">
        <f t="shared" si="313"/>
        <v>33</v>
      </c>
      <c r="AN460" s="14">
        <f t="shared" si="341"/>
        <v>0</v>
      </c>
      <c r="AO460" s="14">
        <f t="shared" si="323"/>
        <v>0</v>
      </c>
      <c r="AP460" s="14">
        <f t="shared" si="342"/>
        <v>0</v>
      </c>
      <c r="AS460" s="14">
        <f t="shared" si="309"/>
        <v>0</v>
      </c>
      <c r="AT460" s="14">
        <f t="shared" si="314"/>
        <v>0</v>
      </c>
      <c r="AU460" s="287">
        <f t="shared" si="315"/>
        <v>0</v>
      </c>
      <c r="AV460" s="287">
        <f t="shared" si="316"/>
        <v>0</v>
      </c>
    </row>
    <row r="461" spans="1:48" x14ac:dyDescent="0.25">
      <c r="A461" s="519" t="str">
        <f t="shared" si="328"/>
        <v xml:space="preserve"> </v>
      </c>
      <c r="B461" s="287">
        <f t="shared" si="325"/>
        <v>0</v>
      </c>
      <c r="C461" s="14">
        <f t="shared" si="304"/>
        <v>0</v>
      </c>
      <c r="D461" s="14">
        <f t="shared" si="317"/>
        <v>0</v>
      </c>
      <c r="E461" s="14">
        <f t="shared" si="305"/>
        <v>0</v>
      </c>
      <c r="F461" s="14">
        <f t="shared" si="329"/>
        <v>134.16999999999999</v>
      </c>
      <c r="G461" s="14">
        <f t="shared" si="326"/>
        <v>188.55</v>
      </c>
      <c r="H461" s="14">
        <f t="shared" si="327"/>
        <v>322.72000000000003</v>
      </c>
      <c r="I461" s="287">
        <f t="shared" si="330"/>
        <v>187026.8299999999</v>
      </c>
      <c r="J461" s="287">
        <f t="shared" si="331"/>
        <v>96593.969999999914</v>
      </c>
      <c r="K461" s="287">
        <f t="shared" si="332"/>
        <v>0</v>
      </c>
      <c r="L461" s="428">
        <f t="shared" si="324"/>
        <v>33</v>
      </c>
      <c r="M461" s="428">
        <f t="shared" si="310"/>
        <v>402</v>
      </c>
      <c r="N461" s="287">
        <f t="shared" si="322"/>
        <v>0</v>
      </c>
      <c r="O461" s="287">
        <f t="shared" si="343"/>
        <v>0</v>
      </c>
      <c r="P461" s="287">
        <f t="shared" si="318"/>
        <v>0</v>
      </c>
      <c r="Q461" s="287">
        <f t="shared" si="344"/>
        <v>0</v>
      </c>
      <c r="R461" s="287">
        <f t="shared" si="335"/>
        <v>134.16999999999999</v>
      </c>
      <c r="S461" s="287">
        <f t="shared" si="336"/>
        <v>188.55</v>
      </c>
      <c r="T461" s="287">
        <f t="shared" si="333"/>
        <v>322.72000000000003</v>
      </c>
      <c r="U461" s="287">
        <f t="shared" si="319"/>
        <v>230955.00999999998</v>
      </c>
      <c r="V461" s="287">
        <f t="shared" si="320"/>
        <v>322192.18999999977</v>
      </c>
      <c r="W461" s="287">
        <f t="shared" si="334"/>
        <v>0</v>
      </c>
      <c r="X461" s="519" t="str">
        <f t="shared" si="312"/>
        <v xml:space="preserve"> </v>
      </c>
      <c r="Y461" s="287">
        <f t="shared" si="345"/>
        <v>0</v>
      </c>
      <c r="Z461" s="511">
        <f t="shared" si="306"/>
        <v>7.0000000000000007E-2</v>
      </c>
      <c r="AA461" s="287">
        <f t="shared" si="307"/>
        <v>0</v>
      </c>
      <c r="AB461" s="287">
        <f t="shared" si="346"/>
        <v>0</v>
      </c>
      <c r="AC461" s="287">
        <f t="shared" si="308"/>
        <v>0</v>
      </c>
      <c r="AD461" s="287">
        <f t="shared" si="337"/>
        <v>134.16999999999999</v>
      </c>
      <c r="AE461" s="287">
        <f t="shared" si="338"/>
        <v>188.55</v>
      </c>
      <c r="AF461" s="287">
        <f t="shared" si="347"/>
        <v>322.72000000000003</v>
      </c>
      <c r="AG461" s="287">
        <f t="shared" si="348"/>
        <v>277225.64999999997</v>
      </c>
      <c r="AH461" s="287">
        <f t="shared" si="349"/>
        <v>319674.74999999983</v>
      </c>
      <c r="AI461" s="530">
        <f t="shared" si="339"/>
        <v>-43753.199999999772</v>
      </c>
      <c r="AJ461" s="530">
        <f t="shared" si="321"/>
        <v>0</v>
      </c>
      <c r="AK461" s="530">
        <f t="shared" si="340"/>
        <v>-43753.199999999772</v>
      </c>
      <c r="AL461" s="287">
        <f t="shared" si="350"/>
        <v>0</v>
      </c>
      <c r="AM461" s="428">
        <f t="shared" si="313"/>
        <v>33</v>
      </c>
      <c r="AN461" s="14">
        <f t="shared" si="341"/>
        <v>0</v>
      </c>
      <c r="AO461" s="14">
        <f t="shared" si="323"/>
        <v>0</v>
      </c>
      <c r="AP461" s="14">
        <f t="shared" si="342"/>
        <v>0</v>
      </c>
      <c r="AS461" s="14">
        <f t="shared" si="309"/>
        <v>0</v>
      </c>
      <c r="AT461" s="14">
        <f t="shared" si="314"/>
        <v>0</v>
      </c>
      <c r="AU461" s="287">
        <f t="shared" si="315"/>
        <v>0</v>
      </c>
      <c r="AV461" s="287">
        <f t="shared" si="316"/>
        <v>0</v>
      </c>
    </row>
    <row r="462" spans="1:48" x14ac:dyDescent="0.25">
      <c r="A462" s="519" t="str">
        <f t="shared" si="328"/>
        <v xml:space="preserve"> </v>
      </c>
      <c r="B462" s="287">
        <f t="shared" si="325"/>
        <v>0</v>
      </c>
      <c r="C462" s="14">
        <f t="shared" si="304"/>
        <v>0</v>
      </c>
      <c r="D462" s="14">
        <f t="shared" si="317"/>
        <v>0</v>
      </c>
      <c r="E462" s="14">
        <f t="shared" si="305"/>
        <v>0</v>
      </c>
      <c r="F462" s="14">
        <f t="shared" si="329"/>
        <v>134.16999999999999</v>
      </c>
      <c r="G462" s="14">
        <f t="shared" si="326"/>
        <v>188.55</v>
      </c>
      <c r="H462" s="14">
        <f t="shared" si="327"/>
        <v>322.72000000000003</v>
      </c>
      <c r="I462" s="287">
        <f t="shared" si="330"/>
        <v>187026.8299999999</v>
      </c>
      <c r="J462" s="287">
        <f t="shared" si="331"/>
        <v>96593.969999999914</v>
      </c>
      <c r="K462" s="287">
        <f t="shared" si="332"/>
        <v>0</v>
      </c>
      <c r="L462" s="428">
        <f t="shared" si="324"/>
        <v>33</v>
      </c>
      <c r="M462" s="428">
        <f t="shared" si="310"/>
        <v>403</v>
      </c>
      <c r="N462" s="287">
        <f t="shared" si="322"/>
        <v>0</v>
      </c>
      <c r="O462" s="287">
        <f t="shared" si="343"/>
        <v>0</v>
      </c>
      <c r="P462" s="287">
        <f t="shared" si="318"/>
        <v>0</v>
      </c>
      <c r="Q462" s="287">
        <f t="shared" si="344"/>
        <v>0</v>
      </c>
      <c r="R462" s="287">
        <f t="shared" si="335"/>
        <v>134.16999999999999</v>
      </c>
      <c r="S462" s="287">
        <f t="shared" si="336"/>
        <v>188.55</v>
      </c>
      <c r="T462" s="287">
        <f t="shared" si="333"/>
        <v>322.72000000000003</v>
      </c>
      <c r="U462" s="287">
        <f t="shared" si="319"/>
        <v>230955.00999999998</v>
      </c>
      <c r="V462" s="287">
        <f t="shared" si="320"/>
        <v>322192.18999999977</v>
      </c>
      <c r="W462" s="287">
        <f t="shared" si="334"/>
        <v>0</v>
      </c>
      <c r="X462" s="519" t="str">
        <f t="shared" si="312"/>
        <v xml:space="preserve"> </v>
      </c>
      <c r="Y462" s="287">
        <f t="shared" si="345"/>
        <v>0</v>
      </c>
      <c r="Z462" s="511">
        <f t="shared" si="306"/>
        <v>7.0000000000000007E-2</v>
      </c>
      <c r="AA462" s="287">
        <f t="shared" si="307"/>
        <v>0</v>
      </c>
      <c r="AB462" s="287">
        <f t="shared" si="346"/>
        <v>0</v>
      </c>
      <c r="AC462" s="287">
        <f t="shared" si="308"/>
        <v>0</v>
      </c>
      <c r="AD462" s="287">
        <f t="shared" si="337"/>
        <v>134.16999999999999</v>
      </c>
      <c r="AE462" s="287">
        <f t="shared" si="338"/>
        <v>188.55</v>
      </c>
      <c r="AF462" s="287">
        <f t="shared" si="347"/>
        <v>322.72000000000003</v>
      </c>
      <c r="AG462" s="287">
        <f t="shared" si="348"/>
        <v>277225.64999999997</v>
      </c>
      <c r="AH462" s="287">
        <f t="shared" si="349"/>
        <v>319674.74999999983</v>
      </c>
      <c r="AI462" s="530">
        <f t="shared" si="339"/>
        <v>-43753.199999999772</v>
      </c>
      <c r="AJ462" s="530">
        <f t="shared" si="321"/>
        <v>0</v>
      </c>
      <c r="AK462" s="530">
        <f t="shared" si="340"/>
        <v>-43753.199999999772</v>
      </c>
      <c r="AL462" s="287">
        <f t="shared" si="350"/>
        <v>0</v>
      </c>
      <c r="AM462" s="428">
        <f t="shared" si="313"/>
        <v>33</v>
      </c>
      <c r="AN462" s="14">
        <f t="shared" si="341"/>
        <v>0</v>
      </c>
      <c r="AO462" s="14">
        <f t="shared" si="323"/>
        <v>0</v>
      </c>
      <c r="AP462" s="14">
        <f t="shared" si="342"/>
        <v>0</v>
      </c>
      <c r="AS462" s="14">
        <f t="shared" si="309"/>
        <v>0</v>
      </c>
      <c r="AT462" s="14">
        <f t="shared" si="314"/>
        <v>0</v>
      </c>
      <c r="AU462" s="287">
        <f t="shared" si="315"/>
        <v>0</v>
      </c>
      <c r="AV462" s="287">
        <f t="shared" si="316"/>
        <v>0</v>
      </c>
    </row>
    <row r="463" spans="1:48" x14ac:dyDescent="0.25">
      <c r="A463" s="519" t="str">
        <f t="shared" si="328"/>
        <v xml:space="preserve"> </v>
      </c>
      <c r="B463" s="287">
        <f t="shared" si="325"/>
        <v>0</v>
      </c>
      <c r="C463" s="14">
        <f t="shared" ref="C463:C490" si="351">IF(+$K462&lt;=0,0,$C$5)</f>
        <v>0</v>
      </c>
      <c r="D463" s="14">
        <f t="shared" si="317"/>
        <v>0</v>
      </c>
      <c r="E463" s="14">
        <f t="shared" ref="E463:E490" si="352">ROUND($B463*($C$3/12), 2)</f>
        <v>0</v>
      </c>
      <c r="F463" s="14">
        <f t="shared" si="329"/>
        <v>134.16999999999999</v>
      </c>
      <c r="G463" s="14">
        <f t="shared" si="326"/>
        <v>188.55</v>
      </c>
      <c r="H463" s="14">
        <f t="shared" si="327"/>
        <v>322.72000000000003</v>
      </c>
      <c r="I463" s="287">
        <f t="shared" si="330"/>
        <v>187026.8299999999</v>
      </c>
      <c r="J463" s="287">
        <f t="shared" si="331"/>
        <v>96593.969999999914</v>
      </c>
      <c r="K463" s="287">
        <f t="shared" si="332"/>
        <v>0</v>
      </c>
      <c r="L463" s="428">
        <f t="shared" si="324"/>
        <v>33</v>
      </c>
      <c r="M463" s="428">
        <f t="shared" si="310"/>
        <v>404</v>
      </c>
      <c r="N463" s="287">
        <f t="shared" si="322"/>
        <v>0</v>
      </c>
      <c r="O463" s="287">
        <f t="shared" si="343"/>
        <v>0</v>
      </c>
      <c r="P463" s="287">
        <f t="shared" si="318"/>
        <v>0</v>
      </c>
      <c r="Q463" s="287">
        <f t="shared" si="344"/>
        <v>0</v>
      </c>
      <c r="R463" s="287">
        <f t="shared" si="335"/>
        <v>134.16999999999999</v>
      </c>
      <c r="S463" s="287">
        <f t="shared" si="336"/>
        <v>188.55</v>
      </c>
      <c r="T463" s="287">
        <f t="shared" si="333"/>
        <v>322.72000000000003</v>
      </c>
      <c r="U463" s="287">
        <f t="shared" si="319"/>
        <v>230955.00999999998</v>
      </c>
      <c r="V463" s="287">
        <f t="shared" si="320"/>
        <v>322192.18999999977</v>
      </c>
      <c r="W463" s="287">
        <f t="shared" si="334"/>
        <v>0</v>
      </c>
      <c r="X463" s="519" t="str">
        <f t="shared" si="312"/>
        <v xml:space="preserve"> </v>
      </c>
      <c r="Y463" s="287">
        <f t="shared" si="345"/>
        <v>0</v>
      </c>
      <c r="Z463" s="511">
        <f t="shared" ref="Z463:Z526" si="353">IF(L463&gt;4,$AA$9,$AA$8)</f>
        <v>7.0000000000000007E-2</v>
      </c>
      <c r="AA463" s="287">
        <f t="shared" ref="AA463:AA526" si="354">IF($O$9&lt;=$A463,IF(+AL462&lt;=0,0,IF(Z463=$AA$8,$Z$8,$Z$9)),0)</f>
        <v>0</v>
      </c>
      <c r="AB463" s="287">
        <f t="shared" si="346"/>
        <v>0</v>
      </c>
      <c r="AC463" s="287">
        <f t="shared" ref="AC463:AC526" si="355">IF($O$9&lt;=$A463,ROUND(Y463*(Z463/12),2),0)</f>
        <v>0</v>
      </c>
      <c r="AD463" s="287">
        <f t="shared" si="337"/>
        <v>134.16999999999999</v>
      </c>
      <c r="AE463" s="287">
        <f t="shared" si="338"/>
        <v>188.55</v>
      </c>
      <c r="AF463" s="287">
        <f t="shared" si="347"/>
        <v>322.72000000000003</v>
      </c>
      <c r="AG463" s="287">
        <f t="shared" si="348"/>
        <v>277225.64999999997</v>
      </c>
      <c r="AH463" s="287">
        <f t="shared" si="349"/>
        <v>319674.74999999983</v>
      </c>
      <c r="AI463" s="530">
        <f t="shared" si="339"/>
        <v>-43753.199999999772</v>
      </c>
      <c r="AJ463" s="530">
        <f t="shared" si="321"/>
        <v>0</v>
      </c>
      <c r="AK463" s="530">
        <f t="shared" si="340"/>
        <v>-43753.199999999772</v>
      </c>
      <c r="AL463" s="287">
        <f t="shared" si="350"/>
        <v>0</v>
      </c>
      <c r="AM463" s="428">
        <f t="shared" si="313"/>
        <v>33</v>
      </c>
      <c r="AN463" s="14">
        <f t="shared" si="341"/>
        <v>0</v>
      </c>
      <c r="AO463" s="14">
        <f t="shared" si="323"/>
        <v>0</v>
      </c>
      <c r="AP463" s="14">
        <f t="shared" si="342"/>
        <v>0</v>
      </c>
      <c r="AS463" s="14">
        <f t="shared" ref="AS463:AS490" si="356">+AN463-AR463</f>
        <v>0</v>
      </c>
      <c r="AT463" s="14">
        <f t="shared" si="314"/>
        <v>0</v>
      </c>
      <c r="AU463" s="287">
        <f t="shared" si="315"/>
        <v>0</v>
      </c>
      <c r="AV463" s="287">
        <f t="shared" si="316"/>
        <v>0</v>
      </c>
    </row>
    <row r="464" spans="1:48" x14ac:dyDescent="0.25">
      <c r="A464" s="519" t="str">
        <f t="shared" si="328"/>
        <v xml:space="preserve"> </v>
      </c>
      <c r="B464" s="287">
        <f t="shared" si="325"/>
        <v>0</v>
      </c>
      <c r="C464" s="14">
        <f t="shared" si="351"/>
        <v>0</v>
      </c>
      <c r="D464" s="14">
        <f t="shared" si="317"/>
        <v>0</v>
      </c>
      <c r="E464" s="14">
        <f t="shared" si="352"/>
        <v>0</v>
      </c>
      <c r="F464" s="14">
        <f t="shared" si="329"/>
        <v>134.16999999999999</v>
      </c>
      <c r="G464" s="14">
        <f t="shared" si="326"/>
        <v>188.55</v>
      </c>
      <c r="H464" s="14">
        <f t="shared" si="327"/>
        <v>322.72000000000003</v>
      </c>
      <c r="I464" s="287">
        <f t="shared" si="330"/>
        <v>187026.8299999999</v>
      </c>
      <c r="J464" s="287">
        <f t="shared" si="331"/>
        <v>96593.969999999914</v>
      </c>
      <c r="K464" s="287">
        <f t="shared" si="332"/>
        <v>0</v>
      </c>
      <c r="L464" s="428">
        <f t="shared" si="324"/>
        <v>33</v>
      </c>
      <c r="M464" s="428">
        <f t="shared" ref="M464:M490" si="357">IF(N464&lt;&gt;"",IF(N464=$O$5,0,+M463+1),0)</f>
        <v>405</v>
      </c>
      <c r="N464" s="287">
        <f t="shared" si="322"/>
        <v>0</v>
      </c>
      <c r="O464" s="287">
        <f t="shared" si="343"/>
        <v>0</v>
      </c>
      <c r="P464" s="287">
        <f t="shared" si="318"/>
        <v>0</v>
      </c>
      <c r="Q464" s="287">
        <f t="shared" si="344"/>
        <v>0</v>
      </c>
      <c r="R464" s="287">
        <f t="shared" si="335"/>
        <v>134.16999999999999</v>
      </c>
      <c r="S464" s="287">
        <f t="shared" si="336"/>
        <v>188.55</v>
      </c>
      <c r="T464" s="287">
        <f t="shared" si="333"/>
        <v>322.72000000000003</v>
      </c>
      <c r="U464" s="287">
        <f t="shared" si="319"/>
        <v>230955.00999999998</v>
      </c>
      <c r="V464" s="287">
        <f t="shared" si="320"/>
        <v>322192.18999999977</v>
      </c>
      <c r="W464" s="287">
        <f t="shared" si="334"/>
        <v>0</v>
      </c>
      <c r="X464" s="519" t="str">
        <f t="shared" ref="X464:X527" si="358">+A464</f>
        <v xml:space="preserve"> </v>
      </c>
      <c r="Y464" s="287">
        <f t="shared" si="345"/>
        <v>0</v>
      </c>
      <c r="Z464" s="511">
        <f t="shared" si="353"/>
        <v>7.0000000000000007E-2</v>
      </c>
      <c r="AA464" s="287">
        <f t="shared" si="354"/>
        <v>0</v>
      </c>
      <c r="AB464" s="287">
        <f t="shared" si="346"/>
        <v>0</v>
      </c>
      <c r="AC464" s="287">
        <f t="shared" si="355"/>
        <v>0</v>
      </c>
      <c r="AD464" s="287">
        <f t="shared" si="337"/>
        <v>134.16999999999999</v>
      </c>
      <c r="AE464" s="287">
        <f t="shared" si="338"/>
        <v>188.55</v>
      </c>
      <c r="AF464" s="287">
        <f t="shared" si="347"/>
        <v>322.72000000000003</v>
      </c>
      <c r="AG464" s="287">
        <f t="shared" si="348"/>
        <v>277225.64999999997</v>
      </c>
      <c r="AH464" s="287">
        <f t="shared" si="349"/>
        <v>319674.74999999983</v>
      </c>
      <c r="AI464" s="530">
        <f t="shared" si="339"/>
        <v>-43753.199999999772</v>
      </c>
      <c r="AJ464" s="530">
        <f t="shared" si="321"/>
        <v>0</v>
      </c>
      <c r="AK464" s="530">
        <f t="shared" si="340"/>
        <v>-43753.199999999772</v>
      </c>
      <c r="AL464" s="287">
        <f t="shared" si="350"/>
        <v>0</v>
      </c>
      <c r="AM464" s="428">
        <f t="shared" ref="AM464:AM527" si="359">+L464</f>
        <v>33</v>
      </c>
      <c r="AN464" s="14">
        <f t="shared" si="341"/>
        <v>0</v>
      </c>
      <c r="AO464" s="14">
        <f t="shared" si="323"/>
        <v>0</v>
      </c>
      <c r="AP464" s="14">
        <f t="shared" si="342"/>
        <v>0</v>
      </c>
      <c r="AS464" s="14">
        <f t="shared" si="356"/>
        <v>0</v>
      </c>
      <c r="AT464" s="14">
        <f t="shared" ref="AT464:AT490" si="360">IF(W464&lt;=0,0,+AS464+AT463)</f>
        <v>0</v>
      </c>
      <c r="AU464" s="287">
        <f t="shared" ref="AU464:AU490" si="361">IF(W464&lt;=0,0,+($O$5+AV463)*$AQ$2/12)</f>
        <v>0</v>
      </c>
      <c r="AV464" s="287">
        <f t="shared" ref="AV464:AV490" si="362">IF(W464&lt;=0,0,+AV463+AU464)</f>
        <v>0</v>
      </c>
    </row>
    <row r="465" spans="1:48" x14ac:dyDescent="0.25">
      <c r="A465" s="519" t="str">
        <f t="shared" si="328"/>
        <v xml:space="preserve"> </v>
      </c>
      <c r="B465" s="287">
        <f t="shared" si="325"/>
        <v>0</v>
      </c>
      <c r="C465" s="14">
        <f t="shared" si="351"/>
        <v>0</v>
      </c>
      <c r="D465" s="14">
        <f t="shared" ref="D465:D490" si="363">+C465-E465</f>
        <v>0</v>
      </c>
      <c r="E465" s="14">
        <f t="shared" si="352"/>
        <v>0</v>
      </c>
      <c r="F465" s="14">
        <f t="shared" si="329"/>
        <v>134.16999999999999</v>
      </c>
      <c r="G465" s="14">
        <f t="shared" si="326"/>
        <v>188.55</v>
      </c>
      <c r="H465" s="14">
        <f t="shared" si="327"/>
        <v>322.72000000000003</v>
      </c>
      <c r="I465" s="287">
        <f t="shared" si="330"/>
        <v>187026.8299999999</v>
      </c>
      <c r="J465" s="287">
        <f t="shared" si="331"/>
        <v>96593.969999999914</v>
      </c>
      <c r="K465" s="287">
        <f t="shared" si="332"/>
        <v>0</v>
      </c>
      <c r="L465" s="428">
        <f t="shared" si="324"/>
        <v>33</v>
      </c>
      <c r="M465" s="428">
        <f t="shared" si="357"/>
        <v>406</v>
      </c>
      <c r="N465" s="287">
        <f t="shared" si="322"/>
        <v>0</v>
      </c>
      <c r="O465" s="287">
        <f t="shared" si="343"/>
        <v>0</v>
      </c>
      <c r="P465" s="287">
        <f t="shared" ref="P465:P490" si="364">+O465-Q465</f>
        <v>0</v>
      </c>
      <c r="Q465" s="287">
        <f t="shared" si="344"/>
        <v>0</v>
      </c>
      <c r="R465" s="287">
        <f t="shared" si="335"/>
        <v>134.16999999999999</v>
      </c>
      <c r="S465" s="287">
        <f t="shared" si="336"/>
        <v>188.55</v>
      </c>
      <c r="T465" s="287">
        <f t="shared" si="333"/>
        <v>322.72000000000003</v>
      </c>
      <c r="U465" s="287">
        <f t="shared" ref="U465:U490" si="365">+P465+U464</f>
        <v>230955.00999999998</v>
      </c>
      <c r="V465" s="287">
        <f t="shared" ref="V465:V490" si="366">+V464+Q465</f>
        <v>322192.18999999977</v>
      </c>
      <c r="W465" s="287">
        <f t="shared" si="334"/>
        <v>0</v>
      </c>
      <c r="X465" s="519" t="str">
        <f t="shared" si="358"/>
        <v xml:space="preserve"> </v>
      </c>
      <c r="Y465" s="287">
        <f t="shared" si="345"/>
        <v>0</v>
      </c>
      <c r="Z465" s="511">
        <f t="shared" si="353"/>
        <v>7.0000000000000007E-2</v>
      </c>
      <c r="AA465" s="287">
        <f t="shared" si="354"/>
        <v>0</v>
      </c>
      <c r="AB465" s="287">
        <f t="shared" si="346"/>
        <v>0</v>
      </c>
      <c r="AC465" s="287">
        <f t="shared" si="355"/>
        <v>0</v>
      </c>
      <c r="AD465" s="287">
        <f t="shared" si="337"/>
        <v>134.16999999999999</v>
      </c>
      <c r="AE465" s="287">
        <f t="shared" si="338"/>
        <v>188.55</v>
      </c>
      <c r="AF465" s="287">
        <f t="shared" si="347"/>
        <v>322.72000000000003</v>
      </c>
      <c r="AG465" s="287">
        <f t="shared" si="348"/>
        <v>277225.64999999997</v>
      </c>
      <c r="AH465" s="287">
        <f t="shared" si="349"/>
        <v>319674.74999999983</v>
      </c>
      <c r="AI465" s="530">
        <f t="shared" si="339"/>
        <v>-43753.199999999772</v>
      </c>
      <c r="AJ465" s="530">
        <f t="shared" si="321"/>
        <v>0</v>
      </c>
      <c r="AK465" s="530">
        <f t="shared" si="340"/>
        <v>-43753.199999999772</v>
      </c>
      <c r="AL465" s="287">
        <f t="shared" si="350"/>
        <v>0</v>
      </c>
      <c r="AM465" s="428">
        <f t="shared" si="359"/>
        <v>33</v>
      </c>
      <c r="AN465" s="14">
        <f t="shared" si="341"/>
        <v>0</v>
      </c>
      <c r="AO465" s="14">
        <f t="shared" si="323"/>
        <v>0</v>
      </c>
      <c r="AP465" s="14">
        <f t="shared" si="342"/>
        <v>0</v>
      </c>
      <c r="AS465" s="14">
        <f t="shared" si="356"/>
        <v>0</v>
      </c>
      <c r="AT465" s="14">
        <f t="shared" si="360"/>
        <v>0</v>
      </c>
      <c r="AU465" s="287">
        <f t="shared" si="361"/>
        <v>0</v>
      </c>
      <c r="AV465" s="287">
        <f t="shared" si="362"/>
        <v>0</v>
      </c>
    </row>
    <row r="466" spans="1:48" x14ac:dyDescent="0.25">
      <c r="A466" s="519" t="str">
        <f t="shared" si="328"/>
        <v xml:space="preserve"> </v>
      </c>
      <c r="B466" s="287">
        <f t="shared" si="325"/>
        <v>0</v>
      </c>
      <c r="C466" s="14">
        <f t="shared" si="351"/>
        <v>0</v>
      </c>
      <c r="D466" s="14">
        <f t="shared" si="363"/>
        <v>0</v>
      </c>
      <c r="E466" s="14">
        <f t="shared" si="352"/>
        <v>0</v>
      </c>
      <c r="F466" s="14">
        <f t="shared" si="329"/>
        <v>134.16999999999999</v>
      </c>
      <c r="G466" s="14">
        <f t="shared" si="326"/>
        <v>188.55</v>
      </c>
      <c r="H466" s="14">
        <f t="shared" si="327"/>
        <v>322.72000000000003</v>
      </c>
      <c r="I466" s="287">
        <f t="shared" si="330"/>
        <v>187026.8299999999</v>
      </c>
      <c r="J466" s="287">
        <f t="shared" si="331"/>
        <v>96593.969999999914</v>
      </c>
      <c r="K466" s="287">
        <f t="shared" si="332"/>
        <v>0</v>
      </c>
      <c r="L466" s="428">
        <f t="shared" si="324"/>
        <v>33</v>
      </c>
      <c r="M466" s="428">
        <f t="shared" si="357"/>
        <v>407</v>
      </c>
      <c r="N466" s="287">
        <f t="shared" si="322"/>
        <v>0</v>
      </c>
      <c r="O466" s="287">
        <f t="shared" si="343"/>
        <v>0</v>
      </c>
      <c r="P466" s="287">
        <f t="shared" si="364"/>
        <v>0</v>
      </c>
      <c r="Q466" s="287">
        <f t="shared" si="344"/>
        <v>0</v>
      </c>
      <c r="R466" s="287">
        <f t="shared" si="335"/>
        <v>134.16999999999999</v>
      </c>
      <c r="S466" s="287">
        <f t="shared" si="336"/>
        <v>188.55</v>
      </c>
      <c r="T466" s="287">
        <f t="shared" si="333"/>
        <v>322.72000000000003</v>
      </c>
      <c r="U466" s="287">
        <f t="shared" si="365"/>
        <v>230955.00999999998</v>
      </c>
      <c r="V466" s="287">
        <f t="shared" si="366"/>
        <v>322192.18999999977</v>
      </c>
      <c r="W466" s="287">
        <f t="shared" si="334"/>
        <v>0</v>
      </c>
      <c r="X466" s="519" t="str">
        <f t="shared" si="358"/>
        <v xml:space="preserve"> </v>
      </c>
      <c r="Y466" s="287">
        <f t="shared" si="345"/>
        <v>0</v>
      </c>
      <c r="Z466" s="511">
        <f t="shared" si="353"/>
        <v>7.0000000000000007E-2</v>
      </c>
      <c r="AA466" s="287">
        <f t="shared" si="354"/>
        <v>0</v>
      </c>
      <c r="AB466" s="287">
        <f t="shared" si="346"/>
        <v>0</v>
      </c>
      <c r="AC466" s="287">
        <f t="shared" si="355"/>
        <v>0</v>
      </c>
      <c r="AD466" s="287">
        <f t="shared" si="337"/>
        <v>134.16999999999999</v>
      </c>
      <c r="AE466" s="287">
        <f t="shared" si="338"/>
        <v>188.55</v>
      </c>
      <c r="AF466" s="287">
        <f t="shared" si="347"/>
        <v>322.72000000000003</v>
      </c>
      <c r="AG466" s="287">
        <f t="shared" si="348"/>
        <v>277225.64999999997</v>
      </c>
      <c r="AH466" s="287">
        <f t="shared" si="349"/>
        <v>319674.74999999983</v>
      </c>
      <c r="AI466" s="530">
        <f t="shared" si="339"/>
        <v>-43753.199999999772</v>
      </c>
      <c r="AJ466" s="530">
        <f t="shared" si="321"/>
        <v>0</v>
      </c>
      <c r="AK466" s="530">
        <f t="shared" si="340"/>
        <v>-43753.199999999772</v>
      </c>
      <c r="AL466" s="287">
        <f t="shared" si="350"/>
        <v>0</v>
      </c>
      <c r="AM466" s="428">
        <f t="shared" si="359"/>
        <v>33</v>
      </c>
      <c r="AN466" s="14">
        <f t="shared" si="341"/>
        <v>0</v>
      </c>
      <c r="AO466" s="14">
        <f t="shared" si="323"/>
        <v>0</v>
      </c>
      <c r="AP466" s="14">
        <f t="shared" si="342"/>
        <v>0</v>
      </c>
      <c r="AS466" s="14">
        <f t="shared" si="356"/>
        <v>0</v>
      </c>
      <c r="AT466" s="14">
        <f t="shared" si="360"/>
        <v>0</v>
      </c>
      <c r="AU466" s="287">
        <f t="shared" si="361"/>
        <v>0</v>
      </c>
      <c r="AV466" s="287">
        <f t="shared" si="362"/>
        <v>0</v>
      </c>
    </row>
    <row r="467" spans="1:48" x14ac:dyDescent="0.25">
      <c r="A467" s="519" t="str">
        <f t="shared" si="328"/>
        <v xml:space="preserve"> </v>
      </c>
      <c r="B467" s="287">
        <f t="shared" si="325"/>
        <v>0</v>
      </c>
      <c r="C467" s="14">
        <f t="shared" si="351"/>
        <v>0</v>
      </c>
      <c r="D467" s="14">
        <f t="shared" si="363"/>
        <v>0</v>
      </c>
      <c r="E467" s="14">
        <f t="shared" si="352"/>
        <v>0</v>
      </c>
      <c r="F467" s="14">
        <f t="shared" si="329"/>
        <v>134.16999999999999</v>
      </c>
      <c r="G467" s="14">
        <f t="shared" si="326"/>
        <v>188.55</v>
      </c>
      <c r="H467" s="14">
        <f t="shared" si="327"/>
        <v>322.72000000000003</v>
      </c>
      <c r="I467" s="287">
        <f t="shared" si="330"/>
        <v>187026.8299999999</v>
      </c>
      <c r="J467" s="287">
        <f t="shared" si="331"/>
        <v>96593.969999999914</v>
      </c>
      <c r="K467" s="287">
        <f t="shared" si="332"/>
        <v>0</v>
      </c>
      <c r="L467" s="428">
        <f t="shared" si="324"/>
        <v>34</v>
      </c>
      <c r="M467" s="428">
        <f t="shared" si="357"/>
        <v>408</v>
      </c>
      <c r="N467" s="287">
        <f t="shared" si="322"/>
        <v>0</v>
      </c>
      <c r="O467" s="287">
        <f t="shared" si="343"/>
        <v>0</v>
      </c>
      <c r="P467" s="287">
        <f t="shared" si="364"/>
        <v>0</v>
      </c>
      <c r="Q467" s="287">
        <f t="shared" si="344"/>
        <v>0</v>
      </c>
      <c r="R467" s="287">
        <f t="shared" si="335"/>
        <v>134.16999999999999</v>
      </c>
      <c r="S467" s="287">
        <f t="shared" si="336"/>
        <v>188.55</v>
      </c>
      <c r="T467" s="287">
        <f t="shared" si="333"/>
        <v>322.72000000000003</v>
      </c>
      <c r="U467" s="287">
        <f t="shared" si="365"/>
        <v>230955.00999999998</v>
      </c>
      <c r="V467" s="287">
        <f t="shared" si="366"/>
        <v>322192.18999999977</v>
      </c>
      <c r="W467" s="287">
        <f t="shared" si="334"/>
        <v>0</v>
      </c>
      <c r="X467" s="519" t="str">
        <f t="shared" si="358"/>
        <v xml:space="preserve"> </v>
      </c>
      <c r="Y467" s="287">
        <f t="shared" si="345"/>
        <v>0</v>
      </c>
      <c r="Z467" s="511">
        <f t="shared" si="353"/>
        <v>7.0000000000000007E-2</v>
      </c>
      <c r="AA467" s="287">
        <f t="shared" si="354"/>
        <v>0</v>
      </c>
      <c r="AB467" s="287">
        <f t="shared" si="346"/>
        <v>0</v>
      </c>
      <c r="AC467" s="287">
        <f t="shared" si="355"/>
        <v>0</v>
      </c>
      <c r="AD467" s="287">
        <f t="shared" si="337"/>
        <v>134.16999999999999</v>
      </c>
      <c r="AE467" s="287">
        <f t="shared" si="338"/>
        <v>188.55</v>
      </c>
      <c r="AF467" s="287">
        <f t="shared" si="347"/>
        <v>322.72000000000003</v>
      </c>
      <c r="AG467" s="287">
        <f t="shared" si="348"/>
        <v>277225.64999999997</v>
      </c>
      <c r="AH467" s="287">
        <f t="shared" si="349"/>
        <v>319674.74999999983</v>
      </c>
      <c r="AI467" s="530">
        <f t="shared" si="339"/>
        <v>-43753.199999999772</v>
      </c>
      <c r="AJ467" s="530">
        <f t="shared" si="321"/>
        <v>0</v>
      </c>
      <c r="AK467" s="530">
        <f t="shared" si="340"/>
        <v>-43753.199999999772</v>
      </c>
      <c r="AL467" s="287">
        <f t="shared" si="350"/>
        <v>0</v>
      </c>
      <c r="AM467" s="428">
        <f t="shared" si="359"/>
        <v>34</v>
      </c>
      <c r="AN467" s="14">
        <f t="shared" si="341"/>
        <v>0</v>
      </c>
      <c r="AO467" s="14">
        <f t="shared" si="323"/>
        <v>0</v>
      </c>
      <c r="AP467" s="14">
        <f t="shared" si="342"/>
        <v>0</v>
      </c>
      <c r="AS467" s="14">
        <f t="shared" si="356"/>
        <v>0</v>
      </c>
      <c r="AT467" s="14">
        <f t="shared" si="360"/>
        <v>0</v>
      </c>
      <c r="AU467" s="287">
        <f t="shared" si="361"/>
        <v>0</v>
      </c>
      <c r="AV467" s="287">
        <f t="shared" si="362"/>
        <v>0</v>
      </c>
    </row>
    <row r="468" spans="1:48" x14ac:dyDescent="0.25">
      <c r="A468" s="519" t="str">
        <f t="shared" si="328"/>
        <v xml:space="preserve"> </v>
      </c>
      <c r="B468" s="287">
        <f t="shared" si="325"/>
        <v>0</v>
      </c>
      <c r="C468" s="14">
        <f t="shared" si="351"/>
        <v>0</v>
      </c>
      <c r="D468" s="14">
        <f t="shared" si="363"/>
        <v>0</v>
      </c>
      <c r="E468" s="14">
        <f t="shared" si="352"/>
        <v>0</v>
      </c>
      <c r="F468" s="14">
        <f t="shared" si="329"/>
        <v>134.16999999999999</v>
      </c>
      <c r="G468" s="14">
        <f t="shared" si="326"/>
        <v>188.55</v>
      </c>
      <c r="H468" s="14">
        <f t="shared" si="327"/>
        <v>322.72000000000003</v>
      </c>
      <c r="I468" s="287">
        <f t="shared" si="330"/>
        <v>187026.8299999999</v>
      </c>
      <c r="J468" s="287">
        <f t="shared" si="331"/>
        <v>96593.969999999914</v>
      </c>
      <c r="K468" s="287">
        <f t="shared" si="332"/>
        <v>0</v>
      </c>
      <c r="L468" s="428">
        <f t="shared" si="324"/>
        <v>34</v>
      </c>
      <c r="M468" s="428">
        <f t="shared" si="357"/>
        <v>409</v>
      </c>
      <c r="N468" s="287">
        <f t="shared" si="322"/>
        <v>0</v>
      </c>
      <c r="O468" s="287">
        <f t="shared" si="343"/>
        <v>0</v>
      </c>
      <c r="P468" s="287">
        <f t="shared" si="364"/>
        <v>0</v>
      </c>
      <c r="Q468" s="287">
        <f t="shared" si="344"/>
        <v>0</v>
      </c>
      <c r="R468" s="287">
        <f t="shared" si="335"/>
        <v>134.16999999999999</v>
      </c>
      <c r="S468" s="287">
        <f t="shared" si="336"/>
        <v>188.55</v>
      </c>
      <c r="T468" s="287">
        <f t="shared" si="333"/>
        <v>322.72000000000003</v>
      </c>
      <c r="U468" s="287">
        <f t="shared" si="365"/>
        <v>230955.00999999998</v>
      </c>
      <c r="V468" s="287">
        <f t="shared" si="366"/>
        <v>322192.18999999977</v>
      </c>
      <c r="W468" s="287">
        <f t="shared" si="334"/>
        <v>0</v>
      </c>
      <c r="X468" s="519" t="str">
        <f t="shared" si="358"/>
        <v xml:space="preserve"> </v>
      </c>
      <c r="Y468" s="287">
        <f t="shared" si="345"/>
        <v>0</v>
      </c>
      <c r="Z468" s="511">
        <f t="shared" si="353"/>
        <v>7.0000000000000007E-2</v>
      </c>
      <c r="AA468" s="287">
        <f t="shared" si="354"/>
        <v>0</v>
      </c>
      <c r="AB468" s="287">
        <f t="shared" si="346"/>
        <v>0</v>
      </c>
      <c r="AC468" s="287">
        <f t="shared" si="355"/>
        <v>0</v>
      </c>
      <c r="AD468" s="287">
        <f t="shared" si="337"/>
        <v>134.16999999999999</v>
      </c>
      <c r="AE468" s="287">
        <f t="shared" si="338"/>
        <v>188.55</v>
      </c>
      <c r="AF468" s="287">
        <f t="shared" si="347"/>
        <v>322.72000000000003</v>
      </c>
      <c r="AG468" s="287">
        <f t="shared" si="348"/>
        <v>277225.64999999997</v>
      </c>
      <c r="AH468" s="287">
        <f t="shared" si="349"/>
        <v>319674.74999999983</v>
      </c>
      <c r="AI468" s="530">
        <f t="shared" si="339"/>
        <v>-43753.199999999772</v>
      </c>
      <c r="AJ468" s="530">
        <f t="shared" si="321"/>
        <v>0</v>
      </c>
      <c r="AK468" s="530">
        <f t="shared" si="340"/>
        <v>-43753.199999999772</v>
      </c>
      <c r="AL468" s="287">
        <f t="shared" si="350"/>
        <v>0</v>
      </c>
      <c r="AM468" s="428">
        <f t="shared" si="359"/>
        <v>34</v>
      </c>
      <c r="AN468" s="14">
        <f t="shared" si="341"/>
        <v>0</v>
      </c>
      <c r="AO468" s="14">
        <f t="shared" si="323"/>
        <v>0</v>
      </c>
      <c r="AP468" s="14">
        <f t="shared" si="342"/>
        <v>0</v>
      </c>
      <c r="AS468" s="14">
        <f t="shared" si="356"/>
        <v>0</v>
      </c>
      <c r="AT468" s="14">
        <f t="shared" si="360"/>
        <v>0</v>
      </c>
      <c r="AU468" s="287">
        <f t="shared" si="361"/>
        <v>0</v>
      </c>
      <c r="AV468" s="287">
        <f t="shared" si="362"/>
        <v>0</v>
      </c>
    </row>
    <row r="469" spans="1:48" x14ac:dyDescent="0.25">
      <c r="A469" s="519" t="str">
        <f t="shared" si="328"/>
        <v xml:space="preserve"> </v>
      </c>
      <c r="B469" s="287">
        <f t="shared" si="325"/>
        <v>0</v>
      </c>
      <c r="C469" s="14">
        <f t="shared" si="351"/>
        <v>0</v>
      </c>
      <c r="D469" s="14">
        <f t="shared" si="363"/>
        <v>0</v>
      </c>
      <c r="E469" s="14">
        <f t="shared" si="352"/>
        <v>0</v>
      </c>
      <c r="F469" s="14">
        <f t="shared" si="329"/>
        <v>134.16999999999999</v>
      </c>
      <c r="G469" s="14">
        <f t="shared" si="326"/>
        <v>188.55</v>
      </c>
      <c r="H469" s="14">
        <f t="shared" si="327"/>
        <v>322.72000000000003</v>
      </c>
      <c r="I469" s="287">
        <f t="shared" si="330"/>
        <v>187026.8299999999</v>
      </c>
      <c r="J469" s="287">
        <f t="shared" si="331"/>
        <v>96593.969999999914</v>
      </c>
      <c r="K469" s="287">
        <f t="shared" si="332"/>
        <v>0</v>
      </c>
      <c r="L469" s="428">
        <f t="shared" si="324"/>
        <v>34</v>
      </c>
      <c r="M469" s="428">
        <f t="shared" si="357"/>
        <v>410</v>
      </c>
      <c r="N469" s="287">
        <f t="shared" si="322"/>
        <v>0</v>
      </c>
      <c r="O469" s="287">
        <f t="shared" si="343"/>
        <v>0</v>
      </c>
      <c r="P469" s="287">
        <f t="shared" si="364"/>
        <v>0</v>
      </c>
      <c r="Q469" s="287">
        <f t="shared" si="344"/>
        <v>0</v>
      </c>
      <c r="R469" s="287">
        <f t="shared" si="335"/>
        <v>134.16999999999999</v>
      </c>
      <c r="S469" s="287">
        <f t="shared" si="336"/>
        <v>188.55</v>
      </c>
      <c r="T469" s="287">
        <f t="shared" si="333"/>
        <v>322.72000000000003</v>
      </c>
      <c r="U469" s="287">
        <f t="shared" si="365"/>
        <v>230955.00999999998</v>
      </c>
      <c r="V469" s="287">
        <f t="shared" si="366"/>
        <v>322192.18999999977</v>
      </c>
      <c r="W469" s="287">
        <f t="shared" si="334"/>
        <v>0</v>
      </c>
      <c r="X469" s="519" t="str">
        <f t="shared" si="358"/>
        <v xml:space="preserve"> </v>
      </c>
      <c r="Y469" s="287">
        <f t="shared" si="345"/>
        <v>0</v>
      </c>
      <c r="Z469" s="511">
        <f t="shared" si="353"/>
        <v>7.0000000000000007E-2</v>
      </c>
      <c r="AA469" s="287">
        <f t="shared" si="354"/>
        <v>0</v>
      </c>
      <c r="AB469" s="287">
        <f t="shared" si="346"/>
        <v>0</v>
      </c>
      <c r="AC469" s="287">
        <f t="shared" si="355"/>
        <v>0</v>
      </c>
      <c r="AD469" s="287">
        <f t="shared" si="337"/>
        <v>134.16999999999999</v>
      </c>
      <c r="AE469" s="287">
        <f t="shared" si="338"/>
        <v>188.55</v>
      </c>
      <c r="AF469" s="287">
        <f t="shared" si="347"/>
        <v>322.72000000000003</v>
      </c>
      <c r="AG469" s="287">
        <f t="shared" si="348"/>
        <v>277225.64999999997</v>
      </c>
      <c r="AH469" s="287">
        <f t="shared" si="349"/>
        <v>319674.74999999983</v>
      </c>
      <c r="AI469" s="530">
        <f t="shared" si="339"/>
        <v>-43753.199999999772</v>
      </c>
      <c r="AJ469" s="530">
        <f t="shared" si="321"/>
        <v>0</v>
      </c>
      <c r="AK469" s="530">
        <f t="shared" si="340"/>
        <v>-43753.199999999772</v>
      </c>
      <c r="AL469" s="287">
        <f t="shared" si="350"/>
        <v>0</v>
      </c>
      <c r="AM469" s="428">
        <f t="shared" si="359"/>
        <v>34</v>
      </c>
      <c r="AN469" s="14">
        <f t="shared" si="341"/>
        <v>0</v>
      </c>
      <c r="AO469" s="14">
        <f t="shared" si="323"/>
        <v>0</v>
      </c>
      <c r="AP469" s="14">
        <f t="shared" si="342"/>
        <v>0</v>
      </c>
      <c r="AS469" s="14">
        <f t="shared" si="356"/>
        <v>0</v>
      </c>
      <c r="AT469" s="14">
        <f t="shared" si="360"/>
        <v>0</v>
      </c>
      <c r="AU469" s="287">
        <f t="shared" si="361"/>
        <v>0</v>
      </c>
      <c r="AV469" s="287">
        <f t="shared" si="362"/>
        <v>0</v>
      </c>
    </row>
    <row r="470" spans="1:48" ht="15.75" thickBot="1" x14ac:dyDescent="0.3">
      <c r="A470" s="522" t="str">
        <f t="shared" si="328"/>
        <v xml:space="preserve"> </v>
      </c>
      <c r="B470" s="348">
        <f t="shared" si="325"/>
        <v>0</v>
      </c>
      <c r="C470" s="21">
        <f t="shared" si="351"/>
        <v>0</v>
      </c>
      <c r="D470" s="21">
        <f t="shared" si="363"/>
        <v>0</v>
      </c>
      <c r="E470" s="21">
        <f t="shared" si="352"/>
        <v>0</v>
      </c>
      <c r="F470" s="21">
        <f t="shared" si="329"/>
        <v>134.16999999999999</v>
      </c>
      <c r="G470" s="21">
        <f t="shared" si="326"/>
        <v>188.55</v>
      </c>
      <c r="H470" s="21">
        <f t="shared" si="327"/>
        <v>322.72000000000003</v>
      </c>
      <c r="I470" s="348">
        <f t="shared" si="330"/>
        <v>187026.8299999999</v>
      </c>
      <c r="J470" s="348">
        <f t="shared" si="331"/>
        <v>96593.969999999914</v>
      </c>
      <c r="K470" s="348">
        <f t="shared" si="332"/>
        <v>0</v>
      </c>
      <c r="L470" s="429">
        <f t="shared" si="324"/>
        <v>34</v>
      </c>
      <c r="M470" s="429">
        <f t="shared" si="357"/>
        <v>411</v>
      </c>
      <c r="N470" s="348">
        <f t="shared" si="322"/>
        <v>0</v>
      </c>
      <c r="O470" s="348">
        <f t="shared" si="343"/>
        <v>0</v>
      </c>
      <c r="P470" s="348">
        <f t="shared" si="364"/>
        <v>0</v>
      </c>
      <c r="Q470" s="348">
        <f t="shared" si="344"/>
        <v>0</v>
      </c>
      <c r="R470" s="348">
        <f t="shared" si="335"/>
        <v>134.16999999999999</v>
      </c>
      <c r="S470" s="348">
        <f t="shared" si="336"/>
        <v>188.55</v>
      </c>
      <c r="T470" s="348">
        <f t="shared" si="333"/>
        <v>322.72000000000003</v>
      </c>
      <c r="U470" s="348">
        <f t="shared" si="365"/>
        <v>230955.00999999998</v>
      </c>
      <c r="V470" s="348">
        <f t="shared" si="366"/>
        <v>322192.18999999977</v>
      </c>
      <c r="W470" s="348">
        <f t="shared" si="334"/>
        <v>0</v>
      </c>
      <c r="X470" s="522" t="str">
        <f t="shared" si="358"/>
        <v xml:space="preserve"> </v>
      </c>
      <c r="Y470" s="348">
        <f t="shared" si="345"/>
        <v>0</v>
      </c>
      <c r="Z470" s="512">
        <f t="shared" si="353"/>
        <v>7.0000000000000007E-2</v>
      </c>
      <c r="AA470" s="348">
        <f t="shared" si="354"/>
        <v>0</v>
      </c>
      <c r="AB470" s="348">
        <f t="shared" si="346"/>
        <v>0</v>
      </c>
      <c r="AC470" s="348">
        <f t="shared" si="355"/>
        <v>0</v>
      </c>
      <c r="AD470" s="348">
        <f t="shared" si="337"/>
        <v>134.16999999999999</v>
      </c>
      <c r="AE470" s="348">
        <f t="shared" si="338"/>
        <v>188.55</v>
      </c>
      <c r="AF470" s="348">
        <f t="shared" si="347"/>
        <v>322.72000000000003</v>
      </c>
      <c r="AG470" s="348">
        <f t="shared" si="348"/>
        <v>277225.64999999997</v>
      </c>
      <c r="AH470" s="348">
        <f t="shared" si="349"/>
        <v>319674.74999999983</v>
      </c>
      <c r="AI470" s="531">
        <f t="shared" si="339"/>
        <v>-43753.199999999772</v>
      </c>
      <c r="AJ470" s="531">
        <f t="shared" si="321"/>
        <v>0</v>
      </c>
      <c r="AK470" s="530">
        <f t="shared" si="340"/>
        <v>-43753.199999999772</v>
      </c>
      <c r="AL470" s="348">
        <f t="shared" si="350"/>
        <v>0</v>
      </c>
      <c r="AM470" s="429">
        <f t="shared" si="359"/>
        <v>34</v>
      </c>
      <c r="AN470" s="21">
        <f t="shared" si="341"/>
        <v>0</v>
      </c>
      <c r="AO470" s="21">
        <f t="shared" si="323"/>
        <v>0</v>
      </c>
      <c r="AP470" s="21">
        <f t="shared" si="342"/>
        <v>0</v>
      </c>
      <c r="AQ470" s="21"/>
      <c r="AR470" s="23"/>
      <c r="AS470" s="21">
        <f t="shared" si="356"/>
        <v>0</v>
      </c>
      <c r="AT470" s="21">
        <f t="shared" si="360"/>
        <v>0</v>
      </c>
      <c r="AU470" s="348">
        <f t="shared" si="361"/>
        <v>0</v>
      </c>
      <c r="AV470" s="348">
        <f t="shared" si="362"/>
        <v>0</v>
      </c>
    </row>
    <row r="471" spans="1:48" x14ac:dyDescent="0.25">
      <c r="A471" s="519" t="str">
        <f t="shared" si="328"/>
        <v xml:space="preserve"> </v>
      </c>
      <c r="B471" s="287">
        <f t="shared" si="325"/>
        <v>0</v>
      </c>
      <c r="C471" s="14">
        <f t="shared" si="351"/>
        <v>0</v>
      </c>
      <c r="D471" s="14">
        <f t="shared" si="363"/>
        <v>0</v>
      </c>
      <c r="E471" s="14">
        <f t="shared" si="352"/>
        <v>0</v>
      </c>
      <c r="F471" s="14">
        <f t="shared" si="329"/>
        <v>134.16999999999999</v>
      </c>
      <c r="G471" s="14">
        <f t="shared" si="326"/>
        <v>188.55</v>
      </c>
      <c r="H471" s="14">
        <f t="shared" si="327"/>
        <v>322.72000000000003</v>
      </c>
      <c r="I471" s="287">
        <f t="shared" si="330"/>
        <v>187026.8299999999</v>
      </c>
      <c r="J471" s="287">
        <f t="shared" si="331"/>
        <v>96593.969999999914</v>
      </c>
      <c r="K471" s="287">
        <f t="shared" si="332"/>
        <v>0</v>
      </c>
      <c r="L471" s="428">
        <f t="shared" si="324"/>
        <v>34</v>
      </c>
      <c r="M471" s="428">
        <f t="shared" si="357"/>
        <v>412</v>
      </c>
      <c r="N471" s="287">
        <f t="shared" si="322"/>
        <v>0</v>
      </c>
      <c r="O471" s="287">
        <f t="shared" si="343"/>
        <v>0</v>
      </c>
      <c r="P471" s="287">
        <f t="shared" si="364"/>
        <v>0</v>
      </c>
      <c r="Q471" s="287">
        <f t="shared" si="344"/>
        <v>0</v>
      </c>
      <c r="R471" s="287">
        <f t="shared" si="335"/>
        <v>134.16999999999999</v>
      </c>
      <c r="S471" s="287">
        <f t="shared" si="336"/>
        <v>188.55</v>
      </c>
      <c r="T471" s="287">
        <f t="shared" si="333"/>
        <v>322.72000000000003</v>
      </c>
      <c r="U471" s="287">
        <f t="shared" si="365"/>
        <v>230955.00999999998</v>
      </c>
      <c r="V471" s="287">
        <f t="shared" si="366"/>
        <v>322192.18999999977</v>
      </c>
      <c r="W471" s="287">
        <f t="shared" si="334"/>
        <v>0</v>
      </c>
      <c r="X471" s="519" t="str">
        <f t="shared" si="358"/>
        <v xml:space="preserve"> </v>
      </c>
      <c r="Y471" s="287">
        <f t="shared" si="345"/>
        <v>0</v>
      </c>
      <c r="Z471" s="511">
        <f t="shared" si="353"/>
        <v>7.0000000000000007E-2</v>
      </c>
      <c r="AA471" s="287">
        <f t="shared" si="354"/>
        <v>0</v>
      </c>
      <c r="AB471" s="287">
        <f t="shared" si="346"/>
        <v>0</v>
      </c>
      <c r="AC471" s="287">
        <f t="shared" si="355"/>
        <v>0</v>
      </c>
      <c r="AD471" s="287">
        <f t="shared" si="337"/>
        <v>134.16999999999999</v>
      </c>
      <c r="AE471" s="287">
        <f t="shared" si="338"/>
        <v>188.55</v>
      </c>
      <c r="AF471" s="287">
        <f t="shared" si="347"/>
        <v>322.72000000000003</v>
      </c>
      <c r="AG471" s="287">
        <f t="shared" si="348"/>
        <v>277225.64999999997</v>
      </c>
      <c r="AH471" s="287">
        <f t="shared" si="349"/>
        <v>319674.74999999983</v>
      </c>
      <c r="AI471" s="530">
        <f t="shared" si="339"/>
        <v>-43753.199999999772</v>
      </c>
      <c r="AJ471" s="530">
        <f t="shared" si="321"/>
        <v>0</v>
      </c>
      <c r="AK471" s="530">
        <f t="shared" si="340"/>
        <v>-43753.199999999772</v>
      </c>
      <c r="AL471" s="287">
        <f t="shared" si="350"/>
        <v>0</v>
      </c>
      <c r="AM471" s="428">
        <f t="shared" si="359"/>
        <v>34</v>
      </c>
      <c r="AN471" s="14">
        <f t="shared" si="341"/>
        <v>0</v>
      </c>
      <c r="AO471" s="14">
        <f t="shared" si="323"/>
        <v>0</v>
      </c>
      <c r="AP471" s="14">
        <f t="shared" si="342"/>
        <v>0</v>
      </c>
      <c r="AS471" s="14">
        <f t="shared" si="356"/>
        <v>0</v>
      </c>
      <c r="AT471" s="14">
        <f t="shared" si="360"/>
        <v>0</v>
      </c>
      <c r="AU471" s="287">
        <f t="shared" si="361"/>
        <v>0</v>
      </c>
      <c r="AV471" s="287">
        <f t="shared" si="362"/>
        <v>0</v>
      </c>
    </row>
    <row r="472" spans="1:48" x14ac:dyDescent="0.25">
      <c r="A472" s="519" t="str">
        <f t="shared" si="328"/>
        <v xml:space="preserve"> </v>
      </c>
      <c r="B472" s="287">
        <f t="shared" si="325"/>
        <v>0</v>
      </c>
      <c r="C472" s="14">
        <f t="shared" si="351"/>
        <v>0</v>
      </c>
      <c r="D472" s="14">
        <f t="shared" si="363"/>
        <v>0</v>
      </c>
      <c r="E472" s="14">
        <f t="shared" si="352"/>
        <v>0</v>
      </c>
      <c r="F472" s="14">
        <f t="shared" si="329"/>
        <v>134.16999999999999</v>
      </c>
      <c r="G472" s="14">
        <f t="shared" si="326"/>
        <v>188.55</v>
      </c>
      <c r="H472" s="14">
        <f t="shared" si="327"/>
        <v>322.72000000000003</v>
      </c>
      <c r="I472" s="287">
        <f t="shared" si="330"/>
        <v>187026.8299999999</v>
      </c>
      <c r="J472" s="287">
        <f t="shared" si="331"/>
        <v>96593.969999999914</v>
      </c>
      <c r="K472" s="287">
        <f t="shared" si="332"/>
        <v>0</v>
      </c>
      <c r="L472" s="428">
        <f t="shared" si="324"/>
        <v>34</v>
      </c>
      <c r="M472" s="428">
        <f t="shared" si="357"/>
        <v>413</v>
      </c>
      <c r="N472" s="287">
        <f t="shared" si="322"/>
        <v>0</v>
      </c>
      <c r="O472" s="287">
        <f t="shared" si="343"/>
        <v>0</v>
      </c>
      <c r="P472" s="287">
        <f t="shared" si="364"/>
        <v>0</v>
      </c>
      <c r="Q472" s="287">
        <f t="shared" si="344"/>
        <v>0</v>
      </c>
      <c r="R472" s="287">
        <f t="shared" si="335"/>
        <v>134.16999999999999</v>
      </c>
      <c r="S472" s="287">
        <f t="shared" si="336"/>
        <v>188.55</v>
      </c>
      <c r="T472" s="287">
        <f t="shared" si="333"/>
        <v>322.72000000000003</v>
      </c>
      <c r="U472" s="287">
        <f t="shared" si="365"/>
        <v>230955.00999999998</v>
      </c>
      <c r="V472" s="287">
        <f t="shared" si="366"/>
        <v>322192.18999999977</v>
      </c>
      <c r="W472" s="287">
        <f t="shared" si="334"/>
        <v>0</v>
      </c>
      <c r="X472" s="519" t="str">
        <f t="shared" si="358"/>
        <v xml:space="preserve"> </v>
      </c>
      <c r="Y472" s="287">
        <f t="shared" si="345"/>
        <v>0</v>
      </c>
      <c r="Z472" s="511">
        <f t="shared" si="353"/>
        <v>7.0000000000000007E-2</v>
      </c>
      <c r="AA472" s="287">
        <f t="shared" si="354"/>
        <v>0</v>
      </c>
      <c r="AB472" s="287">
        <f t="shared" si="346"/>
        <v>0</v>
      </c>
      <c r="AC472" s="287">
        <f t="shared" si="355"/>
        <v>0</v>
      </c>
      <c r="AD472" s="287">
        <f t="shared" si="337"/>
        <v>134.16999999999999</v>
      </c>
      <c r="AE472" s="287">
        <f t="shared" si="338"/>
        <v>188.55</v>
      </c>
      <c r="AF472" s="287">
        <f t="shared" si="347"/>
        <v>322.72000000000003</v>
      </c>
      <c r="AG472" s="287">
        <f t="shared" si="348"/>
        <v>277225.64999999997</v>
      </c>
      <c r="AH472" s="287">
        <f t="shared" si="349"/>
        <v>319674.74999999983</v>
      </c>
      <c r="AI472" s="530">
        <f t="shared" si="339"/>
        <v>-43753.199999999772</v>
      </c>
      <c r="AJ472" s="530">
        <f t="shared" si="321"/>
        <v>0</v>
      </c>
      <c r="AK472" s="530">
        <f t="shared" si="340"/>
        <v>-43753.199999999772</v>
      </c>
      <c r="AL472" s="287">
        <f t="shared" si="350"/>
        <v>0</v>
      </c>
      <c r="AM472" s="428">
        <f t="shared" si="359"/>
        <v>34</v>
      </c>
      <c r="AN472" s="14">
        <f t="shared" si="341"/>
        <v>0</v>
      </c>
      <c r="AO472" s="14">
        <f t="shared" si="323"/>
        <v>0</v>
      </c>
      <c r="AP472" s="14">
        <f t="shared" si="342"/>
        <v>0</v>
      </c>
      <c r="AS472" s="14">
        <f t="shared" si="356"/>
        <v>0</v>
      </c>
      <c r="AT472" s="14">
        <f t="shared" si="360"/>
        <v>0</v>
      </c>
      <c r="AU472" s="287">
        <f t="shared" si="361"/>
        <v>0</v>
      </c>
      <c r="AV472" s="287">
        <f t="shared" si="362"/>
        <v>0</v>
      </c>
    </row>
    <row r="473" spans="1:48" x14ac:dyDescent="0.25">
      <c r="A473" s="519" t="str">
        <f t="shared" si="328"/>
        <v xml:space="preserve"> </v>
      </c>
      <c r="B473" s="287">
        <f t="shared" si="325"/>
        <v>0</v>
      </c>
      <c r="C473" s="14">
        <f t="shared" si="351"/>
        <v>0</v>
      </c>
      <c r="D473" s="14">
        <f t="shared" si="363"/>
        <v>0</v>
      </c>
      <c r="E473" s="14">
        <f t="shared" si="352"/>
        <v>0</v>
      </c>
      <c r="F473" s="14">
        <f t="shared" si="329"/>
        <v>134.16999999999999</v>
      </c>
      <c r="G473" s="14">
        <f t="shared" si="326"/>
        <v>188.55</v>
      </c>
      <c r="H473" s="14">
        <f t="shared" si="327"/>
        <v>322.72000000000003</v>
      </c>
      <c r="I473" s="287">
        <f t="shared" si="330"/>
        <v>187026.8299999999</v>
      </c>
      <c r="J473" s="287">
        <f t="shared" si="331"/>
        <v>96593.969999999914</v>
      </c>
      <c r="K473" s="287">
        <f t="shared" si="332"/>
        <v>0</v>
      </c>
      <c r="L473" s="428">
        <f t="shared" si="324"/>
        <v>34</v>
      </c>
      <c r="M473" s="428">
        <f t="shared" si="357"/>
        <v>414</v>
      </c>
      <c r="N473" s="287">
        <f t="shared" si="322"/>
        <v>0</v>
      </c>
      <c r="O473" s="287">
        <f t="shared" si="343"/>
        <v>0</v>
      </c>
      <c r="P473" s="287">
        <f t="shared" si="364"/>
        <v>0</v>
      </c>
      <c r="Q473" s="287">
        <f t="shared" si="344"/>
        <v>0</v>
      </c>
      <c r="R473" s="287">
        <f t="shared" si="335"/>
        <v>134.16999999999999</v>
      </c>
      <c r="S473" s="287">
        <f t="shared" si="336"/>
        <v>188.55</v>
      </c>
      <c r="T473" s="287">
        <f t="shared" si="333"/>
        <v>322.72000000000003</v>
      </c>
      <c r="U473" s="287">
        <f t="shared" si="365"/>
        <v>230955.00999999998</v>
      </c>
      <c r="V473" s="287">
        <f t="shared" si="366"/>
        <v>322192.18999999977</v>
      </c>
      <c r="W473" s="287">
        <f t="shared" si="334"/>
        <v>0</v>
      </c>
      <c r="X473" s="519" t="str">
        <f t="shared" si="358"/>
        <v xml:space="preserve"> </v>
      </c>
      <c r="Y473" s="287">
        <f t="shared" si="345"/>
        <v>0</v>
      </c>
      <c r="Z473" s="511">
        <f t="shared" si="353"/>
        <v>7.0000000000000007E-2</v>
      </c>
      <c r="AA473" s="287">
        <f t="shared" si="354"/>
        <v>0</v>
      </c>
      <c r="AB473" s="287">
        <f t="shared" si="346"/>
        <v>0</v>
      </c>
      <c r="AC473" s="287">
        <f t="shared" si="355"/>
        <v>0</v>
      </c>
      <c r="AD473" s="287">
        <f t="shared" si="337"/>
        <v>134.16999999999999</v>
      </c>
      <c r="AE473" s="287">
        <f t="shared" si="338"/>
        <v>188.55</v>
      </c>
      <c r="AF473" s="287">
        <f t="shared" si="347"/>
        <v>322.72000000000003</v>
      </c>
      <c r="AG473" s="287">
        <f t="shared" si="348"/>
        <v>277225.64999999997</v>
      </c>
      <c r="AH473" s="287">
        <f t="shared" si="349"/>
        <v>319674.74999999983</v>
      </c>
      <c r="AI473" s="530">
        <f t="shared" si="339"/>
        <v>-43753.199999999772</v>
      </c>
      <c r="AJ473" s="530">
        <f t="shared" si="321"/>
        <v>0</v>
      </c>
      <c r="AK473" s="530">
        <f t="shared" si="340"/>
        <v>-43753.199999999772</v>
      </c>
      <c r="AL473" s="287">
        <f t="shared" si="350"/>
        <v>0</v>
      </c>
      <c r="AM473" s="428">
        <f t="shared" si="359"/>
        <v>34</v>
      </c>
      <c r="AN473" s="14">
        <f t="shared" si="341"/>
        <v>0</v>
      </c>
      <c r="AO473" s="14">
        <f t="shared" si="323"/>
        <v>0</v>
      </c>
      <c r="AP473" s="14">
        <f t="shared" si="342"/>
        <v>0</v>
      </c>
      <c r="AS473" s="14">
        <f t="shared" si="356"/>
        <v>0</v>
      </c>
      <c r="AT473" s="14">
        <f t="shared" si="360"/>
        <v>0</v>
      </c>
      <c r="AU473" s="287">
        <f t="shared" si="361"/>
        <v>0</v>
      </c>
      <c r="AV473" s="287">
        <f t="shared" si="362"/>
        <v>0</v>
      </c>
    </row>
    <row r="474" spans="1:48" x14ac:dyDescent="0.25">
      <c r="A474" s="519" t="str">
        <f t="shared" si="328"/>
        <v xml:space="preserve"> </v>
      </c>
      <c r="B474" s="287">
        <f t="shared" si="325"/>
        <v>0</v>
      </c>
      <c r="C474" s="14">
        <f t="shared" si="351"/>
        <v>0</v>
      </c>
      <c r="D474" s="14">
        <f t="shared" si="363"/>
        <v>0</v>
      </c>
      <c r="E474" s="14">
        <f t="shared" si="352"/>
        <v>0</v>
      </c>
      <c r="F474" s="14">
        <f t="shared" si="329"/>
        <v>134.16999999999999</v>
      </c>
      <c r="G474" s="14">
        <f t="shared" si="326"/>
        <v>188.55</v>
      </c>
      <c r="H474" s="14">
        <f t="shared" si="327"/>
        <v>322.72000000000003</v>
      </c>
      <c r="I474" s="287">
        <f t="shared" si="330"/>
        <v>187026.8299999999</v>
      </c>
      <c r="J474" s="287">
        <f t="shared" si="331"/>
        <v>96593.969999999914</v>
      </c>
      <c r="K474" s="287">
        <f t="shared" si="332"/>
        <v>0</v>
      </c>
      <c r="L474" s="428">
        <f t="shared" si="324"/>
        <v>34</v>
      </c>
      <c r="M474" s="428">
        <f t="shared" si="357"/>
        <v>415</v>
      </c>
      <c r="N474" s="287">
        <f t="shared" si="322"/>
        <v>0</v>
      </c>
      <c r="O474" s="287">
        <f t="shared" si="343"/>
        <v>0</v>
      </c>
      <c r="P474" s="287">
        <f t="shared" si="364"/>
        <v>0</v>
      </c>
      <c r="Q474" s="287">
        <f t="shared" si="344"/>
        <v>0</v>
      </c>
      <c r="R474" s="287">
        <f t="shared" si="335"/>
        <v>134.16999999999999</v>
      </c>
      <c r="S474" s="287">
        <f t="shared" si="336"/>
        <v>188.55</v>
      </c>
      <c r="T474" s="287">
        <f t="shared" si="333"/>
        <v>322.72000000000003</v>
      </c>
      <c r="U474" s="287">
        <f t="shared" si="365"/>
        <v>230955.00999999998</v>
      </c>
      <c r="V474" s="287">
        <f t="shared" si="366"/>
        <v>322192.18999999977</v>
      </c>
      <c r="W474" s="287">
        <f t="shared" si="334"/>
        <v>0</v>
      </c>
      <c r="X474" s="519" t="str">
        <f t="shared" si="358"/>
        <v xml:space="preserve"> </v>
      </c>
      <c r="Y474" s="287">
        <f t="shared" si="345"/>
        <v>0</v>
      </c>
      <c r="Z474" s="511">
        <f t="shared" si="353"/>
        <v>7.0000000000000007E-2</v>
      </c>
      <c r="AA474" s="287">
        <f t="shared" si="354"/>
        <v>0</v>
      </c>
      <c r="AB474" s="287">
        <f t="shared" si="346"/>
        <v>0</v>
      </c>
      <c r="AC474" s="287">
        <f t="shared" si="355"/>
        <v>0</v>
      </c>
      <c r="AD474" s="287">
        <f t="shared" si="337"/>
        <v>134.16999999999999</v>
      </c>
      <c r="AE474" s="287">
        <f t="shared" si="338"/>
        <v>188.55</v>
      </c>
      <c r="AF474" s="287">
        <f t="shared" si="347"/>
        <v>322.72000000000003</v>
      </c>
      <c r="AG474" s="287">
        <f t="shared" si="348"/>
        <v>277225.64999999997</v>
      </c>
      <c r="AH474" s="287">
        <f t="shared" si="349"/>
        <v>319674.74999999983</v>
      </c>
      <c r="AI474" s="530">
        <f t="shared" si="339"/>
        <v>-43753.199999999772</v>
      </c>
      <c r="AJ474" s="530">
        <f t="shared" si="321"/>
        <v>0</v>
      </c>
      <c r="AK474" s="530">
        <f t="shared" si="340"/>
        <v>-43753.199999999772</v>
      </c>
      <c r="AL474" s="287">
        <f t="shared" si="350"/>
        <v>0</v>
      </c>
      <c r="AM474" s="428">
        <f t="shared" si="359"/>
        <v>34</v>
      </c>
      <c r="AN474" s="14">
        <f t="shared" si="341"/>
        <v>0</v>
      </c>
      <c r="AO474" s="14">
        <f t="shared" si="323"/>
        <v>0</v>
      </c>
      <c r="AP474" s="14">
        <f t="shared" si="342"/>
        <v>0</v>
      </c>
      <c r="AS474" s="14">
        <f t="shared" si="356"/>
        <v>0</v>
      </c>
      <c r="AT474" s="14">
        <f t="shared" si="360"/>
        <v>0</v>
      </c>
      <c r="AU474" s="287">
        <f t="shared" si="361"/>
        <v>0</v>
      </c>
      <c r="AV474" s="287">
        <f t="shared" si="362"/>
        <v>0</v>
      </c>
    </row>
    <row r="475" spans="1:48" x14ac:dyDescent="0.25">
      <c r="A475" s="519" t="str">
        <f t="shared" si="328"/>
        <v xml:space="preserve"> </v>
      </c>
      <c r="B475" s="287">
        <f t="shared" si="325"/>
        <v>0</v>
      </c>
      <c r="C475" s="14">
        <f t="shared" si="351"/>
        <v>0</v>
      </c>
      <c r="D475" s="14">
        <f t="shared" si="363"/>
        <v>0</v>
      </c>
      <c r="E475" s="14">
        <f t="shared" si="352"/>
        <v>0</v>
      </c>
      <c r="F475" s="14">
        <f t="shared" si="329"/>
        <v>134.16999999999999</v>
      </c>
      <c r="G475" s="14">
        <f t="shared" si="326"/>
        <v>188.55</v>
      </c>
      <c r="H475" s="14">
        <f t="shared" si="327"/>
        <v>322.72000000000003</v>
      </c>
      <c r="I475" s="287">
        <f t="shared" si="330"/>
        <v>187026.8299999999</v>
      </c>
      <c r="J475" s="287">
        <f t="shared" si="331"/>
        <v>96593.969999999914</v>
      </c>
      <c r="K475" s="287">
        <f t="shared" si="332"/>
        <v>0</v>
      </c>
      <c r="L475" s="428">
        <f t="shared" si="324"/>
        <v>34</v>
      </c>
      <c r="M475" s="428">
        <f t="shared" si="357"/>
        <v>416</v>
      </c>
      <c r="N475" s="287">
        <f t="shared" si="322"/>
        <v>0</v>
      </c>
      <c r="O475" s="287">
        <f t="shared" si="343"/>
        <v>0</v>
      </c>
      <c r="P475" s="287">
        <f t="shared" si="364"/>
        <v>0</v>
      </c>
      <c r="Q475" s="287">
        <f t="shared" si="344"/>
        <v>0</v>
      </c>
      <c r="R475" s="287">
        <f t="shared" si="335"/>
        <v>134.16999999999999</v>
      </c>
      <c r="S475" s="287">
        <f t="shared" si="336"/>
        <v>188.55</v>
      </c>
      <c r="T475" s="287">
        <f t="shared" si="333"/>
        <v>322.72000000000003</v>
      </c>
      <c r="U475" s="287">
        <f t="shared" si="365"/>
        <v>230955.00999999998</v>
      </c>
      <c r="V475" s="287">
        <f t="shared" si="366"/>
        <v>322192.18999999977</v>
      </c>
      <c r="W475" s="287">
        <f t="shared" si="334"/>
        <v>0</v>
      </c>
      <c r="X475" s="519" t="str">
        <f t="shared" si="358"/>
        <v xml:space="preserve"> </v>
      </c>
      <c r="Y475" s="287">
        <f t="shared" si="345"/>
        <v>0</v>
      </c>
      <c r="Z475" s="511">
        <f t="shared" si="353"/>
        <v>7.0000000000000007E-2</v>
      </c>
      <c r="AA475" s="287">
        <f t="shared" si="354"/>
        <v>0</v>
      </c>
      <c r="AB475" s="287">
        <f t="shared" si="346"/>
        <v>0</v>
      </c>
      <c r="AC475" s="287">
        <f t="shared" si="355"/>
        <v>0</v>
      </c>
      <c r="AD475" s="287">
        <f t="shared" si="337"/>
        <v>134.16999999999999</v>
      </c>
      <c r="AE475" s="287">
        <f t="shared" si="338"/>
        <v>188.55</v>
      </c>
      <c r="AF475" s="287">
        <f t="shared" si="347"/>
        <v>322.72000000000003</v>
      </c>
      <c r="AG475" s="287">
        <f t="shared" si="348"/>
        <v>277225.64999999997</v>
      </c>
      <c r="AH475" s="287">
        <f t="shared" si="349"/>
        <v>319674.74999999983</v>
      </c>
      <c r="AI475" s="530">
        <f t="shared" si="339"/>
        <v>-43753.199999999772</v>
      </c>
      <c r="AJ475" s="530">
        <f t="shared" ref="AJ475:AJ538" si="367">+W475-AL475</f>
        <v>0</v>
      </c>
      <c r="AK475" s="530">
        <f t="shared" si="340"/>
        <v>-43753.199999999772</v>
      </c>
      <c r="AL475" s="287">
        <f t="shared" si="350"/>
        <v>0</v>
      </c>
      <c r="AM475" s="428">
        <f t="shared" si="359"/>
        <v>34</v>
      </c>
      <c r="AN475" s="14">
        <f t="shared" si="341"/>
        <v>0</v>
      </c>
      <c r="AO475" s="14">
        <f t="shared" si="323"/>
        <v>0</v>
      </c>
      <c r="AP475" s="14">
        <f t="shared" si="342"/>
        <v>0</v>
      </c>
      <c r="AS475" s="14">
        <f t="shared" si="356"/>
        <v>0</v>
      </c>
      <c r="AT475" s="14">
        <f t="shared" si="360"/>
        <v>0</v>
      </c>
      <c r="AU475" s="287">
        <f t="shared" si="361"/>
        <v>0</v>
      </c>
      <c r="AV475" s="287">
        <f t="shared" si="362"/>
        <v>0</v>
      </c>
    </row>
    <row r="476" spans="1:48" x14ac:dyDescent="0.25">
      <c r="A476" s="519" t="str">
        <f t="shared" si="328"/>
        <v xml:space="preserve"> </v>
      </c>
      <c r="B476" s="287">
        <f t="shared" si="325"/>
        <v>0</v>
      </c>
      <c r="C476" s="14">
        <f t="shared" si="351"/>
        <v>0</v>
      </c>
      <c r="D476" s="14">
        <f t="shared" si="363"/>
        <v>0</v>
      </c>
      <c r="E476" s="14">
        <f t="shared" si="352"/>
        <v>0</v>
      </c>
      <c r="F476" s="14">
        <f t="shared" si="329"/>
        <v>134.16999999999999</v>
      </c>
      <c r="G476" s="14">
        <f t="shared" si="326"/>
        <v>188.55</v>
      </c>
      <c r="H476" s="14">
        <f t="shared" si="327"/>
        <v>322.72000000000003</v>
      </c>
      <c r="I476" s="287">
        <f t="shared" si="330"/>
        <v>187026.8299999999</v>
      </c>
      <c r="J476" s="287">
        <f t="shared" si="331"/>
        <v>96593.969999999914</v>
      </c>
      <c r="K476" s="287">
        <f t="shared" si="332"/>
        <v>0</v>
      </c>
      <c r="L476" s="428">
        <f t="shared" si="324"/>
        <v>34</v>
      </c>
      <c r="M476" s="428">
        <f t="shared" si="357"/>
        <v>417</v>
      </c>
      <c r="N476" s="287">
        <f t="shared" si="322"/>
        <v>0</v>
      </c>
      <c r="O476" s="287">
        <f t="shared" si="343"/>
        <v>0</v>
      </c>
      <c r="P476" s="287">
        <f t="shared" si="364"/>
        <v>0</v>
      </c>
      <c r="Q476" s="287">
        <f t="shared" si="344"/>
        <v>0</v>
      </c>
      <c r="R476" s="287">
        <f t="shared" si="335"/>
        <v>134.16999999999999</v>
      </c>
      <c r="S476" s="287">
        <f t="shared" si="336"/>
        <v>188.55</v>
      </c>
      <c r="T476" s="287">
        <f t="shared" si="333"/>
        <v>322.72000000000003</v>
      </c>
      <c r="U476" s="287">
        <f t="shared" si="365"/>
        <v>230955.00999999998</v>
      </c>
      <c r="V476" s="287">
        <f t="shared" si="366"/>
        <v>322192.18999999977</v>
      </c>
      <c r="W476" s="287">
        <f t="shared" si="334"/>
        <v>0</v>
      </c>
      <c r="X476" s="519" t="str">
        <f t="shared" si="358"/>
        <v xml:space="preserve"> </v>
      </c>
      <c r="Y476" s="287">
        <f t="shared" si="345"/>
        <v>0</v>
      </c>
      <c r="Z476" s="511">
        <f t="shared" si="353"/>
        <v>7.0000000000000007E-2</v>
      </c>
      <c r="AA476" s="287">
        <f t="shared" si="354"/>
        <v>0</v>
      </c>
      <c r="AB476" s="287">
        <f t="shared" si="346"/>
        <v>0</v>
      </c>
      <c r="AC476" s="287">
        <f t="shared" si="355"/>
        <v>0</v>
      </c>
      <c r="AD476" s="287">
        <f t="shared" si="337"/>
        <v>134.16999999999999</v>
      </c>
      <c r="AE476" s="287">
        <f t="shared" si="338"/>
        <v>188.55</v>
      </c>
      <c r="AF476" s="287">
        <f t="shared" si="347"/>
        <v>322.72000000000003</v>
      </c>
      <c r="AG476" s="287">
        <f t="shared" si="348"/>
        <v>277225.64999999997</v>
      </c>
      <c r="AH476" s="287">
        <f t="shared" si="349"/>
        <v>319674.74999999983</v>
      </c>
      <c r="AI476" s="530">
        <f t="shared" si="339"/>
        <v>-43753.199999999772</v>
      </c>
      <c r="AJ476" s="530">
        <f t="shared" si="367"/>
        <v>0</v>
      </c>
      <c r="AK476" s="530">
        <f t="shared" si="340"/>
        <v>-43753.199999999772</v>
      </c>
      <c r="AL476" s="287">
        <f t="shared" si="350"/>
        <v>0</v>
      </c>
      <c r="AM476" s="428">
        <f t="shared" si="359"/>
        <v>34</v>
      </c>
      <c r="AN476" s="14">
        <f t="shared" si="341"/>
        <v>0</v>
      </c>
      <c r="AO476" s="14">
        <f t="shared" si="323"/>
        <v>0</v>
      </c>
      <c r="AP476" s="14">
        <f t="shared" si="342"/>
        <v>0</v>
      </c>
      <c r="AS476" s="14">
        <f t="shared" si="356"/>
        <v>0</v>
      </c>
      <c r="AT476" s="14">
        <f t="shared" si="360"/>
        <v>0</v>
      </c>
      <c r="AU476" s="287">
        <f t="shared" si="361"/>
        <v>0</v>
      </c>
      <c r="AV476" s="287">
        <f t="shared" si="362"/>
        <v>0</v>
      </c>
    </row>
    <row r="477" spans="1:48" x14ac:dyDescent="0.25">
      <c r="A477" s="519" t="str">
        <f t="shared" si="328"/>
        <v xml:space="preserve"> </v>
      </c>
      <c r="B477" s="287">
        <f t="shared" si="325"/>
        <v>0</v>
      </c>
      <c r="C477" s="14">
        <f t="shared" si="351"/>
        <v>0</v>
      </c>
      <c r="D477" s="14">
        <f t="shared" si="363"/>
        <v>0</v>
      </c>
      <c r="E477" s="14">
        <f t="shared" si="352"/>
        <v>0</v>
      </c>
      <c r="F477" s="14">
        <f t="shared" si="329"/>
        <v>134.16999999999999</v>
      </c>
      <c r="G477" s="14">
        <f t="shared" si="326"/>
        <v>188.55</v>
      </c>
      <c r="H477" s="14">
        <f t="shared" si="327"/>
        <v>322.72000000000003</v>
      </c>
      <c r="I477" s="287">
        <f t="shared" si="330"/>
        <v>187026.8299999999</v>
      </c>
      <c r="J477" s="287">
        <f t="shared" si="331"/>
        <v>96593.969999999914</v>
      </c>
      <c r="K477" s="287">
        <f t="shared" si="332"/>
        <v>0</v>
      </c>
      <c r="L477" s="428">
        <f t="shared" si="324"/>
        <v>34</v>
      </c>
      <c r="M477" s="428">
        <f t="shared" si="357"/>
        <v>418</v>
      </c>
      <c r="N477" s="287">
        <f t="shared" si="322"/>
        <v>0</v>
      </c>
      <c r="O477" s="287">
        <f t="shared" si="343"/>
        <v>0</v>
      </c>
      <c r="P477" s="287">
        <f t="shared" si="364"/>
        <v>0</v>
      </c>
      <c r="Q477" s="287">
        <f t="shared" si="344"/>
        <v>0</v>
      </c>
      <c r="R477" s="287">
        <f t="shared" si="335"/>
        <v>134.16999999999999</v>
      </c>
      <c r="S477" s="287">
        <f t="shared" si="336"/>
        <v>188.55</v>
      </c>
      <c r="T477" s="287">
        <f t="shared" si="333"/>
        <v>322.72000000000003</v>
      </c>
      <c r="U477" s="287">
        <f t="shared" si="365"/>
        <v>230955.00999999998</v>
      </c>
      <c r="V477" s="287">
        <f t="shared" si="366"/>
        <v>322192.18999999977</v>
      </c>
      <c r="W477" s="287">
        <f t="shared" si="334"/>
        <v>0</v>
      </c>
      <c r="X477" s="519" t="str">
        <f t="shared" si="358"/>
        <v xml:space="preserve"> </v>
      </c>
      <c r="Y477" s="287">
        <f t="shared" si="345"/>
        <v>0</v>
      </c>
      <c r="Z477" s="511">
        <f t="shared" si="353"/>
        <v>7.0000000000000007E-2</v>
      </c>
      <c r="AA477" s="287">
        <f t="shared" si="354"/>
        <v>0</v>
      </c>
      <c r="AB477" s="287">
        <f t="shared" si="346"/>
        <v>0</v>
      </c>
      <c r="AC477" s="287">
        <f t="shared" si="355"/>
        <v>0</v>
      </c>
      <c r="AD477" s="287">
        <f t="shared" si="337"/>
        <v>134.16999999999999</v>
      </c>
      <c r="AE477" s="287">
        <f t="shared" si="338"/>
        <v>188.55</v>
      </c>
      <c r="AF477" s="287">
        <f t="shared" si="347"/>
        <v>322.72000000000003</v>
      </c>
      <c r="AG477" s="287">
        <f t="shared" si="348"/>
        <v>277225.64999999997</v>
      </c>
      <c r="AH477" s="287">
        <f t="shared" si="349"/>
        <v>319674.74999999983</v>
      </c>
      <c r="AI477" s="530">
        <f t="shared" si="339"/>
        <v>-43753.199999999772</v>
      </c>
      <c r="AJ477" s="530">
        <f t="shared" si="367"/>
        <v>0</v>
      </c>
      <c r="AK477" s="530">
        <f t="shared" si="340"/>
        <v>-43753.199999999772</v>
      </c>
      <c r="AL477" s="287">
        <f t="shared" si="350"/>
        <v>0</v>
      </c>
      <c r="AM477" s="428">
        <f t="shared" si="359"/>
        <v>34</v>
      </c>
      <c r="AN477" s="14">
        <f t="shared" si="341"/>
        <v>0</v>
      </c>
      <c r="AO477" s="14">
        <f t="shared" si="323"/>
        <v>0</v>
      </c>
      <c r="AP477" s="14">
        <f t="shared" si="342"/>
        <v>0</v>
      </c>
      <c r="AS477" s="14">
        <f t="shared" si="356"/>
        <v>0</v>
      </c>
      <c r="AT477" s="14">
        <f t="shared" si="360"/>
        <v>0</v>
      </c>
      <c r="AU477" s="287">
        <f t="shared" si="361"/>
        <v>0</v>
      </c>
      <c r="AV477" s="287">
        <f t="shared" si="362"/>
        <v>0</v>
      </c>
    </row>
    <row r="478" spans="1:48" x14ac:dyDescent="0.25">
      <c r="A478" s="519" t="str">
        <f t="shared" si="328"/>
        <v xml:space="preserve"> </v>
      </c>
      <c r="B478" s="287">
        <f t="shared" si="325"/>
        <v>0</v>
      </c>
      <c r="C478" s="14">
        <f t="shared" si="351"/>
        <v>0</v>
      </c>
      <c r="D478" s="14">
        <f t="shared" si="363"/>
        <v>0</v>
      </c>
      <c r="E478" s="14">
        <f t="shared" si="352"/>
        <v>0</v>
      </c>
      <c r="F478" s="14">
        <f t="shared" si="329"/>
        <v>134.16999999999999</v>
      </c>
      <c r="G478" s="14">
        <f t="shared" si="326"/>
        <v>188.55</v>
      </c>
      <c r="H478" s="14">
        <f t="shared" si="327"/>
        <v>322.72000000000003</v>
      </c>
      <c r="I478" s="287">
        <f t="shared" si="330"/>
        <v>187026.8299999999</v>
      </c>
      <c r="J478" s="287">
        <f t="shared" si="331"/>
        <v>96593.969999999914</v>
      </c>
      <c r="K478" s="287">
        <f t="shared" si="332"/>
        <v>0</v>
      </c>
      <c r="L478" s="428">
        <f t="shared" si="324"/>
        <v>34</v>
      </c>
      <c r="M478" s="428">
        <f t="shared" si="357"/>
        <v>419</v>
      </c>
      <c r="N478" s="287">
        <f t="shared" si="322"/>
        <v>0</v>
      </c>
      <c r="O478" s="287">
        <f t="shared" si="343"/>
        <v>0</v>
      </c>
      <c r="P478" s="287">
        <f t="shared" si="364"/>
        <v>0</v>
      </c>
      <c r="Q478" s="287">
        <f t="shared" si="344"/>
        <v>0</v>
      </c>
      <c r="R478" s="287">
        <f t="shared" si="335"/>
        <v>134.16999999999999</v>
      </c>
      <c r="S478" s="287">
        <f t="shared" si="336"/>
        <v>188.55</v>
      </c>
      <c r="T478" s="287">
        <f t="shared" si="333"/>
        <v>322.72000000000003</v>
      </c>
      <c r="U478" s="287">
        <f t="shared" si="365"/>
        <v>230955.00999999998</v>
      </c>
      <c r="V478" s="287">
        <f t="shared" si="366"/>
        <v>322192.18999999977</v>
      </c>
      <c r="W478" s="287">
        <f t="shared" si="334"/>
        <v>0</v>
      </c>
      <c r="X478" s="519" t="str">
        <f t="shared" si="358"/>
        <v xml:space="preserve"> </v>
      </c>
      <c r="Y478" s="287">
        <f t="shared" si="345"/>
        <v>0</v>
      </c>
      <c r="Z478" s="511">
        <f t="shared" si="353"/>
        <v>7.0000000000000007E-2</v>
      </c>
      <c r="AA478" s="287">
        <f t="shared" si="354"/>
        <v>0</v>
      </c>
      <c r="AB478" s="287">
        <f t="shared" si="346"/>
        <v>0</v>
      </c>
      <c r="AC478" s="287">
        <f t="shared" si="355"/>
        <v>0</v>
      </c>
      <c r="AD478" s="287">
        <f t="shared" si="337"/>
        <v>134.16999999999999</v>
      </c>
      <c r="AE478" s="287">
        <f t="shared" si="338"/>
        <v>188.55</v>
      </c>
      <c r="AF478" s="287">
        <f t="shared" si="347"/>
        <v>322.72000000000003</v>
      </c>
      <c r="AG478" s="287">
        <f t="shared" si="348"/>
        <v>277225.64999999997</v>
      </c>
      <c r="AH478" s="287">
        <f t="shared" si="349"/>
        <v>319674.74999999983</v>
      </c>
      <c r="AI478" s="530">
        <f t="shared" si="339"/>
        <v>-43753.199999999772</v>
      </c>
      <c r="AJ478" s="530">
        <f t="shared" si="367"/>
        <v>0</v>
      </c>
      <c r="AK478" s="530">
        <f t="shared" si="340"/>
        <v>-43753.199999999772</v>
      </c>
      <c r="AL478" s="287">
        <f t="shared" si="350"/>
        <v>0</v>
      </c>
      <c r="AM478" s="428">
        <f t="shared" si="359"/>
        <v>34</v>
      </c>
      <c r="AN478" s="14">
        <f t="shared" si="341"/>
        <v>0</v>
      </c>
      <c r="AO478" s="14">
        <f t="shared" si="323"/>
        <v>0</v>
      </c>
      <c r="AP478" s="14">
        <f t="shared" si="342"/>
        <v>0</v>
      </c>
      <c r="AS478" s="14">
        <f t="shared" si="356"/>
        <v>0</v>
      </c>
      <c r="AT478" s="14">
        <f t="shared" si="360"/>
        <v>0</v>
      </c>
      <c r="AU478" s="287">
        <f t="shared" si="361"/>
        <v>0</v>
      </c>
      <c r="AV478" s="287">
        <f t="shared" si="362"/>
        <v>0</v>
      </c>
    </row>
    <row r="479" spans="1:48" x14ac:dyDescent="0.25">
      <c r="A479" s="519" t="str">
        <f t="shared" si="328"/>
        <v xml:space="preserve"> </v>
      </c>
      <c r="B479" s="287">
        <f t="shared" si="325"/>
        <v>0</v>
      </c>
      <c r="C479" s="14">
        <f t="shared" si="351"/>
        <v>0</v>
      </c>
      <c r="D479" s="14">
        <f t="shared" si="363"/>
        <v>0</v>
      </c>
      <c r="E479" s="14">
        <f t="shared" si="352"/>
        <v>0</v>
      </c>
      <c r="F479" s="14">
        <f t="shared" si="329"/>
        <v>134.16999999999999</v>
      </c>
      <c r="G479" s="14">
        <f t="shared" si="326"/>
        <v>188.55</v>
      </c>
      <c r="H479" s="14">
        <f t="shared" si="327"/>
        <v>322.72000000000003</v>
      </c>
      <c r="I479" s="287">
        <f t="shared" si="330"/>
        <v>187026.8299999999</v>
      </c>
      <c r="J479" s="287">
        <f t="shared" si="331"/>
        <v>96593.969999999914</v>
      </c>
      <c r="K479" s="287">
        <f t="shared" si="332"/>
        <v>0</v>
      </c>
      <c r="L479" s="428">
        <f t="shared" si="324"/>
        <v>35</v>
      </c>
      <c r="M479" s="428">
        <f t="shared" si="357"/>
        <v>420</v>
      </c>
      <c r="N479" s="287">
        <f t="shared" si="322"/>
        <v>0</v>
      </c>
      <c r="O479" s="287">
        <f t="shared" si="343"/>
        <v>0</v>
      </c>
      <c r="P479" s="287">
        <f t="shared" si="364"/>
        <v>0</v>
      </c>
      <c r="Q479" s="287">
        <f t="shared" si="344"/>
        <v>0</v>
      </c>
      <c r="R479" s="287">
        <f t="shared" si="335"/>
        <v>134.16999999999999</v>
      </c>
      <c r="S479" s="287">
        <f t="shared" si="336"/>
        <v>188.55</v>
      </c>
      <c r="T479" s="287">
        <f t="shared" si="333"/>
        <v>322.72000000000003</v>
      </c>
      <c r="U479" s="287">
        <f t="shared" si="365"/>
        <v>230955.00999999998</v>
      </c>
      <c r="V479" s="287">
        <f t="shared" si="366"/>
        <v>322192.18999999977</v>
      </c>
      <c r="W479" s="287">
        <f t="shared" si="334"/>
        <v>0</v>
      </c>
      <c r="X479" s="519" t="str">
        <f t="shared" si="358"/>
        <v xml:space="preserve"> </v>
      </c>
      <c r="Y479" s="287">
        <f t="shared" si="345"/>
        <v>0</v>
      </c>
      <c r="Z479" s="511">
        <f t="shared" si="353"/>
        <v>7.0000000000000007E-2</v>
      </c>
      <c r="AA479" s="287">
        <f t="shared" si="354"/>
        <v>0</v>
      </c>
      <c r="AB479" s="287">
        <f t="shared" si="346"/>
        <v>0</v>
      </c>
      <c r="AC479" s="287">
        <f t="shared" si="355"/>
        <v>0</v>
      </c>
      <c r="AD479" s="287">
        <f t="shared" si="337"/>
        <v>134.16999999999999</v>
      </c>
      <c r="AE479" s="287">
        <f t="shared" si="338"/>
        <v>188.55</v>
      </c>
      <c r="AF479" s="287">
        <f t="shared" si="347"/>
        <v>322.72000000000003</v>
      </c>
      <c r="AG479" s="287">
        <f t="shared" si="348"/>
        <v>277225.64999999997</v>
      </c>
      <c r="AH479" s="287">
        <f t="shared" si="349"/>
        <v>319674.74999999983</v>
      </c>
      <c r="AI479" s="530">
        <f t="shared" si="339"/>
        <v>-43753.199999999772</v>
      </c>
      <c r="AJ479" s="530">
        <f t="shared" si="367"/>
        <v>0</v>
      </c>
      <c r="AK479" s="530">
        <f t="shared" si="340"/>
        <v>-43753.199999999772</v>
      </c>
      <c r="AL479" s="287">
        <f t="shared" si="350"/>
        <v>0</v>
      </c>
      <c r="AM479" s="428">
        <f t="shared" si="359"/>
        <v>35</v>
      </c>
      <c r="AN479" s="14">
        <f t="shared" si="341"/>
        <v>0</v>
      </c>
      <c r="AO479" s="14">
        <f t="shared" si="323"/>
        <v>0</v>
      </c>
      <c r="AP479" s="14">
        <f t="shared" si="342"/>
        <v>0</v>
      </c>
      <c r="AS479" s="14">
        <f t="shared" si="356"/>
        <v>0</v>
      </c>
      <c r="AT479" s="14">
        <f t="shared" si="360"/>
        <v>0</v>
      </c>
      <c r="AU479" s="287">
        <f t="shared" si="361"/>
        <v>0</v>
      </c>
      <c r="AV479" s="287">
        <f t="shared" si="362"/>
        <v>0</v>
      </c>
    </row>
    <row r="480" spans="1:48" x14ac:dyDescent="0.25">
      <c r="A480" s="519" t="str">
        <f t="shared" si="328"/>
        <v xml:space="preserve"> </v>
      </c>
      <c r="B480" s="287">
        <f t="shared" si="325"/>
        <v>0</v>
      </c>
      <c r="C480" s="14">
        <f t="shared" si="351"/>
        <v>0</v>
      </c>
      <c r="D480" s="14">
        <f t="shared" si="363"/>
        <v>0</v>
      </c>
      <c r="E480" s="14">
        <f t="shared" si="352"/>
        <v>0</v>
      </c>
      <c r="F480" s="14">
        <f t="shared" si="329"/>
        <v>134.16999999999999</v>
      </c>
      <c r="G480" s="14">
        <f t="shared" si="326"/>
        <v>188.55</v>
      </c>
      <c r="H480" s="14">
        <f t="shared" si="327"/>
        <v>322.72000000000003</v>
      </c>
      <c r="I480" s="287">
        <f t="shared" si="330"/>
        <v>187026.8299999999</v>
      </c>
      <c r="J480" s="287">
        <f t="shared" si="331"/>
        <v>96593.969999999914</v>
      </c>
      <c r="K480" s="287">
        <f t="shared" si="332"/>
        <v>0</v>
      </c>
      <c r="L480" s="428">
        <f t="shared" si="324"/>
        <v>35</v>
      </c>
      <c r="M480" s="428">
        <f t="shared" si="357"/>
        <v>421</v>
      </c>
      <c r="N480" s="287">
        <f t="shared" si="322"/>
        <v>0</v>
      </c>
      <c r="O480" s="287">
        <f t="shared" si="343"/>
        <v>0</v>
      </c>
      <c r="P480" s="287">
        <f t="shared" si="364"/>
        <v>0</v>
      </c>
      <c r="Q480" s="287">
        <f t="shared" si="344"/>
        <v>0</v>
      </c>
      <c r="R480" s="287">
        <f t="shared" si="335"/>
        <v>134.16999999999999</v>
      </c>
      <c r="S480" s="287">
        <f t="shared" si="336"/>
        <v>188.55</v>
      </c>
      <c r="T480" s="287">
        <f t="shared" si="333"/>
        <v>322.72000000000003</v>
      </c>
      <c r="U480" s="287">
        <f t="shared" si="365"/>
        <v>230955.00999999998</v>
      </c>
      <c r="V480" s="287">
        <f t="shared" si="366"/>
        <v>322192.18999999977</v>
      </c>
      <c r="W480" s="287">
        <f t="shared" si="334"/>
        <v>0</v>
      </c>
      <c r="X480" s="519" t="str">
        <f t="shared" si="358"/>
        <v xml:space="preserve"> </v>
      </c>
      <c r="Y480" s="287">
        <f t="shared" si="345"/>
        <v>0</v>
      </c>
      <c r="Z480" s="511">
        <f t="shared" si="353"/>
        <v>7.0000000000000007E-2</v>
      </c>
      <c r="AA480" s="287">
        <f t="shared" si="354"/>
        <v>0</v>
      </c>
      <c r="AB480" s="287">
        <f t="shared" si="346"/>
        <v>0</v>
      </c>
      <c r="AC480" s="287">
        <f t="shared" si="355"/>
        <v>0</v>
      </c>
      <c r="AD480" s="287">
        <f t="shared" si="337"/>
        <v>134.16999999999999</v>
      </c>
      <c r="AE480" s="287">
        <f t="shared" si="338"/>
        <v>188.55</v>
      </c>
      <c r="AF480" s="287">
        <f t="shared" si="347"/>
        <v>322.72000000000003</v>
      </c>
      <c r="AG480" s="287">
        <f t="shared" si="348"/>
        <v>277225.64999999997</v>
      </c>
      <c r="AH480" s="287">
        <f t="shared" si="349"/>
        <v>319674.74999999983</v>
      </c>
      <c r="AI480" s="530">
        <f t="shared" si="339"/>
        <v>-43753.199999999772</v>
      </c>
      <c r="AJ480" s="530">
        <f t="shared" si="367"/>
        <v>0</v>
      </c>
      <c r="AK480" s="530">
        <f t="shared" si="340"/>
        <v>-43753.199999999772</v>
      </c>
      <c r="AL480" s="287">
        <f t="shared" si="350"/>
        <v>0</v>
      </c>
      <c r="AM480" s="428">
        <f t="shared" si="359"/>
        <v>35</v>
      </c>
      <c r="AN480" s="14">
        <f t="shared" si="341"/>
        <v>0</v>
      </c>
      <c r="AO480" s="14">
        <f t="shared" si="323"/>
        <v>0</v>
      </c>
      <c r="AP480" s="14">
        <f t="shared" si="342"/>
        <v>0</v>
      </c>
      <c r="AS480" s="14">
        <f t="shared" si="356"/>
        <v>0</v>
      </c>
      <c r="AT480" s="14">
        <f t="shared" si="360"/>
        <v>0</v>
      </c>
      <c r="AU480" s="287">
        <f t="shared" si="361"/>
        <v>0</v>
      </c>
      <c r="AV480" s="287">
        <f t="shared" si="362"/>
        <v>0</v>
      </c>
    </row>
    <row r="481" spans="1:49" x14ac:dyDescent="0.25">
      <c r="A481" s="519" t="str">
        <f t="shared" si="328"/>
        <v xml:space="preserve"> </v>
      </c>
      <c r="B481" s="287">
        <f t="shared" si="325"/>
        <v>0</v>
      </c>
      <c r="C481" s="14">
        <f t="shared" si="351"/>
        <v>0</v>
      </c>
      <c r="D481" s="14">
        <f t="shared" si="363"/>
        <v>0</v>
      </c>
      <c r="E481" s="14">
        <f t="shared" si="352"/>
        <v>0</v>
      </c>
      <c r="F481" s="14">
        <f t="shared" si="329"/>
        <v>134.16999999999999</v>
      </c>
      <c r="G481" s="14">
        <f t="shared" si="326"/>
        <v>188.55</v>
      </c>
      <c r="H481" s="14">
        <f t="shared" si="327"/>
        <v>322.72000000000003</v>
      </c>
      <c r="I481" s="287">
        <f t="shared" si="330"/>
        <v>187026.8299999999</v>
      </c>
      <c r="J481" s="287">
        <f t="shared" si="331"/>
        <v>96593.969999999914</v>
      </c>
      <c r="K481" s="287">
        <f t="shared" si="332"/>
        <v>0</v>
      </c>
      <c r="L481" s="428">
        <f t="shared" si="324"/>
        <v>35</v>
      </c>
      <c r="M481" s="428">
        <f t="shared" si="357"/>
        <v>422</v>
      </c>
      <c r="N481" s="287">
        <f t="shared" si="322"/>
        <v>0</v>
      </c>
      <c r="O481" s="287">
        <f t="shared" si="343"/>
        <v>0</v>
      </c>
      <c r="P481" s="287">
        <f t="shared" si="364"/>
        <v>0</v>
      </c>
      <c r="Q481" s="287">
        <f t="shared" si="344"/>
        <v>0</v>
      </c>
      <c r="R481" s="287">
        <f t="shared" si="335"/>
        <v>134.16999999999999</v>
      </c>
      <c r="S481" s="287">
        <f t="shared" si="336"/>
        <v>188.55</v>
      </c>
      <c r="T481" s="287">
        <f t="shared" si="333"/>
        <v>322.72000000000003</v>
      </c>
      <c r="U481" s="287">
        <f t="shared" si="365"/>
        <v>230955.00999999998</v>
      </c>
      <c r="V481" s="287">
        <f t="shared" si="366"/>
        <v>322192.18999999977</v>
      </c>
      <c r="W481" s="287">
        <f t="shared" si="334"/>
        <v>0</v>
      </c>
      <c r="X481" s="519" t="str">
        <f t="shared" si="358"/>
        <v xml:space="preserve"> </v>
      </c>
      <c r="Y481" s="287">
        <f t="shared" si="345"/>
        <v>0</v>
      </c>
      <c r="Z481" s="511">
        <f t="shared" si="353"/>
        <v>7.0000000000000007E-2</v>
      </c>
      <c r="AA481" s="287">
        <f t="shared" si="354"/>
        <v>0</v>
      </c>
      <c r="AB481" s="287">
        <f t="shared" si="346"/>
        <v>0</v>
      </c>
      <c r="AC481" s="287">
        <f t="shared" si="355"/>
        <v>0</v>
      </c>
      <c r="AD481" s="287">
        <f t="shared" si="337"/>
        <v>134.16999999999999</v>
      </c>
      <c r="AE481" s="287">
        <f t="shared" si="338"/>
        <v>188.55</v>
      </c>
      <c r="AF481" s="287">
        <f t="shared" si="347"/>
        <v>322.72000000000003</v>
      </c>
      <c r="AG481" s="287">
        <f t="shared" si="348"/>
        <v>277225.64999999997</v>
      </c>
      <c r="AH481" s="287">
        <f t="shared" si="349"/>
        <v>319674.74999999983</v>
      </c>
      <c r="AI481" s="530">
        <f t="shared" si="339"/>
        <v>-43753.199999999772</v>
      </c>
      <c r="AJ481" s="530">
        <f t="shared" si="367"/>
        <v>0</v>
      </c>
      <c r="AK481" s="530">
        <f t="shared" si="340"/>
        <v>-43753.199999999772</v>
      </c>
      <c r="AL481" s="287">
        <f t="shared" si="350"/>
        <v>0</v>
      </c>
      <c r="AM481" s="428">
        <f t="shared" si="359"/>
        <v>35</v>
      </c>
      <c r="AN481" s="14">
        <f t="shared" si="341"/>
        <v>0</v>
      </c>
      <c r="AO481" s="14">
        <f t="shared" si="323"/>
        <v>0</v>
      </c>
      <c r="AP481" s="14">
        <f t="shared" si="342"/>
        <v>0</v>
      </c>
      <c r="AS481" s="14">
        <f t="shared" si="356"/>
        <v>0</v>
      </c>
      <c r="AT481" s="14">
        <f t="shared" si="360"/>
        <v>0</v>
      </c>
      <c r="AU481" s="287">
        <f t="shared" si="361"/>
        <v>0</v>
      </c>
      <c r="AV481" s="287">
        <f t="shared" si="362"/>
        <v>0</v>
      </c>
    </row>
    <row r="482" spans="1:49" ht="15.75" thickBot="1" x14ac:dyDescent="0.3">
      <c r="A482" s="522" t="str">
        <f t="shared" si="328"/>
        <v xml:space="preserve"> </v>
      </c>
      <c r="B482" s="348">
        <f t="shared" si="325"/>
        <v>0</v>
      </c>
      <c r="C482" s="21">
        <f t="shared" si="351"/>
        <v>0</v>
      </c>
      <c r="D482" s="21">
        <f t="shared" si="363"/>
        <v>0</v>
      </c>
      <c r="E482" s="21">
        <f t="shared" si="352"/>
        <v>0</v>
      </c>
      <c r="F482" s="21">
        <f t="shared" si="329"/>
        <v>134.16999999999999</v>
      </c>
      <c r="G482" s="21">
        <f t="shared" si="326"/>
        <v>188.55</v>
      </c>
      <c r="H482" s="21">
        <f t="shared" si="327"/>
        <v>322.72000000000003</v>
      </c>
      <c r="I482" s="348">
        <f t="shared" si="330"/>
        <v>187026.8299999999</v>
      </c>
      <c r="J482" s="348">
        <f t="shared" si="331"/>
        <v>96593.969999999914</v>
      </c>
      <c r="K482" s="348">
        <f t="shared" si="332"/>
        <v>0</v>
      </c>
      <c r="L482" s="429">
        <f t="shared" si="324"/>
        <v>35</v>
      </c>
      <c r="M482" s="429">
        <f t="shared" si="357"/>
        <v>423</v>
      </c>
      <c r="N482" s="348">
        <f t="shared" ref="N482:N490" si="368">IF(+W481&lt;0,0,+W481)</f>
        <v>0</v>
      </c>
      <c r="O482" s="348">
        <f t="shared" si="343"/>
        <v>0</v>
      </c>
      <c r="P482" s="348">
        <f t="shared" si="364"/>
        <v>0</v>
      </c>
      <c r="Q482" s="348">
        <f t="shared" si="344"/>
        <v>0</v>
      </c>
      <c r="R482" s="348">
        <f t="shared" si="335"/>
        <v>134.16999999999999</v>
      </c>
      <c r="S482" s="348">
        <f t="shared" si="336"/>
        <v>188.55</v>
      </c>
      <c r="T482" s="348">
        <f t="shared" si="333"/>
        <v>322.72000000000003</v>
      </c>
      <c r="U482" s="348">
        <f t="shared" si="365"/>
        <v>230955.00999999998</v>
      </c>
      <c r="V482" s="348">
        <f t="shared" si="366"/>
        <v>322192.18999999977</v>
      </c>
      <c r="W482" s="348">
        <f t="shared" si="334"/>
        <v>0</v>
      </c>
      <c r="X482" s="522" t="str">
        <f t="shared" si="358"/>
        <v xml:space="preserve"> </v>
      </c>
      <c r="Y482" s="348">
        <f t="shared" si="345"/>
        <v>0</v>
      </c>
      <c r="Z482" s="512">
        <f t="shared" si="353"/>
        <v>7.0000000000000007E-2</v>
      </c>
      <c r="AA482" s="348">
        <f t="shared" si="354"/>
        <v>0</v>
      </c>
      <c r="AB482" s="348">
        <f t="shared" si="346"/>
        <v>0</v>
      </c>
      <c r="AC482" s="348">
        <f t="shared" si="355"/>
        <v>0</v>
      </c>
      <c r="AD482" s="348">
        <f t="shared" si="337"/>
        <v>134.16999999999999</v>
      </c>
      <c r="AE482" s="348">
        <f t="shared" si="338"/>
        <v>188.55</v>
      </c>
      <c r="AF482" s="348">
        <f t="shared" si="347"/>
        <v>322.72000000000003</v>
      </c>
      <c r="AG482" s="348">
        <f t="shared" si="348"/>
        <v>277225.64999999997</v>
      </c>
      <c r="AH482" s="348">
        <f t="shared" si="349"/>
        <v>319674.74999999983</v>
      </c>
      <c r="AI482" s="531">
        <f t="shared" si="339"/>
        <v>-43753.199999999772</v>
      </c>
      <c r="AJ482" s="531">
        <f t="shared" si="367"/>
        <v>0</v>
      </c>
      <c r="AK482" s="530">
        <f t="shared" si="340"/>
        <v>-43753.199999999772</v>
      </c>
      <c r="AL482" s="348">
        <f t="shared" si="350"/>
        <v>0</v>
      </c>
      <c r="AM482" s="429">
        <f t="shared" si="359"/>
        <v>35</v>
      </c>
      <c r="AN482" s="21">
        <f t="shared" si="341"/>
        <v>0</v>
      </c>
      <c r="AO482" s="21">
        <f t="shared" si="323"/>
        <v>0</v>
      </c>
      <c r="AP482" s="21">
        <f t="shared" si="342"/>
        <v>0</v>
      </c>
      <c r="AQ482" s="21"/>
      <c r="AR482" s="23"/>
      <c r="AS482" s="21">
        <f t="shared" si="356"/>
        <v>0</v>
      </c>
      <c r="AT482" s="21">
        <f t="shared" si="360"/>
        <v>0</v>
      </c>
      <c r="AU482" s="348">
        <f t="shared" si="361"/>
        <v>0</v>
      </c>
      <c r="AV482" s="348">
        <f t="shared" si="362"/>
        <v>0</v>
      </c>
    </row>
    <row r="483" spans="1:49" x14ac:dyDescent="0.25">
      <c r="A483" s="519" t="str">
        <f t="shared" si="328"/>
        <v xml:space="preserve"> </v>
      </c>
      <c r="B483" s="287">
        <f t="shared" si="325"/>
        <v>0</v>
      </c>
      <c r="C483" s="14">
        <f t="shared" si="351"/>
        <v>0</v>
      </c>
      <c r="D483" s="14">
        <f t="shared" si="363"/>
        <v>0</v>
      </c>
      <c r="E483" s="14">
        <f t="shared" si="352"/>
        <v>0</v>
      </c>
      <c r="F483" s="14">
        <f t="shared" si="329"/>
        <v>134.16999999999999</v>
      </c>
      <c r="G483" s="14">
        <f t="shared" si="326"/>
        <v>188.55</v>
      </c>
      <c r="H483" s="14">
        <f t="shared" si="327"/>
        <v>322.72000000000003</v>
      </c>
      <c r="I483" s="287">
        <f t="shared" si="330"/>
        <v>187026.8299999999</v>
      </c>
      <c r="J483" s="287">
        <f t="shared" si="331"/>
        <v>96593.969999999914</v>
      </c>
      <c r="K483" s="287">
        <f t="shared" si="332"/>
        <v>0</v>
      </c>
      <c r="L483" s="428">
        <f t="shared" si="324"/>
        <v>35</v>
      </c>
      <c r="M483" s="428">
        <f t="shared" si="357"/>
        <v>424</v>
      </c>
      <c r="N483" s="287">
        <f t="shared" si="368"/>
        <v>0</v>
      </c>
      <c r="O483" s="287">
        <f t="shared" si="343"/>
        <v>0</v>
      </c>
      <c r="P483" s="287">
        <f t="shared" si="364"/>
        <v>0</v>
      </c>
      <c r="Q483" s="287">
        <f t="shared" si="344"/>
        <v>0</v>
      </c>
      <c r="R483" s="287">
        <f t="shared" si="335"/>
        <v>134.16999999999999</v>
      </c>
      <c r="S483" s="287">
        <f t="shared" si="336"/>
        <v>188.55</v>
      </c>
      <c r="T483" s="287">
        <f t="shared" si="333"/>
        <v>322.72000000000003</v>
      </c>
      <c r="U483" s="287">
        <f t="shared" si="365"/>
        <v>230955.00999999998</v>
      </c>
      <c r="V483" s="287">
        <f t="shared" si="366"/>
        <v>322192.18999999977</v>
      </c>
      <c r="W483" s="287">
        <f t="shared" si="334"/>
        <v>0</v>
      </c>
      <c r="X483" s="519" t="str">
        <f t="shared" si="358"/>
        <v xml:space="preserve"> </v>
      </c>
      <c r="Y483" s="287">
        <f t="shared" si="345"/>
        <v>0</v>
      </c>
      <c r="Z483" s="511">
        <f t="shared" si="353"/>
        <v>7.0000000000000007E-2</v>
      </c>
      <c r="AA483" s="287">
        <f t="shared" si="354"/>
        <v>0</v>
      </c>
      <c r="AB483" s="287">
        <f t="shared" si="346"/>
        <v>0</v>
      </c>
      <c r="AC483" s="287">
        <f t="shared" si="355"/>
        <v>0</v>
      </c>
      <c r="AD483" s="287">
        <f t="shared" si="337"/>
        <v>134.16999999999999</v>
      </c>
      <c r="AE483" s="287">
        <f t="shared" si="338"/>
        <v>188.55</v>
      </c>
      <c r="AF483" s="287">
        <f t="shared" si="347"/>
        <v>322.72000000000003</v>
      </c>
      <c r="AG483" s="287">
        <f t="shared" si="348"/>
        <v>277225.64999999997</v>
      </c>
      <c r="AH483" s="287">
        <f t="shared" si="349"/>
        <v>319674.74999999983</v>
      </c>
      <c r="AI483" s="530">
        <f t="shared" si="339"/>
        <v>-43753.199999999772</v>
      </c>
      <c r="AJ483" s="530">
        <f t="shared" si="367"/>
        <v>0</v>
      </c>
      <c r="AK483" s="530">
        <f t="shared" si="340"/>
        <v>-43753.199999999772</v>
      </c>
      <c r="AL483" s="287">
        <f t="shared" si="350"/>
        <v>0</v>
      </c>
      <c r="AM483" s="428">
        <f t="shared" si="359"/>
        <v>35</v>
      </c>
      <c r="AN483" s="14">
        <f t="shared" si="341"/>
        <v>0</v>
      </c>
      <c r="AO483" s="14">
        <f t="shared" si="323"/>
        <v>0</v>
      </c>
      <c r="AP483" s="14">
        <f t="shared" si="342"/>
        <v>0</v>
      </c>
      <c r="AS483" s="14">
        <f t="shared" si="356"/>
        <v>0</v>
      </c>
      <c r="AT483" s="14">
        <f t="shared" si="360"/>
        <v>0</v>
      </c>
      <c r="AU483" s="287">
        <f t="shared" si="361"/>
        <v>0</v>
      </c>
      <c r="AV483" s="287">
        <f t="shared" si="362"/>
        <v>0</v>
      </c>
    </row>
    <row r="484" spans="1:49" x14ac:dyDescent="0.25">
      <c r="A484" s="519" t="str">
        <f t="shared" si="328"/>
        <v xml:space="preserve"> </v>
      </c>
      <c r="B484" s="287">
        <f t="shared" si="325"/>
        <v>0</v>
      </c>
      <c r="C484" s="14">
        <f t="shared" si="351"/>
        <v>0</v>
      </c>
      <c r="D484" s="14">
        <f t="shared" si="363"/>
        <v>0</v>
      </c>
      <c r="E484" s="14">
        <f t="shared" si="352"/>
        <v>0</v>
      </c>
      <c r="F484" s="14">
        <f t="shared" si="329"/>
        <v>134.16999999999999</v>
      </c>
      <c r="G484" s="14">
        <f t="shared" si="326"/>
        <v>188.55</v>
      </c>
      <c r="H484" s="14">
        <f t="shared" si="327"/>
        <v>322.72000000000003</v>
      </c>
      <c r="I484" s="287">
        <f t="shared" si="330"/>
        <v>187026.8299999999</v>
      </c>
      <c r="J484" s="287">
        <f t="shared" si="331"/>
        <v>96593.969999999914</v>
      </c>
      <c r="K484" s="287">
        <f t="shared" si="332"/>
        <v>0</v>
      </c>
      <c r="L484" s="428">
        <f t="shared" si="324"/>
        <v>35</v>
      </c>
      <c r="M484" s="428">
        <f t="shared" si="357"/>
        <v>425</v>
      </c>
      <c r="N484" s="287">
        <f t="shared" si="368"/>
        <v>0</v>
      </c>
      <c r="O484" s="287">
        <f t="shared" si="343"/>
        <v>0</v>
      </c>
      <c r="P484" s="287">
        <f t="shared" si="364"/>
        <v>0</v>
      </c>
      <c r="Q484" s="287">
        <f t="shared" si="344"/>
        <v>0</v>
      </c>
      <c r="R484" s="287">
        <f t="shared" si="335"/>
        <v>134.16999999999999</v>
      </c>
      <c r="S484" s="287">
        <f t="shared" si="336"/>
        <v>188.55</v>
      </c>
      <c r="T484" s="287">
        <f t="shared" si="333"/>
        <v>322.72000000000003</v>
      </c>
      <c r="U484" s="287">
        <f t="shared" si="365"/>
        <v>230955.00999999998</v>
      </c>
      <c r="V484" s="287">
        <f t="shared" si="366"/>
        <v>322192.18999999977</v>
      </c>
      <c r="W484" s="287">
        <f t="shared" si="334"/>
        <v>0</v>
      </c>
      <c r="X484" s="519" t="str">
        <f t="shared" si="358"/>
        <v xml:space="preserve"> </v>
      </c>
      <c r="Y484" s="287">
        <f t="shared" si="345"/>
        <v>0</v>
      </c>
      <c r="Z484" s="511">
        <f t="shared" si="353"/>
        <v>7.0000000000000007E-2</v>
      </c>
      <c r="AA484" s="287">
        <f t="shared" si="354"/>
        <v>0</v>
      </c>
      <c r="AB484" s="287">
        <f t="shared" si="346"/>
        <v>0</v>
      </c>
      <c r="AC484" s="287">
        <f t="shared" si="355"/>
        <v>0</v>
      </c>
      <c r="AD484" s="287">
        <f t="shared" si="337"/>
        <v>134.16999999999999</v>
      </c>
      <c r="AE484" s="287">
        <f t="shared" si="338"/>
        <v>188.55</v>
      </c>
      <c r="AF484" s="287">
        <f t="shared" si="347"/>
        <v>322.72000000000003</v>
      </c>
      <c r="AG484" s="287">
        <f t="shared" si="348"/>
        <v>277225.64999999997</v>
      </c>
      <c r="AH484" s="287">
        <f t="shared" si="349"/>
        <v>319674.74999999983</v>
      </c>
      <c r="AI484" s="530">
        <f t="shared" si="339"/>
        <v>-43753.199999999772</v>
      </c>
      <c r="AJ484" s="530">
        <f t="shared" si="367"/>
        <v>0</v>
      </c>
      <c r="AK484" s="530">
        <f t="shared" si="340"/>
        <v>-43753.199999999772</v>
      </c>
      <c r="AL484" s="287">
        <f t="shared" si="350"/>
        <v>0</v>
      </c>
      <c r="AM484" s="428">
        <f t="shared" si="359"/>
        <v>35</v>
      </c>
      <c r="AN484" s="14">
        <f t="shared" si="341"/>
        <v>0</v>
      </c>
      <c r="AO484" s="14">
        <f t="shared" si="323"/>
        <v>0</v>
      </c>
      <c r="AP484" s="14">
        <f t="shared" si="342"/>
        <v>0</v>
      </c>
      <c r="AS484" s="14">
        <f t="shared" si="356"/>
        <v>0</v>
      </c>
      <c r="AT484" s="14">
        <f t="shared" si="360"/>
        <v>0</v>
      </c>
      <c r="AU484" s="287">
        <f t="shared" si="361"/>
        <v>0</v>
      </c>
      <c r="AV484" s="287">
        <f t="shared" si="362"/>
        <v>0</v>
      </c>
    </row>
    <row r="485" spans="1:49" x14ac:dyDescent="0.25">
      <c r="A485" s="519" t="str">
        <f t="shared" si="328"/>
        <v xml:space="preserve"> </v>
      </c>
      <c r="B485" s="287">
        <f t="shared" si="325"/>
        <v>0</v>
      </c>
      <c r="C485" s="14">
        <f t="shared" si="351"/>
        <v>0</v>
      </c>
      <c r="D485" s="14">
        <f t="shared" si="363"/>
        <v>0</v>
      </c>
      <c r="E485" s="14">
        <f t="shared" si="352"/>
        <v>0</v>
      </c>
      <c r="F485" s="14">
        <f t="shared" si="329"/>
        <v>134.16999999999999</v>
      </c>
      <c r="G485" s="14">
        <f t="shared" si="326"/>
        <v>188.55</v>
      </c>
      <c r="H485" s="14">
        <f t="shared" si="327"/>
        <v>322.72000000000003</v>
      </c>
      <c r="I485" s="287">
        <f t="shared" si="330"/>
        <v>187026.8299999999</v>
      </c>
      <c r="J485" s="287">
        <f t="shared" si="331"/>
        <v>96593.969999999914</v>
      </c>
      <c r="K485" s="287">
        <f t="shared" si="332"/>
        <v>0</v>
      </c>
      <c r="L485" s="428">
        <f t="shared" si="324"/>
        <v>35</v>
      </c>
      <c r="M485" s="428">
        <f t="shared" si="357"/>
        <v>426</v>
      </c>
      <c r="N485" s="287">
        <f t="shared" si="368"/>
        <v>0</v>
      </c>
      <c r="O485" s="287">
        <f t="shared" si="343"/>
        <v>0</v>
      </c>
      <c r="P485" s="287">
        <f t="shared" si="364"/>
        <v>0</v>
      </c>
      <c r="Q485" s="287">
        <f t="shared" si="344"/>
        <v>0</v>
      </c>
      <c r="R485" s="287">
        <f t="shared" si="335"/>
        <v>134.16999999999999</v>
      </c>
      <c r="S485" s="287">
        <f t="shared" si="336"/>
        <v>188.55</v>
      </c>
      <c r="T485" s="287">
        <f t="shared" si="333"/>
        <v>322.72000000000003</v>
      </c>
      <c r="U485" s="287">
        <f t="shared" si="365"/>
        <v>230955.00999999998</v>
      </c>
      <c r="V485" s="287">
        <f t="shared" si="366"/>
        <v>322192.18999999977</v>
      </c>
      <c r="W485" s="287">
        <f t="shared" si="334"/>
        <v>0</v>
      </c>
      <c r="X485" s="519" t="str">
        <f t="shared" si="358"/>
        <v xml:space="preserve"> </v>
      </c>
      <c r="Y485" s="287">
        <f t="shared" si="345"/>
        <v>0</v>
      </c>
      <c r="Z485" s="511">
        <f t="shared" si="353"/>
        <v>7.0000000000000007E-2</v>
      </c>
      <c r="AA485" s="287">
        <f t="shared" si="354"/>
        <v>0</v>
      </c>
      <c r="AB485" s="287">
        <f t="shared" si="346"/>
        <v>0</v>
      </c>
      <c r="AC485" s="287">
        <f t="shared" si="355"/>
        <v>0</v>
      </c>
      <c r="AD485" s="287">
        <f t="shared" si="337"/>
        <v>134.16999999999999</v>
      </c>
      <c r="AE485" s="287">
        <f t="shared" si="338"/>
        <v>188.55</v>
      </c>
      <c r="AF485" s="287">
        <f t="shared" si="347"/>
        <v>322.72000000000003</v>
      </c>
      <c r="AG485" s="287">
        <f t="shared" si="348"/>
        <v>277225.64999999997</v>
      </c>
      <c r="AH485" s="287">
        <f t="shared" si="349"/>
        <v>319674.74999999983</v>
      </c>
      <c r="AI485" s="530">
        <f t="shared" si="339"/>
        <v>-43753.199999999772</v>
      </c>
      <c r="AJ485" s="530">
        <f t="shared" si="367"/>
        <v>0</v>
      </c>
      <c r="AK485" s="530">
        <f t="shared" si="340"/>
        <v>-43753.199999999772</v>
      </c>
      <c r="AL485" s="287">
        <f t="shared" si="350"/>
        <v>0</v>
      </c>
      <c r="AM485" s="428">
        <f t="shared" si="359"/>
        <v>35</v>
      </c>
      <c r="AN485" s="14">
        <f t="shared" si="341"/>
        <v>0</v>
      </c>
      <c r="AO485" s="14">
        <f t="shared" si="323"/>
        <v>0</v>
      </c>
      <c r="AP485" s="14">
        <f t="shared" si="342"/>
        <v>0</v>
      </c>
      <c r="AS485" s="14">
        <f t="shared" si="356"/>
        <v>0</v>
      </c>
      <c r="AT485" s="14">
        <f t="shared" si="360"/>
        <v>0</v>
      </c>
      <c r="AU485" s="287">
        <f t="shared" si="361"/>
        <v>0</v>
      </c>
      <c r="AV485" s="287">
        <f t="shared" si="362"/>
        <v>0</v>
      </c>
    </row>
    <row r="486" spans="1:49" x14ac:dyDescent="0.25">
      <c r="A486" s="519" t="str">
        <f t="shared" si="328"/>
        <v xml:space="preserve"> </v>
      </c>
      <c r="B486" s="287">
        <f t="shared" si="325"/>
        <v>0</v>
      </c>
      <c r="C486" s="14">
        <f t="shared" si="351"/>
        <v>0</v>
      </c>
      <c r="D486" s="14">
        <f t="shared" si="363"/>
        <v>0</v>
      </c>
      <c r="E486" s="14">
        <f t="shared" si="352"/>
        <v>0</v>
      </c>
      <c r="F486" s="14">
        <f t="shared" si="329"/>
        <v>134.16999999999999</v>
      </c>
      <c r="G486" s="14">
        <f t="shared" si="326"/>
        <v>188.55</v>
      </c>
      <c r="H486" s="14">
        <f t="shared" si="327"/>
        <v>322.72000000000003</v>
      </c>
      <c r="I486" s="287">
        <f t="shared" si="330"/>
        <v>187026.8299999999</v>
      </c>
      <c r="J486" s="287">
        <f t="shared" si="331"/>
        <v>96593.969999999914</v>
      </c>
      <c r="K486" s="287">
        <f t="shared" si="332"/>
        <v>0</v>
      </c>
      <c r="L486" s="428">
        <f t="shared" si="324"/>
        <v>35</v>
      </c>
      <c r="M486" s="428">
        <f t="shared" si="357"/>
        <v>427</v>
      </c>
      <c r="N486" s="287">
        <f t="shared" si="368"/>
        <v>0</v>
      </c>
      <c r="O486" s="287">
        <f t="shared" si="343"/>
        <v>0</v>
      </c>
      <c r="P486" s="287">
        <f t="shared" si="364"/>
        <v>0</v>
      </c>
      <c r="Q486" s="287">
        <f t="shared" si="344"/>
        <v>0</v>
      </c>
      <c r="R486" s="287">
        <f t="shared" si="335"/>
        <v>134.16999999999999</v>
      </c>
      <c r="S486" s="287">
        <f t="shared" si="336"/>
        <v>188.55</v>
      </c>
      <c r="T486" s="287">
        <f t="shared" si="333"/>
        <v>322.72000000000003</v>
      </c>
      <c r="U486" s="287">
        <f t="shared" si="365"/>
        <v>230955.00999999998</v>
      </c>
      <c r="V486" s="287">
        <f t="shared" si="366"/>
        <v>322192.18999999977</v>
      </c>
      <c r="W486" s="287">
        <f t="shared" si="334"/>
        <v>0</v>
      </c>
      <c r="X486" s="519" t="str">
        <f t="shared" si="358"/>
        <v xml:space="preserve"> </v>
      </c>
      <c r="Y486" s="287">
        <f t="shared" si="345"/>
        <v>0</v>
      </c>
      <c r="Z486" s="511">
        <f t="shared" si="353"/>
        <v>7.0000000000000007E-2</v>
      </c>
      <c r="AA486" s="287">
        <f t="shared" si="354"/>
        <v>0</v>
      </c>
      <c r="AB486" s="287">
        <f t="shared" si="346"/>
        <v>0</v>
      </c>
      <c r="AC486" s="287">
        <f t="shared" si="355"/>
        <v>0</v>
      </c>
      <c r="AD486" s="287">
        <f t="shared" si="337"/>
        <v>134.16999999999999</v>
      </c>
      <c r="AE486" s="287">
        <f t="shared" si="338"/>
        <v>188.55</v>
      </c>
      <c r="AF486" s="287">
        <f t="shared" si="347"/>
        <v>322.72000000000003</v>
      </c>
      <c r="AG486" s="287">
        <f t="shared" si="348"/>
        <v>277225.64999999997</v>
      </c>
      <c r="AH486" s="287">
        <f t="shared" si="349"/>
        <v>319674.74999999983</v>
      </c>
      <c r="AI486" s="530">
        <f t="shared" si="339"/>
        <v>-43753.199999999772</v>
      </c>
      <c r="AJ486" s="530">
        <f t="shared" si="367"/>
        <v>0</v>
      </c>
      <c r="AK486" s="530">
        <f t="shared" si="340"/>
        <v>-43753.199999999772</v>
      </c>
      <c r="AL486" s="287">
        <f t="shared" si="350"/>
        <v>0</v>
      </c>
      <c r="AM486" s="428">
        <f t="shared" si="359"/>
        <v>35</v>
      </c>
      <c r="AN486" s="14">
        <f t="shared" si="341"/>
        <v>0</v>
      </c>
      <c r="AO486" s="14">
        <f t="shared" si="323"/>
        <v>0</v>
      </c>
      <c r="AP486" s="14">
        <f t="shared" si="342"/>
        <v>0</v>
      </c>
      <c r="AS486" s="14">
        <f t="shared" si="356"/>
        <v>0</v>
      </c>
      <c r="AT486" s="14">
        <f t="shared" si="360"/>
        <v>0</v>
      </c>
      <c r="AU486" s="287">
        <f t="shared" si="361"/>
        <v>0</v>
      </c>
      <c r="AV486" s="287">
        <f t="shared" si="362"/>
        <v>0</v>
      </c>
    </row>
    <row r="487" spans="1:49" x14ac:dyDescent="0.25">
      <c r="A487" s="519" t="str">
        <f t="shared" si="328"/>
        <v xml:space="preserve"> </v>
      </c>
      <c r="B487" s="287">
        <f t="shared" si="325"/>
        <v>0</v>
      </c>
      <c r="C487" s="14">
        <f t="shared" si="351"/>
        <v>0</v>
      </c>
      <c r="D487" s="14">
        <f t="shared" si="363"/>
        <v>0</v>
      </c>
      <c r="E487" s="14">
        <f t="shared" si="352"/>
        <v>0</v>
      </c>
      <c r="F487" s="14">
        <f t="shared" si="329"/>
        <v>134.16999999999999</v>
      </c>
      <c r="G487" s="14">
        <f t="shared" si="326"/>
        <v>188.55</v>
      </c>
      <c r="H487" s="14">
        <f t="shared" si="327"/>
        <v>322.72000000000003</v>
      </c>
      <c r="I487" s="287">
        <f t="shared" si="330"/>
        <v>187026.8299999999</v>
      </c>
      <c r="J487" s="287">
        <f t="shared" si="331"/>
        <v>96593.969999999914</v>
      </c>
      <c r="K487" s="287">
        <f t="shared" si="332"/>
        <v>0</v>
      </c>
      <c r="L487" s="428">
        <f t="shared" si="324"/>
        <v>35</v>
      </c>
      <c r="M487" s="428">
        <f t="shared" si="357"/>
        <v>428</v>
      </c>
      <c r="N487" s="287">
        <f t="shared" si="368"/>
        <v>0</v>
      </c>
      <c r="O487" s="287">
        <f t="shared" si="343"/>
        <v>0</v>
      </c>
      <c r="P487" s="287">
        <f t="shared" si="364"/>
        <v>0</v>
      </c>
      <c r="Q487" s="287">
        <f t="shared" si="344"/>
        <v>0</v>
      </c>
      <c r="R487" s="287">
        <f t="shared" si="335"/>
        <v>134.16999999999999</v>
      </c>
      <c r="S487" s="287">
        <f t="shared" si="336"/>
        <v>188.55</v>
      </c>
      <c r="T487" s="287">
        <f t="shared" si="333"/>
        <v>322.72000000000003</v>
      </c>
      <c r="U487" s="287">
        <f t="shared" si="365"/>
        <v>230955.00999999998</v>
      </c>
      <c r="V487" s="287">
        <f t="shared" si="366"/>
        <v>322192.18999999977</v>
      </c>
      <c r="W487" s="287">
        <f t="shared" si="334"/>
        <v>0</v>
      </c>
      <c r="X487" s="519" t="str">
        <f t="shared" si="358"/>
        <v xml:space="preserve"> </v>
      </c>
      <c r="Y487" s="287">
        <f t="shared" si="345"/>
        <v>0</v>
      </c>
      <c r="Z487" s="511">
        <f t="shared" si="353"/>
        <v>7.0000000000000007E-2</v>
      </c>
      <c r="AA487" s="287">
        <f t="shared" si="354"/>
        <v>0</v>
      </c>
      <c r="AB487" s="287">
        <f t="shared" si="346"/>
        <v>0</v>
      </c>
      <c r="AC487" s="287">
        <f t="shared" si="355"/>
        <v>0</v>
      </c>
      <c r="AD487" s="287">
        <f t="shared" si="337"/>
        <v>134.16999999999999</v>
      </c>
      <c r="AE487" s="287">
        <f t="shared" si="338"/>
        <v>188.55</v>
      </c>
      <c r="AF487" s="287">
        <f t="shared" si="347"/>
        <v>322.72000000000003</v>
      </c>
      <c r="AG487" s="287">
        <f t="shared" si="348"/>
        <v>277225.64999999997</v>
      </c>
      <c r="AH487" s="287">
        <f t="shared" si="349"/>
        <v>319674.74999999983</v>
      </c>
      <c r="AI487" s="530">
        <f t="shared" si="339"/>
        <v>-43753.199999999772</v>
      </c>
      <c r="AJ487" s="530">
        <f t="shared" si="367"/>
        <v>0</v>
      </c>
      <c r="AK487" s="530">
        <f t="shared" si="340"/>
        <v>-43753.199999999772</v>
      </c>
      <c r="AL487" s="287">
        <f t="shared" si="350"/>
        <v>0</v>
      </c>
      <c r="AM487" s="428">
        <f t="shared" si="359"/>
        <v>35</v>
      </c>
      <c r="AN487" s="14">
        <f t="shared" si="341"/>
        <v>0</v>
      </c>
      <c r="AO487" s="14">
        <f t="shared" si="323"/>
        <v>0</v>
      </c>
      <c r="AP487" s="14">
        <f t="shared" si="342"/>
        <v>0</v>
      </c>
      <c r="AS487" s="14">
        <f t="shared" si="356"/>
        <v>0</v>
      </c>
      <c r="AT487" s="14">
        <f t="shared" si="360"/>
        <v>0</v>
      </c>
      <c r="AU487" s="287">
        <f t="shared" si="361"/>
        <v>0</v>
      </c>
      <c r="AV487" s="287">
        <f t="shared" si="362"/>
        <v>0</v>
      </c>
    </row>
    <row r="488" spans="1:49" x14ac:dyDescent="0.25">
      <c r="A488" s="519" t="str">
        <f t="shared" si="328"/>
        <v xml:space="preserve"> </v>
      </c>
      <c r="B488" s="287">
        <f t="shared" si="325"/>
        <v>0</v>
      </c>
      <c r="C488" s="14">
        <f t="shared" si="351"/>
        <v>0</v>
      </c>
      <c r="D488" s="14">
        <f t="shared" si="363"/>
        <v>0</v>
      </c>
      <c r="E488" s="14">
        <f t="shared" si="352"/>
        <v>0</v>
      </c>
      <c r="F488" s="14">
        <f t="shared" si="329"/>
        <v>134.16999999999999</v>
      </c>
      <c r="G488" s="14">
        <f t="shared" si="326"/>
        <v>188.55</v>
      </c>
      <c r="H488" s="14">
        <f t="shared" si="327"/>
        <v>322.72000000000003</v>
      </c>
      <c r="I488" s="287">
        <f t="shared" si="330"/>
        <v>187026.8299999999</v>
      </c>
      <c r="J488" s="287">
        <f t="shared" si="331"/>
        <v>96593.969999999914</v>
      </c>
      <c r="K488" s="287">
        <f t="shared" si="332"/>
        <v>0</v>
      </c>
      <c r="L488" s="428">
        <f t="shared" si="324"/>
        <v>35</v>
      </c>
      <c r="M488" s="428">
        <f t="shared" si="357"/>
        <v>429</v>
      </c>
      <c r="N488" s="287">
        <f t="shared" si="368"/>
        <v>0</v>
      </c>
      <c r="O488" s="287">
        <f t="shared" si="343"/>
        <v>0</v>
      </c>
      <c r="P488" s="287">
        <f t="shared" si="364"/>
        <v>0</v>
      </c>
      <c r="Q488" s="287">
        <f t="shared" si="344"/>
        <v>0</v>
      </c>
      <c r="R488" s="287">
        <f t="shared" si="335"/>
        <v>134.16999999999999</v>
      </c>
      <c r="S488" s="287">
        <f t="shared" si="336"/>
        <v>188.55</v>
      </c>
      <c r="T488" s="287">
        <f t="shared" si="333"/>
        <v>322.72000000000003</v>
      </c>
      <c r="U488" s="287">
        <f t="shared" si="365"/>
        <v>230955.00999999998</v>
      </c>
      <c r="V488" s="287">
        <f t="shared" si="366"/>
        <v>322192.18999999977</v>
      </c>
      <c r="W488" s="287">
        <f t="shared" si="334"/>
        <v>0</v>
      </c>
      <c r="X488" s="519" t="str">
        <f t="shared" si="358"/>
        <v xml:space="preserve"> </v>
      </c>
      <c r="Y488" s="287">
        <f t="shared" si="345"/>
        <v>0</v>
      </c>
      <c r="Z488" s="511">
        <f t="shared" si="353"/>
        <v>7.0000000000000007E-2</v>
      </c>
      <c r="AA488" s="287">
        <f t="shared" si="354"/>
        <v>0</v>
      </c>
      <c r="AB488" s="287">
        <f t="shared" si="346"/>
        <v>0</v>
      </c>
      <c r="AC488" s="287">
        <f t="shared" si="355"/>
        <v>0</v>
      </c>
      <c r="AD488" s="287">
        <f t="shared" si="337"/>
        <v>134.16999999999999</v>
      </c>
      <c r="AE488" s="287">
        <f t="shared" si="338"/>
        <v>188.55</v>
      </c>
      <c r="AF488" s="287">
        <f t="shared" si="347"/>
        <v>322.72000000000003</v>
      </c>
      <c r="AG488" s="287">
        <f t="shared" si="348"/>
        <v>277225.64999999997</v>
      </c>
      <c r="AH488" s="287">
        <f t="shared" si="349"/>
        <v>319674.74999999983</v>
      </c>
      <c r="AI488" s="530">
        <f t="shared" si="339"/>
        <v>-43753.199999999772</v>
      </c>
      <c r="AJ488" s="530">
        <f t="shared" si="367"/>
        <v>0</v>
      </c>
      <c r="AK488" s="530">
        <f t="shared" si="340"/>
        <v>-43753.199999999772</v>
      </c>
      <c r="AL488" s="287">
        <f t="shared" si="350"/>
        <v>0</v>
      </c>
      <c r="AM488" s="428">
        <f t="shared" si="359"/>
        <v>35</v>
      </c>
      <c r="AN488" s="14">
        <f t="shared" si="341"/>
        <v>0</v>
      </c>
      <c r="AO488" s="14">
        <f t="shared" si="323"/>
        <v>0</v>
      </c>
      <c r="AP488" s="14">
        <f t="shared" si="342"/>
        <v>0</v>
      </c>
      <c r="AS488" s="14">
        <f t="shared" si="356"/>
        <v>0</v>
      </c>
      <c r="AT488" s="14">
        <f t="shared" si="360"/>
        <v>0</v>
      </c>
      <c r="AU488" s="287">
        <f t="shared" si="361"/>
        <v>0</v>
      </c>
      <c r="AV488" s="287">
        <f t="shared" si="362"/>
        <v>0</v>
      </c>
    </row>
    <row r="489" spans="1:49" x14ac:dyDescent="0.25">
      <c r="A489" s="519" t="str">
        <f t="shared" si="328"/>
        <v xml:space="preserve"> </v>
      </c>
      <c r="B489" s="287">
        <f t="shared" si="325"/>
        <v>0</v>
      </c>
      <c r="C489" s="14">
        <f t="shared" si="351"/>
        <v>0</v>
      </c>
      <c r="D489" s="14">
        <f t="shared" si="363"/>
        <v>0</v>
      </c>
      <c r="E489" s="14">
        <f t="shared" si="352"/>
        <v>0</v>
      </c>
      <c r="F489" s="14">
        <f t="shared" si="329"/>
        <v>134.16999999999999</v>
      </c>
      <c r="G489" s="14">
        <f t="shared" si="326"/>
        <v>188.55</v>
      </c>
      <c r="H489" s="14">
        <f t="shared" si="327"/>
        <v>322.72000000000003</v>
      </c>
      <c r="I489" s="287">
        <f t="shared" si="330"/>
        <v>187026.8299999999</v>
      </c>
      <c r="J489" s="287">
        <f t="shared" si="331"/>
        <v>96593.969999999914</v>
      </c>
      <c r="K489" s="287">
        <f t="shared" si="332"/>
        <v>0</v>
      </c>
      <c r="L489" s="428">
        <f t="shared" si="324"/>
        <v>35</v>
      </c>
      <c r="M489" s="428">
        <f t="shared" si="357"/>
        <v>430</v>
      </c>
      <c r="N489" s="287">
        <f t="shared" si="368"/>
        <v>0</v>
      </c>
      <c r="O489" s="287">
        <f t="shared" si="343"/>
        <v>0</v>
      </c>
      <c r="P489" s="287">
        <f t="shared" si="364"/>
        <v>0</v>
      </c>
      <c r="Q489" s="287">
        <f t="shared" si="344"/>
        <v>0</v>
      </c>
      <c r="R489" s="287">
        <f t="shared" si="335"/>
        <v>134.16999999999999</v>
      </c>
      <c r="S489" s="287">
        <f t="shared" si="336"/>
        <v>188.55</v>
      </c>
      <c r="T489" s="287">
        <f t="shared" si="333"/>
        <v>322.72000000000003</v>
      </c>
      <c r="U489" s="287">
        <f t="shared" si="365"/>
        <v>230955.00999999998</v>
      </c>
      <c r="V489" s="287">
        <f t="shared" si="366"/>
        <v>322192.18999999977</v>
      </c>
      <c r="W489" s="287">
        <f t="shared" si="334"/>
        <v>0</v>
      </c>
      <c r="X489" s="519" t="str">
        <f t="shared" si="358"/>
        <v xml:space="preserve"> </v>
      </c>
      <c r="Y489" s="287">
        <f t="shared" si="345"/>
        <v>0</v>
      </c>
      <c r="Z489" s="511">
        <f t="shared" si="353"/>
        <v>7.0000000000000007E-2</v>
      </c>
      <c r="AA489" s="287">
        <f t="shared" si="354"/>
        <v>0</v>
      </c>
      <c r="AB489" s="287">
        <f t="shared" si="346"/>
        <v>0</v>
      </c>
      <c r="AC489" s="287">
        <f t="shared" si="355"/>
        <v>0</v>
      </c>
      <c r="AD489" s="287">
        <f t="shared" si="337"/>
        <v>134.16999999999999</v>
      </c>
      <c r="AE489" s="287">
        <f t="shared" si="338"/>
        <v>188.55</v>
      </c>
      <c r="AF489" s="287">
        <f t="shared" si="347"/>
        <v>322.72000000000003</v>
      </c>
      <c r="AG489" s="287">
        <f t="shared" si="348"/>
        <v>277225.64999999997</v>
      </c>
      <c r="AH489" s="287">
        <f t="shared" si="349"/>
        <v>319674.74999999983</v>
      </c>
      <c r="AI489" s="530">
        <f t="shared" si="339"/>
        <v>-43753.199999999772</v>
      </c>
      <c r="AJ489" s="530">
        <f t="shared" si="367"/>
        <v>0</v>
      </c>
      <c r="AK489" s="530">
        <f t="shared" si="340"/>
        <v>-43753.199999999772</v>
      </c>
      <c r="AL489" s="287">
        <f t="shared" si="350"/>
        <v>0</v>
      </c>
      <c r="AM489" s="428">
        <f t="shared" si="359"/>
        <v>35</v>
      </c>
      <c r="AN489" s="14">
        <f t="shared" si="341"/>
        <v>0</v>
      </c>
      <c r="AO489" s="14">
        <f t="shared" si="323"/>
        <v>0</v>
      </c>
      <c r="AP489" s="14">
        <f t="shared" si="342"/>
        <v>0</v>
      </c>
      <c r="AS489" s="14">
        <f t="shared" si="356"/>
        <v>0</v>
      </c>
      <c r="AT489" s="14">
        <f t="shared" si="360"/>
        <v>0</v>
      </c>
      <c r="AU489" s="287">
        <f t="shared" si="361"/>
        <v>0</v>
      </c>
      <c r="AV489" s="287">
        <f t="shared" si="362"/>
        <v>0</v>
      </c>
    </row>
    <row r="490" spans="1:49" x14ac:dyDescent="0.25">
      <c r="A490" s="519" t="str">
        <f t="shared" si="328"/>
        <v xml:space="preserve"> </v>
      </c>
      <c r="B490" s="287">
        <f t="shared" si="325"/>
        <v>0</v>
      </c>
      <c r="C490" s="14">
        <f t="shared" si="351"/>
        <v>0</v>
      </c>
      <c r="D490" s="14">
        <f t="shared" si="363"/>
        <v>0</v>
      </c>
      <c r="E490" s="14">
        <f t="shared" si="352"/>
        <v>0</v>
      </c>
      <c r="F490" s="14">
        <f t="shared" si="329"/>
        <v>134.16999999999999</v>
      </c>
      <c r="G490" s="14">
        <f t="shared" si="326"/>
        <v>188.55</v>
      </c>
      <c r="H490" s="14">
        <f t="shared" si="327"/>
        <v>322.72000000000003</v>
      </c>
      <c r="I490" s="287">
        <f t="shared" si="330"/>
        <v>187026.8299999999</v>
      </c>
      <c r="J490" s="287">
        <f t="shared" si="331"/>
        <v>96593.969999999914</v>
      </c>
      <c r="K490" s="287">
        <f t="shared" si="332"/>
        <v>0</v>
      </c>
      <c r="L490" s="428">
        <f t="shared" si="324"/>
        <v>35</v>
      </c>
      <c r="M490" s="428">
        <f t="shared" si="357"/>
        <v>431</v>
      </c>
      <c r="N490" s="287">
        <f t="shared" si="368"/>
        <v>0</v>
      </c>
      <c r="O490" s="287">
        <f t="shared" si="343"/>
        <v>0</v>
      </c>
      <c r="P490" s="287">
        <f t="shared" si="364"/>
        <v>0</v>
      </c>
      <c r="Q490" s="287">
        <f t="shared" si="344"/>
        <v>0</v>
      </c>
      <c r="R490" s="287">
        <f t="shared" si="335"/>
        <v>134.16999999999999</v>
      </c>
      <c r="S490" s="287">
        <f t="shared" si="336"/>
        <v>188.55</v>
      </c>
      <c r="T490" s="287">
        <f t="shared" si="333"/>
        <v>322.72000000000003</v>
      </c>
      <c r="U490" s="287">
        <f t="shared" si="365"/>
        <v>230955.00999999998</v>
      </c>
      <c r="V490" s="287">
        <f t="shared" si="366"/>
        <v>322192.18999999977</v>
      </c>
      <c r="W490" s="287">
        <f t="shared" si="334"/>
        <v>0</v>
      </c>
      <c r="X490" s="519" t="str">
        <f t="shared" si="358"/>
        <v xml:space="preserve"> </v>
      </c>
      <c r="Y490" s="287">
        <f t="shared" si="345"/>
        <v>0</v>
      </c>
      <c r="Z490" s="511">
        <f t="shared" si="353"/>
        <v>7.0000000000000007E-2</v>
      </c>
      <c r="AA490" s="287">
        <f t="shared" si="354"/>
        <v>0</v>
      </c>
      <c r="AB490" s="287">
        <f t="shared" si="346"/>
        <v>0</v>
      </c>
      <c r="AC490" s="287">
        <f t="shared" si="355"/>
        <v>0</v>
      </c>
      <c r="AD490" s="287">
        <f t="shared" si="337"/>
        <v>134.16999999999999</v>
      </c>
      <c r="AE490" s="287">
        <f t="shared" si="338"/>
        <v>188.55</v>
      </c>
      <c r="AF490" s="287">
        <f t="shared" si="347"/>
        <v>322.72000000000003</v>
      </c>
      <c r="AG490" s="287">
        <f t="shared" si="348"/>
        <v>277225.64999999997</v>
      </c>
      <c r="AH490" s="287">
        <f t="shared" si="349"/>
        <v>319674.74999999983</v>
      </c>
      <c r="AI490" s="530">
        <f t="shared" si="339"/>
        <v>-43753.199999999772</v>
      </c>
      <c r="AJ490" s="530">
        <f t="shared" si="367"/>
        <v>0</v>
      </c>
      <c r="AK490" s="530">
        <f t="shared" si="340"/>
        <v>-43753.199999999772</v>
      </c>
      <c r="AL490" s="287">
        <f t="shared" si="350"/>
        <v>0</v>
      </c>
      <c r="AM490" s="428">
        <f t="shared" si="359"/>
        <v>35</v>
      </c>
      <c r="AN490" s="14">
        <f t="shared" si="341"/>
        <v>0</v>
      </c>
      <c r="AO490" s="14">
        <f t="shared" si="323"/>
        <v>0</v>
      </c>
      <c r="AP490" s="14">
        <f t="shared" si="342"/>
        <v>0</v>
      </c>
      <c r="AS490" s="14">
        <f t="shared" si="356"/>
        <v>0</v>
      </c>
      <c r="AT490" s="14">
        <f t="shared" si="360"/>
        <v>0</v>
      </c>
      <c r="AU490" s="287">
        <f t="shared" si="361"/>
        <v>0</v>
      </c>
      <c r="AV490" s="287">
        <f t="shared" si="362"/>
        <v>0</v>
      </c>
    </row>
    <row r="491" spans="1:49" x14ac:dyDescent="0.25">
      <c r="A491" s="519"/>
      <c r="L491" s="428">
        <f t="shared" si="324"/>
        <v>0</v>
      </c>
      <c r="M491" s="428"/>
      <c r="X491" s="519">
        <f t="shared" si="358"/>
        <v>0</v>
      </c>
      <c r="Y491" s="287">
        <f t="shared" si="345"/>
        <v>0</v>
      </c>
      <c r="Z491" s="511">
        <f t="shared" si="353"/>
        <v>3.3500000000000002E-2</v>
      </c>
      <c r="AA491" s="14">
        <f t="shared" si="354"/>
        <v>0</v>
      </c>
      <c r="AB491" s="14">
        <f t="shared" si="346"/>
        <v>0</v>
      </c>
      <c r="AC491" s="14">
        <f t="shared" si="355"/>
        <v>0</v>
      </c>
      <c r="AD491" s="14">
        <f t="shared" si="337"/>
        <v>134.16999999999999</v>
      </c>
      <c r="AE491" s="14">
        <f t="shared" si="338"/>
        <v>188.55</v>
      </c>
      <c r="AF491" s="14">
        <f t="shared" si="347"/>
        <v>322.72000000000003</v>
      </c>
      <c r="AG491" s="287">
        <f t="shared" si="348"/>
        <v>277225.64999999997</v>
      </c>
      <c r="AH491" s="287">
        <f t="shared" si="349"/>
        <v>319674.74999999983</v>
      </c>
      <c r="AI491" s="530">
        <f t="shared" si="339"/>
        <v>-43753.199999999772</v>
      </c>
      <c r="AJ491" s="530">
        <f t="shared" si="367"/>
        <v>0</v>
      </c>
      <c r="AK491" s="530">
        <f t="shared" si="340"/>
        <v>-43753.199999999772</v>
      </c>
      <c r="AL491" s="287">
        <f t="shared" si="350"/>
        <v>0</v>
      </c>
      <c r="AM491" s="428">
        <f t="shared" si="359"/>
        <v>0</v>
      </c>
    </row>
    <row r="492" spans="1:49" x14ac:dyDescent="0.25">
      <c r="A492" s="519"/>
      <c r="L492" s="428">
        <f t="shared" si="324"/>
        <v>0</v>
      </c>
      <c r="M492" s="428"/>
      <c r="X492" s="519">
        <f t="shared" si="358"/>
        <v>0</v>
      </c>
      <c r="Y492" s="287">
        <f t="shared" si="345"/>
        <v>0</v>
      </c>
      <c r="Z492" s="511">
        <f t="shared" si="353"/>
        <v>3.3500000000000002E-2</v>
      </c>
      <c r="AA492" s="14">
        <f t="shared" si="354"/>
        <v>0</v>
      </c>
      <c r="AB492" s="14">
        <f t="shared" si="346"/>
        <v>0</v>
      </c>
      <c r="AC492" s="14">
        <f t="shared" si="355"/>
        <v>0</v>
      </c>
      <c r="AD492" s="14">
        <f t="shared" si="337"/>
        <v>134.16999999999999</v>
      </c>
      <c r="AE492" s="14">
        <f t="shared" si="338"/>
        <v>188.55</v>
      </c>
      <c r="AF492" s="14">
        <f t="shared" si="347"/>
        <v>322.72000000000003</v>
      </c>
      <c r="AG492" s="287">
        <f t="shared" si="348"/>
        <v>277225.64999999997</v>
      </c>
      <c r="AH492" s="287">
        <f t="shared" si="349"/>
        <v>319674.74999999983</v>
      </c>
      <c r="AI492" s="530">
        <f t="shared" si="339"/>
        <v>-43753.199999999772</v>
      </c>
      <c r="AJ492" s="530">
        <f t="shared" si="367"/>
        <v>0</v>
      </c>
      <c r="AK492" s="530">
        <f t="shared" si="340"/>
        <v>-43753.199999999772</v>
      </c>
      <c r="AL492" s="287">
        <f t="shared" si="350"/>
        <v>0</v>
      </c>
      <c r="AM492" s="428">
        <f t="shared" si="359"/>
        <v>0</v>
      </c>
    </row>
    <row r="493" spans="1:49" x14ac:dyDescent="0.25">
      <c r="A493" s="519"/>
      <c r="L493" s="428">
        <f t="shared" si="324"/>
        <v>0</v>
      </c>
      <c r="M493" s="428"/>
      <c r="X493" s="519">
        <f t="shared" si="358"/>
        <v>0</v>
      </c>
      <c r="Y493" s="287">
        <f t="shared" si="345"/>
        <v>0</v>
      </c>
      <c r="Z493" s="511">
        <f t="shared" si="353"/>
        <v>3.3500000000000002E-2</v>
      </c>
      <c r="AA493" s="14">
        <f t="shared" si="354"/>
        <v>0</v>
      </c>
      <c r="AB493" s="14">
        <f t="shared" si="346"/>
        <v>0</v>
      </c>
      <c r="AC493" s="14">
        <f t="shared" si="355"/>
        <v>0</v>
      </c>
      <c r="AD493" s="14">
        <f t="shared" si="337"/>
        <v>134.16999999999999</v>
      </c>
      <c r="AE493" s="14">
        <f t="shared" si="338"/>
        <v>188.55</v>
      </c>
      <c r="AF493" s="14">
        <f t="shared" si="347"/>
        <v>322.72000000000003</v>
      </c>
      <c r="AG493" s="287">
        <f t="shared" si="348"/>
        <v>277225.64999999997</v>
      </c>
      <c r="AH493" s="287">
        <f t="shared" si="349"/>
        <v>319674.74999999983</v>
      </c>
      <c r="AI493" s="530">
        <f t="shared" si="339"/>
        <v>-43753.199999999772</v>
      </c>
      <c r="AJ493" s="530">
        <f t="shared" si="367"/>
        <v>0</v>
      </c>
      <c r="AK493" s="530">
        <f t="shared" si="340"/>
        <v>-43753.199999999772</v>
      </c>
      <c r="AL493" s="287">
        <f t="shared" si="350"/>
        <v>0</v>
      </c>
      <c r="AM493" s="428">
        <f t="shared" si="359"/>
        <v>0</v>
      </c>
    </row>
    <row r="494" spans="1:49" ht="15.75" thickBot="1" x14ac:dyDescent="0.3">
      <c r="A494" s="522"/>
      <c r="B494" s="348"/>
      <c r="C494" s="21"/>
      <c r="D494" s="21"/>
      <c r="E494" s="21"/>
      <c r="F494" s="21"/>
      <c r="G494" s="21"/>
      <c r="H494" s="21"/>
      <c r="I494" s="348"/>
      <c r="J494" s="348"/>
      <c r="K494" s="348"/>
      <c r="L494" s="429">
        <f t="shared" si="324"/>
        <v>0</v>
      </c>
      <c r="M494" s="429"/>
      <c r="N494" s="348"/>
      <c r="U494" s="348"/>
      <c r="V494" s="348"/>
      <c r="W494" s="348"/>
      <c r="X494" s="522">
        <f t="shared" si="358"/>
        <v>0</v>
      </c>
      <c r="Y494" s="287">
        <f t="shared" si="345"/>
        <v>0</v>
      </c>
      <c r="Z494" s="511">
        <f t="shared" si="353"/>
        <v>3.3500000000000002E-2</v>
      </c>
      <c r="AA494" s="14">
        <f t="shared" si="354"/>
        <v>0</v>
      </c>
      <c r="AB494" s="14">
        <f t="shared" si="346"/>
        <v>0</v>
      </c>
      <c r="AC494" s="14">
        <f t="shared" si="355"/>
        <v>0</v>
      </c>
      <c r="AD494" s="14">
        <f t="shared" si="337"/>
        <v>134.16999999999999</v>
      </c>
      <c r="AE494" s="14">
        <f t="shared" si="338"/>
        <v>188.55</v>
      </c>
      <c r="AF494" s="14">
        <f t="shared" si="347"/>
        <v>322.72000000000003</v>
      </c>
      <c r="AG494" s="287">
        <f t="shared" si="348"/>
        <v>277225.64999999997</v>
      </c>
      <c r="AH494" s="287">
        <f t="shared" si="349"/>
        <v>319674.74999999983</v>
      </c>
      <c r="AI494" s="530">
        <f t="shared" si="339"/>
        <v>-43753.199999999772</v>
      </c>
      <c r="AJ494" s="530">
        <f t="shared" si="367"/>
        <v>0</v>
      </c>
      <c r="AK494" s="530">
        <f t="shared" si="340"/>
        <v>-43753.199999999772</v>
      </c>
      <c r="AL494" s="287">
        <f t="shared" si="350"/>
        <v>0</v>
      </c>
      <c r="AM494" s="429">
        <f t="shared" si="359"/>
        <v>0</v>
      </c>
      <c r="AN494" s="21"/>
      <c r="AO494" s="21"/>
      <c r="AP494" s="21"/>
      <c r="AQ494" s="21"/>
      <c r="AR494" s="23"/>
      <c r="AS494" s="21"/>
      <c r="AT494" s="21"/>
      <c r="AU494" s="348"/>
      <c r="AV494" s="348"/>
      <c r="AW494" s="21"/>
    </row>
    <row r="495" spans="1:49" x14ac:dyDescent="0.25">
      <c r="A495" s="519"/>
      <c r="L495" s="428">
        <f t="shared" ref="L495:L558" si="369">IF(MOD(M495,12)=0,M495/12,L494)</f>
        <v>0</v>
      </c>
      <c r="M495" s="428"/>
      <c r="X495" s="519">
        <f t="shared" si="358"/>
        <v>0</v>
      </c>
      <c r="Y495" s="287">
        <f t="shared" si="345"/>
        <v>0</v>
      </c>
      <c r="Z495" s="511">
        <f t="shared" si="353"/>
        <v>3.3500000000000002E-2</v>
      </c>
      <c r="AA495" s="14">
        <f t="shared" si="354"/>
        <v>0</v>
      </c>
      <c r="AB495" s="14">
        <f t="shared" si="346"/>
        <v>0</v>
      </c>
      <c r="AC495" s="14">
        <f t="shared" si="355"/>
        <v>0</v>
      </c>
      <c r="AD495" s="14">
        <f t="shared" si="337"/>
        <v>134.16999999999999</v>
      </c>
      <c r="AE495" s="14">
        <f t="shared" si="338"/>
        <v>188.55</v>
      </c>
      <c r="AF495" s="14">
        <f t="shared" si="347"/>
        <v>322.72000000000003</v>
      </c>
      <c r="AG495" s="287">
        <f t="shared" si="348"/>
        <v>277225.64999999997</v>
      </c>
      <c r="AH495" s="287">
        <f t="shared" si="349"/>
        <v>319674.74999999983</v>
      </c>
      <c r="AI495" s="530">
        <f t="shared" si="339"/>
        <v>-43753.199999999772</v>
      </c>
      <c r="AJ495" s="530">
        <f t="shared" si="367"/>
        <v>0</v>
      </c>
      <c r="AK495" s="530">
        <f t="shared" si="340"/>
        <v>-43753.199999999772</v>
      </c>
      <c r="AL495" s="287">
        <f t="shared" si="350"/>
        <v>0</v>
      </c>
      <c r="AM495" s="428">
        <f t="shared" si="359"/>
        <v>0</v>
      </c>
    </row>
    <row r="496" spans="1:49" x14ac:dyDescent="0.25">
      <c r="A496" s="519"/>
      <c r="L496" s="428">
        <f t="shared" si="369"/>
        <v>0</v>
      </c>
      <c r="M496" s="428"/>
      <c r="X496" s="519">
        <f t="shared" si="358"/>
        <v>0</v>
      </c>
      <c r="Y496" s="287">
        <f t="shared" si="345"/>
        <v>0</v>
      </c>
      <c r="Z496" s="511">
        <f t="shared" si="353"/>
        <v>3.3500000000000002E-2</v>
      </c>
      <c r="AA496" s="14">
        <f t="shared" si="354"/>
        <v>0</v>
      </c>
      <c r="AB496" s="14">
        <f t="shared" si="346"/>
        <v>0</v>
      </c>
      <c r="AC496" s="14">
        <f t="shared" si="355"/>
        <v>0</v>
      </c>
      <c r="AD496" s="14">
        <f t="shared" si="337"/>
        <v>134.16999999999999</v>
      </c>
      <c r="AE496" s="14">
        <f t="shared" si="338"/>
        <v>188.55</v>
      </c>
      <c r="AF496" s="14">
        <f t="shared" si="347"/>
        <v>322.72000000000003</v>
      </c>
      <c r="AG496" s="287">
        <f t="shared" si="348"/>
        <v>277225.64999999997</v>
      </c>
      <c r="AH496" s="287">
        <f t="shared" si="349"/>
        <v>319674.74999999983</v>
      </c>
      <c r="AI496" s="530">
        <f t="shared" si="339"/>
        <v>-43753.199999999772</v>
      </c>
      <c r="AJ496" s="530">
        <f t="shared" si="367"/>
        <v>0</v>
      </c>
      <c r="AK496" s="530">
        <f t="shared" si="340"/>
        <v>-43753.199999999772</v>
      </c>
      <c r="AL496" s="287">
        <f t="shared" si="350"/>
        <v>0</v>
      </c>
      <c r="AM496" s="428">
        <f t="shared" si="359"/>
        <v>0</v>
      </c>
    </row>
    <row r="497" spans="1:49" x14ac:dyDescent="0.25">
      <c r="A497" s="519"/>
      <c r="L497" s="428">
        <f t="shared" si="369"/>
        <v>0</v>
      </c>
      <c r="M497" s="428"/>
      <c r="X497" s="519">
        <f t="shared" si="358"/>
        <v>0</v>
      </c>
      <c r="Y497" s="287">
        <f t="shared" si="345"/>
        <v>0</v>
      </c>
      <c r="Z497" s="511">
        <f t="shared" si="353"/>
        <v>3.3500000000000002E-2</v>
      </c>
      <c r="AA497" s="14">
        <f t="shared" si="354"/>
        <v>0</v>
      </c>
      <c r="AB497" s="14">
        <f t="shared" si="346"/>
        <v>0</v>
      </c>
      <c r="AC497" s="14">
        <f t="shared" si="355"/>
        <v>0</v>
      </c>
      <c r="AD497" s="14">
        <f t="shared" si="337"/>
        <v>134.16999999999999</v>
      </c>
      <c r="AE497" s="14">
        <f t="shared" si="338"/>
        <v>188.55</v>
      </c>
      <c r="AF497" s="14">
        <f t="shared" si="347"/>
        <v>322.72000000000003</v>
      </c>
      <c r="AG497" s="287">
        <f t="shared" si="348"/>
        <v>277225.64999999997</v>
      </c>
      <c r="AH497" s="287">
        <f t="shared" si="349"/>
        <v>319674.74999999983</v>
      </c>
      <c r="AI497" s="530">
        <f t="shared" si="339"/>
        <v>-43753.199999999772</v>
      </c>
      <c r="AJ497" s="530">
        <f t="shared" si="367"/>
        <v>0</v>
      </c>
      <c r="AK497" s="530">
        <f t="shared" si="340"/>
        <v>-43753.199999999772</v>
      </c>
      <c r="AL497" s="287">
        <f t="shared" si="350"/>
        <v>0</v>
      </c>
      <c r="AM497" s="428">
        <f t="shared" si="359"/>
        <v>0</v>
      </c>
    </row>
    <row r="498" spans="1:49" x14ac:dyDescent="0.25">
      <c r="A498" s="519"/>
      <c r="L498" s="428">
        <f t="shared" si="369"/>
        <v>0</v>
      </c>
      <c r="M498" s="428"/>
      <c r="X498" s="519">
        <f t="shared" si="358"/>
        <v>0</v>
      </c>
      <c r="Y498" s="287">
        <f t="shared" si="345"/>
        <v>0</v>
      </c>
      <c r="Z498" s="511">
        <f t="shared" si="353"/>
        <v>3.3500000000000002E-2</v>
      </c>
      <c r="AA498" s="14">
        <f t="shared" si="354"/>
        <v>0</v>
      </c>
      <c r="AB498" s="14">
        <f t="shared" si="346"/>
        <v>0</v>
      </c>
      <c r="AC498" s="14">
        <f t="shared" si="355"/>
        <v>0</v>
      </c>
      <c r="AD498" s="14">
        <f t="shared" si="337"/>
        <v>134.16999999999999</v>
      </c>
      <c r="AE498" s="14">
        <f t="shared" si="338"/>
        <v>188.55</v>
      </c>
      <c r="AF498" s="14">
        <f t="shared" si="347"/>
        <v>322.72000000000003</v>
      </c>
      <c r="AG498" s="287">
        <f t="shared" si="348"/>
        <v>277225.64999999997</v>
      </c>
      <c r="AH498" s="287">
        <f t="shared" si="349"/>
        <v>319674.74999999983</v>
      </c>
      <c r="AI498" s="530">
        <f t="shared" si="339"/>
        <v>-43753.199999999772</v>
      </c>
      <c r="AJ498" s="530">
        <f t="shared" si="367"/>
        <v>0</v>
      </c>
      <c r="AK498" s="530">
        <f t="shared" si="340"/>
        <v>-43753.199999999772</v>
      </c>
      <c r="AL498" s="287">
        <f t="shared" si="350"/>
        <v>0</v>
      </c>
      <c r="AM498" s="428">
        <f t="shared" si="359"/>
        <v>0</v>
      </c>
    </row>
    <row r="499" spans="1:49" x14ac:dyDescent="0.25">
      <c r="A499" s="519"/>
      <c r="L499" s="428">
        <f t="shared" si="369"/>
        <v>0</v>
      </c>
      <c r="M499" s="428"/>
      <c r="X499" s="519">
        <f t="shared" si="358"/>
        <v>0</v>
      </c>
      <c r="Y499" s="287">
        <f t="shared" si="345"/>
        <v>0</v>
      </c>
      <c r="Z499" s="511">
        <f t="shared" si="353"/>
        <v>3.3500000000000002E-2</v>
      </c>
      <c r="AA499" s="14">
        <f t="shared" si="354"/>
        <v>0</v>
      </c>
      <c r="AB499" s="14">
        <f t="shared" si="346"/>
        <v>0</v>
      </c>
      <c r="AC499" s="14">
        <f t="shared" si="355"/>
        <v>0</v>
      </c>
      <c r="AD499" s="14">
        <f t="shared" si="337"/>
        <v>134.16999999999999</v>
      </c>
      <c r="AE499" s="14">
        <f t="shared" si="338"/>
        <v>188.55</v>
      </c>
      <c r="AF499" s="14">
        <f t="shared" si="347"/>
        <v>322.72000000000003</v>
      </c>
      <c r="AG499" s="287">
        <f t="shared" si="348"/>
        <v>277225.64999999997</v>
      </c>
      <c r="AH499" s="287">
        <f t="shared" si="349"/>
        <v>319674.74999999983</v>
      </c>
      <c r="AI499" s="530">
        <f t="shared" si="339"/>
        <v>-43753.199999999772</v>
      </c>
      <c r="AJ499" s="530">
        <f t="shared" si="367"/>
        <v>0</v>
      </c>
      <c r="AK499" s="530">
        <f t="shared" si="340"/>
        <v>-43753.199999999772</v>
      </c>
      <c r="AL499" s="287">
        <f t="shared" si="350"/>
        <v>0</v>
      </c>
      <c r="AM499" s="428">
        <f t="shared" si="359"/>
        <v>0</v>
      </c>
    </row>
    <row r="500" spans="1:49" x14ac:dyDescent="0.25">
      <c r="A500" s="519"/>
      <c r="L500" s="428">
        <f t="shared" si="369"/>
        <v>0</v>
      </c>
      <c r="M500" s="428"/>
      <c r="X500" s="519">
        <f t="shared" si="358"/>
        <v>0</v>
      </c>
      <c r="Y500" s="287">
        <f t="shared" si="345"/>
        <v>0</v>
      </c>
      <c r="Z500" s="511">
        <f t="shared" si="353"/>
        <v>3.3500000000000002E-2</v>
      </c>
      <c r="AA500" s="14">
        <f t="shared" si="354"/>
        <v>0</v>
      </c>
      <c r="AB500" s="14">
        <f t="shared" si="346"/>
        <v>0</v>
      </c>
      <c r="AC500" s="14">
        <f t="shared" si="355"/>
        <v>0</v>
      </c>
      <c r="AD500" s="14">
        <f t="shared" si="337"/>
        <v>134.16999999999999</v>
      </c>
      <c r="AE500" s="14">
        <f t="shared" si="338"/>
        <v>188.55</v>
      </c>
      <c r="AF500" s="14">
        <f t="shared" si="347"/>
        <v>322.72000000000003</v>
      </c>
      <c r="AG500" s="287">
        <f t="shared" si="348"/>
        <v>277225.64999999997</v>
      </c>
      <c r="AH500" s="287">
        <f t="shared" si="349"/>
        <v>319674.74999999983</v>
      </c>
      <c r="AI500" s="530">
        <f t="shared" si="339"/>
        <v>-43753.199999999772</v>
      </c>
      <c r="AJ500" s="530">
        <f t="shared" si="367"/>
        <v>0</v>
      </c>
      <c r="AK500" s="530">
        <f t="shared" si="340"/>
        <v>-43753.199999999772</v>
      </c>
      <c r="AL500" s="287">
        <f t="shared" si="350"/>
        <v>0</v>
      </c>
      <c r="AM500" s="428">
        <f t="shared" si="359"/>
        <v>0</v>
      </c>
    </row>
    <row r="501" spans="1:49" x14ac:dyDescent="0.25">
      <c r="A501" s="519"/>
      <c r="L501" s="428">
        <f t="shared" si="369"/>
        <v>0</v>
      </c>
      <c r="M501" s="428"/>
      <c r="X501" s="519">
        <f t="shared" si="358"/>
        <v>0</v>
      </c>
      <c r="Y501" s="287">
        <f t="shared" si="345"/>
        <v>0</v>
      </c>
      <c r="Z501" s="511">
        <f t="shared" si="353"/>
        <v>3.3500000000000002E-2</v>
      </c>
      <c r="AA501" s="14">
        <f t="shared" si="354"/>
        <v>0</v>
      </c>
      <c r="AB501" s="14">
        <f t="shared" si="346"/>
        <v>0</v>
      </c>
      <c r="AC501" s="14">
        <f t="shared" si="355"/>
        <v>0</v>
      </c>
      <c r="AD501" s="14">
        <f t="shared" si="337"/>
        <v>134.16999999999999</v>
      </c>
      <c r="AE501" s="14">
        <f t="shared" si="338"/>
        <v>188.55</v>
      </c>
      <c r="AF501" s="14">
        <f t="shared" si="347"/>
        <v>322.72000000000003</v>
      </c>
      <c r="AG501" s="287">
        <f t="shared" si="348"/>
        <v>277225.64999999997</v>
      </c>
      <c r="AH501" s="287">
        <f t="shared" si="349"/>
        <v>319674.74999999983</v>
      </c>
      <c r="AI501" s="530">
        <f t="shared" si="339"/>
        <v>-43753.199999999772</v>
      </c>
      <c r="AJ501" s="530">
        <f t="shared" si="367"/>
        <v>0</v>
      </c>
      <c r="AK501" s="530">
        <f t="shared" si="340"/>
        <v>-43753.199999999772</v>
      </c>
      <c r="AL501" s="287">
        <f t="shared" si="350"/>
        <v>0</v>
      </c>
      <c r="AM501" s="428">
        <f t="shared" si="359"/>
        <v>0</v>
      </c>
    </row>
    <row r="502" spans="1:49" x14ac:dyDescent="0.25">
      <c r="A502" s="519"/>
      <c r="L502" s="428">
        <f t="shared" si="369"/>
        <v>0</v>
      </c>
      <c r="M502" s="428"/>
      <c r="X502" s="519">
        <f t="shared" si="358"/>
        <v>0</v>
      </c>
      <c r="Y502" s="287">
        <f t="shared" si="345"/>
        <v>0</v>
      </c>
      <c r="Z502" s="511">
        <f t="shared" si="353"/>
        <v>3.3500000000000002E-2</v>
      </c>
      <c r="AA502" s="14">
        <f t="shared" si="354"/>
        <v>0</v>
      </c>
      <c r="AB502" s="14">
        <f t="shared" si="346"/>
        <v>0</v>
      </c>
      <c r="AC502" s="14">
        <f t="shared" si="355"/>
        <v>0</v>
      </c>
      <c r="AD502" s="14">
        <f t="shared" si="337"/>
        <v>134.16999999999999</v>
      </c>
      <c r="AE502" s="14">
        <f t="shared" si="338"/>
        <v>188.55</v>
      </c>
      <c r="AF502" s="14">
        <f t="shared" si="347"/>
        <v>322.72000000000003</v>
      </c>
      <c r="AG502" s="287">
        <f t="shared" si="348"/>
        <v>277225.64999999997</v>
      </c>
      <c r="AH502" s="287">
        <f t="shared" si="349"/>
        <v>319674.74999999983</v>
      </c>
      <c r="AI502" s="530">
        <f t="shared" si="339"/>
        <v>-43753.199999999772</v>
      </c>
      <c r="AJ502" s="530">
        <f t="shared" si="367"/>
        <v>0</v>
      </c>
      <c r="AK502" s="530">
        <f t="shared" si="340"/>
        <v>-43753.199999999772</v>
      </c>
      <c r="AL502" s="287">
        <f t="shared" si="350"/>
        <v>0</v>
      </c>
      <c r="AM502" s="428">
        <f t="shared" si="359"/>
        <v>0</v>
      </c>
    </row>
    <row r="503" spans="1:49" x14ac:dyDescent="0.25">
      <c r="A503" s="519"/>
      <c r="L503" s="428">
        <f t="shared" si="369"/>
        <v>0</v>
      </c>
      <c r="M503" s="428"/>
      <c r="X503" s="519">
        <f t="shared" si="358"/>
        <v>0</v>
      </c>
      <c r="Y503" s="287">
        <f t="shared" si="345"/>
        <v>0</v>
      </c>
      <c r="Z503" s="511">
        <f t="shared" si="353"/>
        <v>3.3500000000000002E-2</v>
      </c>
      <c r="AA503" s="14">
        <f t="shared" si="354"/>
        <v>0</v>
      </c>
      <c r="AB503" s="14">
        <f t="shared" si="346"/>
        <v>0</v>
      </c>
      <c r="AC503" s="14">
        <f t="shared" si="355"/>
        <v>0</v>
      </c>
      <c r="AD503" s="14">
        <f t="shared" si="337"/>
        <v>134.16999999999999</v>
      </c>
      <c r="AE503" s="14">
        <f t="shared" si="338"/>
        <v>188.55</v>
      </c>
      <c r="AF503" s="14">
        <f t="shared" si="347"/>
        <v>322.72000000000003</v>
      </c>
      <c r="AG503" s="287">
        <f t="shared" si="348"/>
        <v>277225.64999999997</v>
      </c>
      <c r="AH503" s="287">
        <f t="shared" si="349"/>
        <v>319674.74999999983</v>
      </c>
      <c r="AI503" s="530">
        <f t="shared" si="339"/>
        <v>-43753.199999999772</v>
      </c>
      <c r="AJ503" s="530">
        <f t="shared" si="367"/>
        <v>0</v>
      </c>
      <c r="AK503" s="530">
        <f t="shared" si="340"/>
        <v>-43753.199999999772</v>
      </c>
      <c r="AL503" s="287">
        <f t="shared" si="350"/>
        <v>0</v>
      </c>
      <c r="AM503" s="428">
        <f t="shared" si="359"/>
        <v>0</v>
      </c>
    </row>
    <row r="504" spans="1:49" x14ac:dyDescent="0.25">
      <c r="A504" s="519"/>
      <c r="L504" s="428">
        <f t="shared" si="369"/>
        <v>0</v>
      </c>
      <c r="M504" s="428"/>
      <c r="X504" s="519">
        <f t="shared" si="358"/>
        <v>0</v>
      </c>
      <c r="Y504" s="287">
        <f t="shared" si="345"/>
        <v>0</v>
      </c>
      <c r="Z504" s="511">
        <f t="shared" si="353"/>
        <v>3.3500000000000002E-2</v>
      </c>
      <c r="AA504" s="14">
        <f t="shared" si="354"/>
        <v>0</v>
      </c>
      <c r="AB504" s="14">
        <f t="shared" si="346"/>
        <v>0</v>
      </c>
      <c r="AC504" s="14">
        <f t="shared" si="355"/>
        <v>0</v>
      </c>
      <c r="AD504" s="14">
        <f t="shared" si="337"/>
        <v>134.16999999999999</v>
      </c>
      <c r="AE504" s="14">
        <f t="shared" si="338"/>
        <v>188.55</v>
      </c>
      <c r="AF504" s="14">
        <f t="shared" si="347"/>
        <v>322.72000000000003</v>
      </c>
      <c r="AG504" s="287">
        <f t="shared" si="348"/>
        <v>277225.64999999997</v>
      </c>
      <c r="AH504" s="287">
        <f t="shared" si="349"/>
        <v>319674.74999999983</v>
      </c>
      <c r="AI504" s="530">
        <f t="shared" si="339"/>
        <v>-43753.199999999772</v>
      </c>
      <c r="AJ504" s="530">
        <f t="shared" si="367"/>
        <v>0</v>
      </c>
      <c r="AK504" s="530">
        <f t="shared" si="340"/>
        <v>-43753.199999999772</v>
      </c>
      <c r="AL504" s="287">
        <f t="shared" si="350"/>
        <v>0</v>
      </c>
      <c r="AM504" s="428">
        <f t="shared" si="359"/>
        <v>0</v>
      </c>
    </row>
    <row r="505" spans="1:49" x14ac:dyDescent="0.25">
      <c r="A505" s="519"/>
      <c r="L505" s="428">
        <f t="shared" si="369"/>
        <v>0</v>
      </c>
      <c r="M505" s="428"/>
      <c r="X505" s="519">
        <f t="shared" si="358"/>
        <v>0</v>
      </c>
      <c r="Y505" s="287">
        <f t="shared" si="345"/>
        <v>0</v>
      </c>
      <c r="Z505" s="511">
        <f t="shared" si="353"/>
        <v>3.3500000000000002E-2</v>
      </c>
      <c r="AA505" s="14">
        <f t="shared" si="354"/>
        <v>0</v>
      </c>
      <c r="AB505" s="14">
        <f t="shared" si="346"/>
        <v>0</v>
      </c>
      <c r="AC505" s="14">
        <f t="shared" si="355"/>
        <v>0</v>
      </c>
      <c r="AD505" s="14">
        <f t="shared" si="337"/>
        <v>134.16999999999999</v>
      </c>
      <c r="AE505" s="14">
        <f t="shared" si="338"/>
        <v>188.55</v>
      </c>
      <c r="AF505" s="14">
        <f t="shared" si="347"/>
        <v>322.72000000000003</v>
      </c>
      <c r="AG505" s="287">
        <f t="shared" si="348"/>
        <v>277225.64999999997</v>
      </c>
      <c r="AH505" s="287">
        <f t="shared" si="349"/>
        <v>319674.74999999983</v>
      </c>
      <c r="AI505" s="530">
        <f t="shared" si="339"/>
        <v>-43753.199999999772</v>
      </c>
      <c r="AJ505" s="530">
        <f t="shared" si="367"/>
        <v>0</v>
      </c>
      <c r="AK505" s="530">
        <f t="shared" si="340"/>
        <v>-43753.199999999772</v>
      </c>
      <c r="AL505" s="287">
        <f t="shared" si="350"/>
        <v>0</v>
      </c>
      <c r="AM505" s="428">
        <f t="shared" si="359"/>
        <v>0</v>
      </c>
    </row>
    <row r="506" spans="1:49" ht="15.75" thickBot="1" x14ac:dyDescent="0.3">
      <c r="A506" s="522"/>
      <c r="B506" s="348"/>
      <c r="C506" s="21"/>
      <c r="D506" s="21"/>
      <c r="E506" s="21"/>
      <c r="F506" s="21"/>
      <c r="G506" s="21"/>
      <c r="H506" s="21"/>
      <c r="I506" s="348"/>
      <c r="J506" s="348"/>
      <c r="K506" s="348"/>
      <c r="L506" s="429">
        <f t="shared" si="369"/>
        <v>0</v>
      </c>
      <c r="M506" s="429"/>
      <c r="N506" s="348"/>
      <c r="U506" s="348"/>
      <c r="V506" s="348"/>
      <c r="W506" s="348"/>
      <c r="X506" s="522">
        <f t="shared" si="358"/>
        <v>0</v>
      </c>
      <c r="Y506" s="287">
        <f t="shared" si="345"/>
        <v>0</v>
      </c>
      <c r="Z506" s="511">
        <f t="shared" si="353"/>
        <v>3.3500000000000002E-2</v>
      </c>
      <c r="AA506" s="14">
        <f t="shared" si="354"/>
        <v>0</v>
      </c>
      <c r="AB506" s="14">
        <f t="shared" si="346"/>
        <v>0</v>
      </c>
      <c r="AC506" s="14">
        <f t="shared" si="355"/>
        <v>0</v>
      </c>
      <c r="AD506" s="14">
        <f t="shared" si="337"/>
        <v>134.16999999999999</v>
      </c>
      <c r="AE506" s="14">
        <f t="shared" si="338"/>
        <v>188.55</v>
      </c>
      <c r="AF506" s="14">
        <f t="shared" si="347"/>
        <v>322.72000000000003</v>
      </c>
      <c r="AG506" s="287">
        <f t="shared" si="348"/>
        <v>277225.64999999997</v>
      </c>
      <c r="AH506" s="287">
        <f t="shared" si="349"/>
        <v>319674.74999999983</v>
      </c>
      <c r="AI506" s="530">
        <f t="shared" si="339"/>
        <v>-43753.199999999772</v>
      </c>
      <c r="AJ506" s="530">
        <f t="shared" si="367"/>
        <v>0</v>
      </c>
      <c r="AK506" s="530">
        <f t="shared" si="340"/>
        <v>-43753.199999999772</v>
      </c>
      <c r="AL506" s="287">
        <f t="shared" si="350"/>
        <v>0</v>
      </c>
      <c r="AM506" s="429">
        <f t="shared" si="359"/>
        <v>0</v>
      </c>
      <c r="AN506" s="21"/>
      <c r="AO506" s="21"/>
      <c r="AP506" s="21"/>
      <c r="AQ506" s="21"/>
      <c r="AR506" s="23"/>
      <c r="AS506" s="21"/>
      <c r="AT506" s="21"/>
      <c r="AU506" s="348"/>
      <c r="AV506" s="348"/>
      <c r="AW506" s="21"/>
    </row>
    <row r="507" spans="1:49" x14ac:dyDescent="0.25">
      <c r="A507" s="519"/>
      <c r="L507" s="428">
        <f t="shared" si="369"/>
        <v>0</v>
      </c>
      <c r="M507" s="428"/>
      <c r="X507" s="519">
        <f t="shared" si="358"/>
        <v>0</v>
      </c>
      <c r="Y507" s="287">
        <f t="shared" si="345"/>
        <v>0</v>
      </c>
      <c r="Z507" s="511">
        <f t="shared" si="353"/>
        <v>3.3500000000000002E-2</v>
      </c>
      <c r="AA507" s="14">
        <f t="shared" si="354"/>
        <v>0</v>
      </c>
      <c r="AB507" s="14">
        <f t="shared" si="346"/>
        <v>0</v>
      </c>
      <c r="AC507" s="14">
        <f t="shared" si="355"/>
        <v>0</v>
      </c>
      <c r="AD507" s="14">
        <f t="shared" si="337"/>
        <v>134.16999999999999</v>
      </c>
      <c r="AE507" s="14">
        <f t="shared" si="338"/>
        <v>188.55</v>
      </c>
      <c r="AF507" s="14">
        <f t="shared" si="347"/>
        <v>322.72000000000003</v>
      </c>
      <c r="AG507" s="287">
        <f t="shared" si="348"/>
        <v>277225.64999999997</v>
      </c>
      <c r="AH507" s="287">
        <f t="shared" si="349"/>
        <v>319674.74999999983</v>
      </c>
      <c r="AI507" s="530">
        <f t="shared" si="339"/>
        <v>-43753.199999999772</v>
      </c>
      <c r="AJ507" s="530">
        <f t="shared" si="367"/>
        <v>0</v>
      </c>
      <c r="AK507" s="530">
        <f t="shared" si="340"/>
        <v>-43753.199999999772</v>
      </c>
      <c r="AL507" s="287">
        <f t="shared" si="350"/>
        <v>0</v>
      </c>
      <c r="AM507" s="428">
        <f t="shared" si="359"/>
        <v>0</v>
      </c>
    </row>
    <row r="508" spans="1:49" x14ac:dyDescent="0.25">
      <c r="A508" s="519"/>
      <c r="L508" s="428">
        <f t="shared" si="369"/>
        <v>0</v>
      </c>
      <c r="M508" s="428"/>
      <c r="X508" s="519">
        <f t="shared" si="358"/>
        <v>0</v>
      </c>
      <c r="Y508" s="287">
        <f t="shared" si="345"/>
        <v>0</v>
      </c>
      <c r="Z508" s="511">
        <f t="shared" si="353"/>
        <v>3.3500000000000002E-2</v>
      </c>
      <c r="AA508" s="14">
        <f t="shared" si="354"/>
        <v>0</v>
      </c>
      <c r="AB508" s="14">
        <f t="shared" si="346"/>
        <v>0</v>
      </c>
      <c r="AC508" s="14">
        <f t="shared" si="355"/>
        <v>0</v>
      </c>
      <c r="AD508" s="14">
        <f t="shared" ref="AD508:AD543" si="370">+AD507</f>
        <v>134.16999999999999</v>
      </c>
      <c r="AE508" s="14">
        <f t="shared" ref="AE508:AE543" si="371">+AE507</f>
        <v>188.55</v>
      </c>
      <c r="AF508" s="14">
        <f t="shared" si="347"/>
        <v>322.72000000000003</v>
      </c>
      <c r="AG508" s="287">
        <f t="shared" si="348"/>
        <v>277225.64999999997</v>
      </c>
      <c r="AH508" s="287">
        <f t="shared" si="349"/>
        <v>319674.74999999983</v>
      </c>
      <c r="AI508" s="530">
        <f t="shared" ref="AI508:AI543" si="372">O508-AA508+AI507</f>
        <v>-43753.199999999772</v>
      </c>
      <c r="AJ508" s="530">
        <f t="shared" si="367"/>
        <v>0</v>
      </c>
      <c r="AK508" s="530">
        <f t="shared" ref="AK508:AK543" si="373">SUM(AI508:AJ508)</f>
        <v>-43753.199999999772</v>
      </c>
      <c r="AL508" s="287">
        <f t="shared" si="350"/>
        <v>0</v>
      </c>
      <c r="AM508" s="428">
        <f t="shared" si="359"/>
        <v>0</v>
      </c>
    </row>
    <row r="509" spans="1:49" x14ac:dyDescent="0.25">
      <c r="A509" s="519"/>
      <c r="L509" s="428">
        <f t="shared" si="369"/>
        <v>0</v>
      </c>
      <c r="M509" s="428"/>
      <c r="X509" s="519">
        <f t="shared" si="358"/>
        <v>0</v>
      </c>
      <c r="Y509" s="287">
        <f t="shared" si="345"/>
        <v>0</v>
      </c>
      <c r="Z509" s="511">
        <f t="shared" si="353"/>
        <v>3.3500000000000002E-2</v>
      </c>
      <c r="AA509" s="14">
        <f t="shared" si="354"/>
        <v>0</v>
      </c>
      <c r="AB509" s="14">
        <f t="shared" si="346"/>
        <v>0</v>
      </c>
      <c r="AC509" s="14">
        <f t="shared" si="355"/>
        <v>0</v>
      </c>
      <c r="AD509" s="14">
        <f t="shared" si="370"/>
        <v>134.16999999999999</v>
      </c>
      <c r="AE509" s="14">
        <f t="shared" si="371"/>
        <v>188.55</v>
      </c>
      <c r="AF509" s="14">
        <f t="shared" si="347"/>
        <v>322.72000000000003</v>
      </c>
      <c r="AG509" s="287">
        <f t="shared" si="348"/>
        <v>277225.64999999997</v>
      </c>
      <c r="AH509" s="287">
        <f t="shared" si="349"/>
        <v>319674.74999999983</v>
      </c>
      <c r="AI509" s="530">
        <f t="shared" si="372"/>
        <v>-43753.199999999772</v>
      </c>
      <c r="AJ509" s="530">
        <f t="shared" si="367"/>
        <v>0</v>
      </c>
      <c r="AK509" s="530">
        <f t="shared" si="373"/>
        <v>-43753.199999999772</v>
      </c>
      <c r="AL509" s="287">
        <f t="shared" si="350"/>
        <v>0</v>
      </c>
      <c r="AM509" s="428">
        <f t="shared" si="359"/>
        <v>0</v>
      </c>
    </row>
    <row r="510" spans="1:49" x14ac:dyDescent="0.25">
      <c r="A510" s="519"/>
      <c r="L510" s="428">
        <f t="shared" si="369"/>
        <v>0</v>
      </c>
      <c r="M510" s="428"/>
      <c r="X510" s="519">
        <f t="shared" si="358"/>
        <v>0</v>
      </c>
      <c r="Y510" s="287">
        <f t="shared" ref="Y510:Y543" si="374">IF(+AL509&lt;0,0,+AL509)</f>
        <v>0</v>
      </c>
      <c r="Z510" s="511">
        <f t="shared" si="353"/>
        <v>3.3500000000000002E-2</v>
      </c>
      <c r="AA510" s="14">
        <f t="shared" si="354"/>
        <v>0</v>
      </c>
      <c r="AB510" s="14">
        <f t="shared" ref="AB510:AB543" si="375">+AA510-AC510</f>
        <v>0</v>
      </c>
      <c r="AC510" s="14">
        <f t="shared" si="355"/>
        <v>0</v>
      </c>
      <c r="AD510" s="14">
        <f t="shared" si="370"/>
        <v>134.16999999999999</v>
      </c>
      <c r="AE510" s="14">
        <f t="shared" si="371"/>
        <v>188.55</v>
      </c>
      <c r="AF510" s="14">
        <f t="shared" ref="AF510:AF543" si="376">SUM(AB510:AE510)</f>
        <v>322.72000000000003</v>
      </c>
      <c r="AG510" s="287">
        <f t="shared" ref="AG510:AG543" si="377">+AB510+AG509</f>
        <v>277225.64999999997</v>
      </c>
      <c r="AH510" s="287">
        <f t="shared" ref="AH510:AH543" si="378">+AH509+AC510</f>
        <v>319674.74999999983</v>
      </c>
      <c r="AI510" s="530">
        <f t="shared" si="372"/>
        <v>-43753.199999999772</v>
      </c>
      <c r="AJ510" s="530">
        <f t="shared" si="367"/>
        <v>0</v>
      </c>
      <c r="AK510" s="530">
        <f t="shared" si="373"/>
        <v>-43753.199999999772</v>
      </c>
      <c r="AL510" s="287">
        <f t="shared" ref="AL510:AL543" si="379">+Y510-AB510</f>
        <v>0</v>
      </c>
      <c r="AM510" s="428">
        <f t="shared" si="359"/>
        <v>0</v>
      </c>
    </row>
    <row r="511" spans="1:49" x14ac:dyDescent="0.25">
      <c r="A511" s="519"/>
      <c r="L511" s="428">
        <f t="shared" si="369"/>
        <v>0</v>
      </c>
      <c r="M511" s="428"/>
      <c r="X511" s="519">
        <f t="shared" si="358"/>
        <v>0</v>
      </c>
      <c r="Y511" s="287">
        <f t="shared" si="374"/>
        <v>0</v>
      </c>
      <c r="Z511" s="511">
        <f t="shared" si="353"/>
        <v>3.3500000000000002E-2</v>
      </c>
      <c r="AA511" s="14">
        <f t="shared" si="354"/>
        <v>0</v>
      </c>
      <c r="AB511" s="14">
        <f t="shared" si="375"/>
        <v>0</v>
      </c>
      <c r="AC511" s="14">
        <f t="shared" si="355"/>
        <v>0</v>
      </c>
      <c r="AD511" s="14">
        <f t="shared" si="370"/>
        <v>134.16999999999999</v>
      </c>
      <c r="AE511" s="14">
        <f t="shared" si="371"/>
        <v>188.55</v>
      </c>
      <c r="AF511" s="14">
        <f t="shared" si="376"/>
        <v>322.72000000000003</v>
      </c>
      <c r="AG511" s="287">
        <f t="shared" si="377"/>
        <v>277225.64999999997</v>
      </c>
      <c r="AH511" s="287">
        <f t="shared" si="378"/>
        <v>319674.74999999983</v>
      </c>
      <c r="AI511" s="530">
        <f t="shared" si="372"/>
        <v>-43753.199999999772</v>
      </c>
      <c r="AJ511" s="530">
        <f t="shared" si="367"/>
        <v>0</v>
      </c>
      <c r="AK511" s="530">
        <f t="shared" si="373"/>
        <v>-43753.199999999772</v>
      </c>
      <c r="AL511" s="287">
        <f t="shared" si="379"/>
        <v>0</v>
      </c>
      <c r="AM511" s="428">
        <f t="shared" si="359"/>
        <v>0</v>
      </c>
    </row>
    <row r="512" spans="1:49" x14ac:dyDescent="0.25">
      <c r="A512" s="519"/>
      <c r="L512" s="428">
        <f t="shared" si="369"/>
        <v>0</v>
      </c>
      <c r="M512" s="428"/>
      <c r="X512" s="519">
        <f t="shared" si="358"/>
        <v>0</v>
      </c>
      <c r="Y512" s="287">
        <f t="shared" si="374"/>
        <v>0</v>
      </c>
      <c r="Z512" s="511">
        <f t="shared" si="353"/>
        <v>3.3500000000000002E-2</v>
      </c>
      <c r="AA512" s="14">
        <f t="shared" si="354"/>
        <v>0</v>
      </c>
      <c r="AB512" s="14">
        <f t="shared" si="375"/>
        <v>0</v>
      </c>
      <c r="AC512" s="14">
        <f t="shared" si="355"/>
        <v>0</v>
      </c>
      <c r="AD512" s="14">
        <f t="shared" si="370"/>
        <v>134.16999999999999</v>
      </c>
      <c r="AE512" s="14">
        <f t="shared" si="371"/>
        <v>188.55</v>
      </c>
      <c r="AF512" s="14">
        <f t="shared" si="376"/>
        <v>322.72000000000003</v>
      </c>
      <c r="AG512" s="287">
        <f t="shared" si="377"/>
        <v>277225.64999999997</v>
      </c>
      <c r="AH512" s="287">
        <f t="shared" si="378"/>
        <v>319674.74999999983</v>
      </c>
      <c r="AI512" s="530">
        <f t="shared" si="372"/>
        <v>-43753.199999999772</v>
      </c>
      <c r="AJ512" s="530">
        <f t="shared" si="367"/>
        <v>0</v>
      </c>
      <c r="AK512" s="530">
        <f t="shared" si="373"/>
        <v>-43753.199999999772</v>
      </c>
      <c r="AL512" s="287">
        <f t="shared" si="379"/>
        <v>0</v>
      </c>
      <c r="AM512" s="428">
        <f t="shared" si="359"/>
        <v>0</v>
      </c>
    </row>
    <row r="513" spans="1:49" x14ac:dyDescent="0.25">
      <c r="A513" s="519"/>
      <c r="L513" s="428">
        <f t="shared" si="369"/>
        <v>0</v>
      </c>
      <c r="M513" s="428"/>
      <c r="X513" s="519">
        <f t="shared" si="358"/>
        <v>0</v>
      </c>
      <c r="Y513" s="287">
        <f t="shared" si="374"/>
        <v>0</v>
      </c>
      <c r="Z513" s="511">
        <f t="shared" si="353"/>
        <v>3.3500000000000002E-2</v>
      </c>
      <c r="AA513" s="14">
        <f t="shared" si="354"/>
        <v>0</v>
      </c>
      <c r="AB513" s="14">
        <f t="shared" si="375"/>
        <v>0</v>
      </c>
      <c r="AC513" s="14">
        <f t="shared" si="355"/>
        <v>0</v>
      </c>
      <c r="AD513" s="14">
        <f t="shared" si="370"/>
        <v>134.16999999999999</v>
      </c>
      <c r="AE513" s="14">
        <f t="shared" si="371"/>
        <v>188.55</v>
      </c>
      <c r="AF513" s="14">
        <f t="shared" si="376"/>
        <v>322.72000000000003</v>
      </c>
      <c r="AG513" s="287">
        <f t="shared" si="377"/>
        <v>277225.64999999997</v>
      </c>
      <c r="AH513" s="287">
        <f t="shared" si="378"/>
        <v>319674.74999999983</v>
      </c>
      <c r="AI513" s="530">
        <f t="shared" si="372"/>
        <v>-43753.199999999772</v>
      </c>
      <c r="AJ513" s="530">
        <f t="shared" si="367"/>
        <v>0</v>
      </c>
      <c r="AK513" s="530">
        <f t="shared" si="373"/>
        <v>-43753.199999999772</v>
      </c>
      <c r="AL513" s="287">
        <f t="shared" si="379"/>
        <v>0</v>
      </c>
      <c r="AM513" s="428">
        <f t="shared" si="359"/>
        <v>0</v>
      </c>
    </row>
    <row r="514" spans="1:49" x14ac:dyDescent="0.25">
      <c r="A514" s="519"/>
      <c r="L514" s="428">
        <f t="shared" si="369"/>
        <v>0</v>
      </c>
      <c r="M514" s="428"/>
      <c r="X514" s="519">
        <f t="shared" si="358"/>
        <v>0</v>
      </c>
      <c r="Y514" s="287">
        <f t="shared" si="374"/>
        <v>0</v>
      </c>
      <c r="Z514" s="511">
        <f t="shared" si="353"/>
        <v>3.3500000000000002E-2</v>
      </c>
      <c r="AA514" s="14">
        <f t="shared" si="354"/>
        <v>0</v>
      </c>
      <c r="AB514" s="14">
        <f t="shared" si="375"/>
        <v>0</v>
      </c>
      <c r="AC514" s="14">
        <f t="shared" si="355"/>
        <v>0</v>
      </c>
      <c r="AD514" s="14">
        <f t="shared" si="370"/>
        <v>134.16999999999999</v>
      </c>
      <c r="AE514" s="14">
        <f t="shared" si="371"/>
        <v>188.55</v>
      </c>
      <c r="AF514" s="14">
        <f t="shared" si="376"/>
        <v>322.72000000000003</v>
      </c>
      <c r="AG514" s="287">
        <f t="shared" si="377"/>
        <v>277225.64999999997</v>
      </c>
      <c r="AH514" s="287">
        <f t="shared" si="378"/>
        <v>319674.74999999983</v>
      </c>
      <c r="AI514" s="530">
        <f t="shared" si="372"/>
        <v>-43753.199999999772</v>
      </c>
      <c r="AJ514" s="530">
        <f t="shared" si="367"/>
        <v>0</v>
      </c>
      <c r="AK514" s="530">
        <f t="shared" si="373"/>
        <v>-43753.199999999772</v>
      </c>
      <c r="AL514" s="287">
        <f t="shared" si="379"/>
        <v>0</v>
      </c>
      <c r="AM514" s="428">
        <f t="shared" si="359"/>
        <v>0</v>
      </c>
    </row>
    <row r="515" spans="1:49" x14ac:dyDescent="0.25">
      <c r="A515" s="519"/>
      <c r="L515" s="428">
        <f t="shared" si="369"/>
        <v>0</v>
      </c>
      <c r="M515" s="428"/>
      <c r="X515" s="519">
        <f t="shared" si="358"/>
        <v>0</v>
      </c>
      <c r="Y515" s="287">
        <f t="shared" si="374"/>
        <v>0</v>
      </c>
      <c r="Z515" s="511">
        <f t="shared" si="353"/>
        <v>3.3500000000000002E-2</v>
      </c>
      <c r="AA515" s="14">
        <f t="shared" si="354"/>
        <v>0</v>
      </c>
      <c r="AB515" s="14">
        <f t="shared" si="375"/>
        <v>0</v>
      </c>
      <c r="AC515" s="14">
        <f t="shared" si="355"/>
        <v>0</v>
      </c>
      <c r="AD515" s="14">
        <f t="shared" si="370"/>
        <v>134.16999999999999</v>
      </c>
      <c r="AE515" s="14">
        <f t="shared" si="371"/>
        <v>188.55</v>
      </c>
      <c r="AF515" s="14">
        <f t="shared" si="376"/>
        <v>322.72000000000003</v>
      </c>
      <c r="AG515" s="287">
        <f t="shared" si="377"/>
        <v>277225.64999999997</v>
      </c>
      <c r="AH515" s="287">
        <f t="shared" si="378"/>
        <v>319674.74999999983</v>
      </c>
      <c r="AI515" s="530">
        <f t="shared" si="372"/>
        <v>-43753.199999999772</v>
      </c>
      <c r="AJ515" s="530">
        <f t="shared" si="367"/>
        <v>0</v>
      </c>
      <c r="AK515" s="530">
        <f t="shared" si="373"/>
        <v>-43753.199999999772</v>
      </c>
      <c r="AL515" s="287">
        <f t="shared" si="379"/>
        <v>0</v>
      </c>
      <c r="AM515" s="428">
        <f t="shared" si="359"/>
        <v>0</v>
      </c>
    </row>
    <row r="516" spans="1:49" x14ac:dyDescent="0.25">
      <c r="A516" s="519"/>
      <c r="L516" s="428">
        <f t="shared" si="369"/>
        <v>0</v>
      </c>
      <c r="M516" s="428"/>
      <c r="X516" s="519">
        <f t="shared" si="358"/>
        <v>0</v>
      </c>
      <c r="Y516" s="287">
        <f t="shared" si="374"/>
        <v>0</v>
      </c>
      <c r="Z516" s="511">
        <f t="shared" si="353"/>
        <v>3.3500000000000002E-2</v>
      </c>
      <c r="AA516" s="14">
        <f t="shared" si="354"/>
        <v>0</v>
      </c>
      <c r="AB516" s="14">
        <f t="shared" si="375"/>
        <v>0</v>
      </c>
      <c r="AC516" s="14">
        <f t="shared" si="355"/>
        <v>0</v>
      </c>
      <c r="AD516" s="14">
        <f t="shared" si="370"/>
        <v>134.16999999999999</v>
      </c>
      <c r="AE516" s="14">
        <f t="shared" si="371"/>
        <v>188.55</v>
      </c>
      <c r="AF516" s="14">
        <f t="shared" si="376"/>
        <v>322.72000000000003</v>
      </c>
      <c r="AG516" s="287">
        <f t="shared" si="377"/>
        <v>277225.64999999997</v>
      </c>
      <c r="AH516" s="287">
        <f t="shared" si="378"/>
        <v>319674.74999999983</v>
      </c>
      <c r="AI516" s="530">
        <f t="shared" si="372"/>
        <v>-43753.199999999772</v>
      </c>
      <c r="AJ516" s="530">
        <f t="shared" si="367"/>
        <v>0</v>
      </c>
      <c r="AK516" s="530">
        <f t="shared" si="373"/>
        <v>-43753.199999999772</v>
      </c>
      <c r="AL516" s="287">
        <f t="shared" si="379"/>
        <v>0</v>
      </c>
      <c r="AM516" s="428">
        <f t="shared" si="359"/>
        <v>0</v>
      </c>
    </row>
    <row r="517" spans="1:49" x14ac:dyDescent="0.25">
      <c r="A517" s="519"/>
      <c r="L517" s="428">
        <f t="shared" si="369"/>
        <v>0</v>
      </c>
      <c r="M517" s="428"/>
      <c r="X517" s="519">
        <f t="shared" si="358"/>
        <v>0</v>
      </c>
      <c r="Y517" s="287">
        <f t="shared" si="374"/>
        <v>0</v>
      </c>
      <c r="Z517" s="511">
        <f t="shared" si="353"/>
        <v>3.3500000000000002E-2</v>
      </c>
      <c r="AA517" s="14">
        <f t="shared" si="354"/>
        <v>0</v>
      </c>
      <c r="AB517" s="14">
        <f t="shared" si="375"/>
        <v>0</v>
      </c>
      <c r="AC517" s="14">
        <f t="shared" si="355"/>
        <v>0</v>
      </c>
      <c r="AD517" s="14">
        <f t="shared" si="370"/>
        <v>134.16999999999999</v>
      </c>
      <c r="AE517" s="14">
        <f t="shared" si="371"/>
        <v>188.55</v>
      </c>
      <c r="AF517" s="14">
        <f t="shared" si="376"/>
        <v>322.72000000000003</v>
      </c>
      <c r="AG517" s="287">
        <f t="shared" si="377"/>
        <v>277225.64999999997</v>
      </c>
      <c r="AH517" s="287">
        <f t="shared" si="378"/>
        <v>319674.74999999983</v>
      </c>
      <c r="AI517" s="530">
        <f t="shared" si="372"/>
        <v>-43753.199999999772</v>
      </c>
      <c r="AJ517" s="530">
        <f t="shared" si="367"/>
        <v>0</v>
      </c>
      <c r="AK517" s="530">
        <f t="shared" si="373"/>
        <v>-43753.199999999772</v>
      </c>
      <c r="AL517" s="287">
        <f t="shared" si="379"/>
        <v>0</v>
      </c>
      <c r="AM517" s="428">
        <f t="shared" si="359"/>
        <v>0</v>
      </c>
    </row>
    <row r="518" spans="1:49" ht="15.75" thickBot="1" x14ac:dyDescent="0.3">
      <c r="A518" s="522"/>
      <c r="B518" s="348"/>
      <c r="C518" s="21"/>
      <c r="D518" s="21"/>
      <c r="E518" s="21"/>
      <c r="F518" s="21"/>
      <c r="G518" s="21"/>
      <c r="H518" s="21"/>
      <c r="I518" s="348"/>
      <c r="J518" s="348"/>
      <c r="K518" s="348"/>
      <c r="L518" s="429">
        <f t="shared" si="369"/>
        <v>0</v>
      </c>
      <c r="M518" s="429"/>
      <c r="N518" s="348"/>
      <c r="U518" s="348"/>
      <c r="V518" s="348"/>
      <c r="W518" s="348"/>
      <c r="X518" s="522">
        <f t="shared" si="358"/>
        <v>0</v>
      </c>
      <c r="Y518" s="287">
        <f t="shared" si="374"/>
        <v>0</v>
      </c>
      <c r="Z518" s="511">
        <f t="shared" si="353"/>
        <v>3.3500000000000002E-2</v>
      </c>
      <c r="AA518" s="14">
        <f t="shared" si="354"/>
        <v>0</v>
      </c>
      <c r="AB518" s="14">
        <f t="shared" si="375"/>
        <v>0</v>
      </c>
      <c r="AC518" s="14">
        <f t="shared" si="355"/>
        <v>0</v>
      </c>
      <c r="AD518" s="14">
        <f t="shared" si="370"/>
        <v>134.16999999999999</v>
      </c>
      <c r="AE518" s="14">
        <f t="shared" si="371"/>
        <v>188.55</v>
      </c>
      <c r="AF518" s="14">
        <f t="shared" si="376"/>
        <v>322.72000000000003</v>
      </c>
      <c r="AG518" s="287">
        <f t="shared" si="377"/>
        <v>277225.64999999997</v>
      </c>
      <c r="AH518" s="287">
        <f t="shared" si="378"/>
        <v>319674.74999999983</v>
      </c>
      <c r="AI518" s="530">
        <f t="shared" si="372"/>
        <v>-43753.199999999772</v>
      </c>
      <c r="AJ518" s="530">
        <f t="shared" si="367"/>
        <v>0</v>
      </c>
      <c r="AK518" s="530">
        <f t="shared" si="373"/>
        <v>-43753.199999999772</v>
      </c>
      <c r="AL518" s="287">
        <f t="shared" si="379"/>
        <v>0</v>
      </c>
      <c r="AM518" s="429">
        <f t="shared" si="359"/>
        <v>0</v>
      </c>
      <c r="AN518" s="21"/>
      <c r="AO518" s="21"/>
      <c r="AP518" s="21"/>
      <c r="AQ518" s="21"/>
      <c r="AR518" s="23"/>
      <c r="AS518" s="21"/>
      <c r="AT518" s="21"/>
      <c r="AU518" s="348"/>
      <c r="AV518" s="348"/>
      <c r="AW518" s="21"/>
    </row>
    <row r="519" spans="1:49" x14ac:dyDescent="0.25">
      <c r="A519" s="519"/>
      <c r="L519" s="428">
        <f t="shared" si="369"/>
        <v>0</v>
      </c>
      <c r="M519" s="428"/>
      <c r="X519" s="519">
        <f t="shared" si="358"/>
        <v>0</v>
      </c>
      <c r="Y519" s="287">
        <f t="shared" si="374"/>
        <v>0</v>
      </c>
      <c r="Z519" s="511">
        <f t="shared" si="353"/>
        <v>3.3500000000000002E-2</v>
      </c>
      <c r="AA519" s="14">
        <f t="shared" si="354"/>
        <v>0</v>
      </c>
      <c r="AB519" s="14">
        <f t="shared" si="375"/>
        <v>0</v>
      </c>
      <c r="AC519" s="14">
        <f t="shared" si="355"/>
        <v>0</v>
      </c>
      <c r="AD519" s="14">
        <f t="shared" si="370"/>
        <v>134.16999999999999</v>
      </c>
      <c r="AE519" s="14">
        <f t="shared" si="371"/>
        <v>188.55</v>
      </c>
      <c r="AF519" s="14">
        <f t="shared" si="376"/>
        <v>322.72000000000003</v>
      </c>
      <c r="AG519" s="287">
        <f t="shared" si="377"/>
        <v>277225.64999999997</v>
      </c>
      <c r="AH519" s="287">
        <f t="shared" si="378"/>
        <v>319674.74999999983</v>
      </c>
      <c r="AI519" s="530">
        <f t="shared" si="372"/>
        <v>-43753.199999999772</v>
      </c>
      <c r="AJ519" s="530">
        <f t="shared" si="367"/>
        <v>0</v>
      </c>
      <c r="AK519" s="530">
        <f t="shared" si="373"/>
        <v>-43753.199999999772</v>
      </c>
      <c r="AL519" s="287">
        <f t="shared" si="379"/>
        <v>0</v>
      </c>
      <c r="AM519" s="428">
        <f t="shared" si="359"/>
        <v>0</v>
      </c>
    </row>
    <row r="520" spans="1:49" x14ac:dyDescent="0.25">
      <c r="A520" s="519"/>
      <c r="L520" s="428">
        <f t="shared" si="369"/>
        <v>0</v>
      </c>
      <c r="M520" s="428"/>
      <c r="X520" s="519">
        <f t="shared" si="358"/>
        <v>0</v>
      </c>
      <c r="Y520" s="287">
        <f t="shared" si="374"/>
        <v>0</v>
      </c>
      <c r="Z520" s="511">
        <f t="shared" si="353"/>
        <v>3.3500000000000002E-2</v>
      </c>
      <c r="AA520" s="14">
        <f t="shared" si="354"/>
        <v>0</v>
      </c>
      <c r="AB520" s="14">
        <f t="shared" si="375"/>
        <v>0</v>
      </c>
      <c r="AC520" s="14">
        <f t="shared" si="355"/>
        <v>0</v>
      </c>
      <c r="AD520" s="14">
        <f t="shared" si="370"/>
        <v>134.16999999999999</v>
      </c>
      <c r="AE520" s="14">
        <f t="shared" si="371"/>
        <v>188.55</v>
      </c>
      <c r="AF520" s="14">
        <f t="shared" si="376"/>
        <v>322.72000000000003</v>
      </c>
      <c r="AG520" s="287">
        <f t="shared" si="377"/>
        <v>277225.64999999997</v>
      </c>
      <c r="AH520" s="287">
        <f t="shared" si="378"/>
        <v>319674.74999999983</v>
      </c>
      <c r="AI520" s="530">
        <f t="shared" si="372"/>
        <v>-43753.199999999772</v>
      </c>
      <c r="AJ520" s="530">
        <f t="shared" si="367"/>
        <v>0</v>
      </c>
      <c r="AK520" s="530">
        <f t="shared" si="373"/>
        <v>-43753.199999999772</v>
      </c>
      <c r="AL520" s="287">
        <f t="shared" si="379"/>
        <v>0</v>
      </c>
      <c r="AM520" s="428">
        <f t="shared" si="359"/>
        <v>0</v>
      </c>
    </row>
    <row r="521" spans="1:49" x14ac:dyDescent="0.25">
      <c r="A521" s="519"/>
      <c r="L521" s="428">
        <f t="shared" si="369"/>
        <v>0</v>
      </c>
      <c r="M521" s="428"/>
      <c r="X521" s="519">
        <f t="shared" si="358"/>
        <v>0</v>
      </c>
      <c r="Y521" s="287">
        <f t="shared" si="374"/>
        <v>0</v>
      </c>
      <c r="Z521" s="511">
        <f t="shared" si="353"/>
        <v>3.3500000000000002E-2</v>
      </c>
      <c r="AA521" s="14">
        <f t="shared" si="354"/>
        <v>0</v>
      </c>
      <c r="AB521" s="14">
        <f t="shared" si="375"/>
        <v>0</v>
      </c>
      <c r="AC521" s="14">
        <f t="shared" si="355"/>
        <v>0</v>
      </c>
      <c r="AD521" s="14">
        <f t="shared" si="370"/>
        <v>134.16999999999999</v>
      </c>
      <c r="AE521" s="14">
        <f t="shared" si="371"/>
        <v>188.55</v>
      </c>
      <c r="AF521" s="14">
        <f t="shared" si="376"/>
        <v>322.72000000000003</v>
      </c>
      <c r="AG521" s="287">
        <f t="shared" si="377"/>
        <v>277225.64999999997</v>
      </c>
      <c r="AH521" s="287">
        <f t="shared" si="378"/>
        <v>319674.74999999983</v>
      </c>
      <c r="AI521" s="530">
        <f t="shared" si="372"/>
        <v>-43753.199999999772</v>
      </c>
      <c r="AJ521" s="530">
        <f t="shared" si="367"/>
        <v>0</v>
      </c>
      <c r="AK521" s="530">
        <f t="shared" si="373"/>
        <v>-43753.199999999772</v>
      </c>
      <c r="AL521" s="287">
        <f t="shared" si="379"/>
        <v>0</v>
      </c>
      <c r="AM521" s="428">
        <f t="shared" si="359"/>
        <v>0</v>
      </c>
    </row>
    <row r="522" spans="1:49" x14ac:dyDescent="0.25">
      <c r="A522" s="519"/>
      <c r="L522" s="428">
        <f t="shared" si="369"/>
        <v>0</v>
      </c>
      <c r="M522" s="428"/>
      <c r="X522" s="519">
        <f t="shared" si="358"/>
        <v>0</v>
      </c>
      <c r="Y522" s="287">
        <f t="shared" si="374"/>
        <v>0</v>
      </c>
      <c r="Z522" s="511">
        <f t="shared" si="353"/>
        <v>3.3500000000000002E-2</v>
      </c>
      <c r="AA522" s="14">
        <f t="shared" si="354"/>
        <v>0</v>
      </c>
      <c r="AB522" s="14">
        <f t="shared" si="375"/>
        <v>0</v>
      </c>
      <c r="AC522" s="14">
        <f t="shared" si="355"/>
        <v>0</v>
      </c>
      <c r="AD522" s="14">
        <f t="shared" si="370"/>
        <v>134.16999999999999</v>
      </c>
      <c r="AE522" s="14">
        <f t="shared" si="371"/>
        <v>188.55</v>
      </c>
      <c r="AF522" s="14">
        <f t="shared" si="376"/>
        <v>322.72000000000003</v>
      </c>
      <c r="AG522" s="287">
        <f t="shared" si="377"/>
        <v>277225.64999999997</v>
      </c>
      <c r="AH522" s="287">
        <f t="shared" si="378"/>
        <v>319674.74999999983</v>
      </c>
      <c r="AI522" s="530">
        <f t="shared" si="372"/>
        <v>-43753.199999999772</v>
      </c>
      <c r="AJ522" s="530">
        <f t="shared" si="367"/>
        <v>0</v>
      </c>
      <c r="AK522" s="530">
        <f t="shared" si="373"/>
        <v>-43753.199999999772</v>
      </c>
      <c r="AL522" s="287">
        <f t="shared" si="379"/>
        <v>0</v>
      </c>
      <c r="AM522" s="428">
        <f t="shared" si="359"/>
        <v>0</v>
      </c>
    </row>
    <row r="523" spans="1:49" x14ac:dyDescent="0.25">
      <c r="A523" s="519"/>
      <c r="L523" s="428">
        <f t="shared" si="369"/>
        <v>0</v>
      </c>
      <c r="M523" s="428"/>
      <c r="X523" s="519">
        <f t="shared" si="358"/>
        <v>0</v>
      </c>
      <c r="Y523" s="287">
        <f t="shared" si="374"/>
        <v>0</v>
      </c>
      <c r="Z523" s="511">
        <f t="shared" si="353"/>
        <v>3.3500000000000002E-2</v>
      </c>
      <c r="AA523" s="14">
        <f t="shared" si="354"/>
        <v>0</v>
      </c>
      <c r="AB523" s="14">
        <f t="shared" si="375"/>
        <v>0</v>
      </c>
      <c r="AC523" s="14">
        <f t="shared" si="355"/>
        <v>0</v>
      </c>
      <c r="AD523" s="14">
        <f t="shared" si="370"/>
        <v>134.16999999999999</v>
      </c>
      <c r="AE523" s="14">
        <f t="shared" si="371"/>
        <v>188.55</v>
      </c>
      <c r="AF523" s="14">
        <f t="shared" si="376"/>
        <v>322.72000000000003</v>
      </c>
      <c r="AG523" s="287">
        <f t="shared" si="377"/>
        <v>277225.64999999997</v>
      </c>
      <c r="AH523" s="287">
        <f t="shared" si="378"/>
        <v>319674.74999999983</v>
      </c>
      <c r="AI523" s="530">
        <f t="shared" si="372"/>
        <v>-43753.199999999772</v>
      </c>
      <c r="AJ523" s="530">
        <f t="shared" si="367"/>
        <v>0</v>
      </c>
      <c r="AK523" s="530">
        <f t="shared" si="373"/>
        <v>-43753.199999999772</v>
      </c>
      <c r="AL523" s="287">
        <f t="shared" si="379"/>
        <v>0</v>
      </c>
      <c r="AM523" s="428">
        <f t="shared" si="359"/>
        <v>0</v>
      </c>
    </row>
    <row r="524" spans="1:49" x14ac:dyDescent="0.25">
      <c r="A524" s="519"/>
      <c r="L524" s="428">
        <f t="shared" si="369"/>
        <v>0</v>
      </c>
      <c r="M524" s="428"/>
      <c r="X524" s="519">
        <f t="shared" si="358"/>
        <v>0</v>
      </c>
      <c r="Y524" s="287">
        <f t="shared" si="374"/>
        <v>0</v>
      </c>
      <c r="Z524" s="511">
        <f t="shared" si="353"/>
        <v>3.3500000000000002E-2</v>
      </c>
      <c r="AA524" s="14">
        <f t="shared" si="354"/>
        <v>0</v>
      </c>
      <c r="AB524" s="14">
        <f t="shared" si="375"/>
        <v>0</v>
      </c>
      <c r="AC524" s="14">
        <f t="shared" si="355"/>
        <v>0</v>
      </c>
      <c r="AD524" s="14">
        <f t="shared" si="370"/>
        <v>134.16999999999999</v>
      </c>
      <c r="AE524" s="14">
        <f t="shared" si="371"/>
        <v>188.55</v>
      </c>
      <c r="AF524" s="14">
        <f t="shared" si="376"/>
        <v>322.72000000000003</v>
      </c>
      <c r="AG524" s="287">
        <f t="shared" si="377"/>
        <v>277225.64999999997</v>
      </c>
      <c r="AH524" s="287">
        <f t="shared" si="378"/>
        <v>319674.74999999983</v>
      </c>
      <c r="AI524" s="530">
        <f t="shared" si="372"/>
        <v>-43753.199999999772</v>
      </c>
      <c r="AJ524" s="530">
        <f t="shared" si="367"/>
        <v>0</v>
      </c>
      <c r="AK524" s="530">
        <f t="shared" si="373"/>
        <v>-43753.199999999772</v>
      </c>
      <c r="AL524" s="287">
        <f t="shared" si="379"/>
        <v>0</v>
      </c>
      <c r="AM524" s="428">
        <f t="shared" si="359"/>
        <v>0</v>
      </c>
    </row>
    <row r="525" spans="1:49" x14ac:dyDescent="0.25">
      <c r="A525" s="519"/>
      <c r="L525" s="428">
        <f t="shared" si="369"/>
        <v>0</v>
      </c>
      <c r="M525" s="428"/>
      <c r="X525" s="519">
        <f t="shared" si="358"/>
        <v>0</v>
      </c>
      <c r="Y525" s="287">
        <f t="shared" si="374"/>
        <v>0</v>
      </c>
      <c r="Z525" s="511">
        <f t="shared" si="353"/>
        <v>3.3500000000000002E-2</v>
      </c>
      <c r="AA525" s="14">
        <f t="shared" si="354"/>
        <v>0</v>
      </c>
      <c r="AB525" s="14">
        <f t="shared" si="375"/>
        <v>0</v>
      </c>
      <c r="AC525" s="14">
        <f t="shared" si="355"/>
        <v>0</v>
      </c>
      <c r="AD525" s="14">
        <f t="shared" si="370"/>
        <v>134.16999999999999</v>
      </c>
      <c r="AE525" s="14">
        <f t="shared" si="371"/>
        <v>188.55</v>
      </c>
      <c r="AF525" s="14">
        <f t="shared" si="376"/>
        <v>322.72000000000003</v>
      </c>
      <c r="AG525" s="287">
        <f t="shared" si="377"/>
        <v>277225.64999999997</v>
      </c>
      <c r="AH525" s="287">
        <f t="shared" si="378"/>
        <v>319674.74999999983</v>
      </c>
      <c r="AI525" s="530">
        <f t="shared" si="372"/>
        <v>-43753.199999999772</v>
      </c>
      <c r="AJ525" s="530">
        <f t="shared" si="367"/>
        <v>0</v>
      </c>
      <c r="AK525" s="530">
        <f t="shared" si="373"/>
        <v>-43753.199999999772</v>
      </c>
      <c r="AL525" s="287">
        <f t="shared" si="379"/>
        <v>0</v>
      </c>
      <c r="AM525" s="428">
        <f t="shared" si="359"/>
        <v>0</v>
      </c>
    </row>
    <row r="526" spans="1:49" x14ac:dyDescent="0.25">
      <c r="A526" s="519"/>
      <c r="L526" s="428">
        <f t="shared" si="369"/>
        <v>0</v>
      </c>
      <c r="M526" s="428"/>
      <c r="X526" s="519">
        <f t="shared" si="358"/>
        <v>0</v>
      </c>
      <c r="Y526" s="287">
        <f t="shared" si="374"/>
        <v>0</v>
      </c>
      <c r="Z526" s="511">
        <f t="shared" si="353"/>
        <v>3.3500000000000002E-2</v>
      </c>
      <c r="AA526" s="14">
        <f t="shared" si="354"/>
        <v>0</v>
      </c>
      <c r="AB526" s="14">
        <f t="shared" si="375"/>
        <v>0</v>
      </c>
      <c r="AC526" s="14">
        <f t="shared" si="355"/>
        <v>0</v>
      </c>
      <c r="AD526" s="14">
        <f t="shared" si="370"/>
        <v>134.16999999999999</v>
      </c>
      <c r="AE526" s="14">
        <f t="shared" si="371"/>
        <v>188.55</v>
      </c>
      <c r="AF526" s="14">
        <f t="shared" si="376"/>
        <v>322.72000000000003</v>
      </c>
      <c r="AG526" s="287">
        <f t="shared" si="377"/>
        <v>277225.64999999997</v>
      </c>
      <c r="AH526" s="287">
        <f t="shared" si="378"/>
        <v>319674.74999999983</v>
      </c>
      <c r="AI526" s="530">
        <f t="shared" si="372"/>
        <v>-43753.199999999772</v>
      </c>
      <c r="AJ526" s="530">
        <f t="shared" si="367"/>
        <v>0</v>
      </c>
      <c r="AK526" s="530">
        <f t="shared" si="373"/>
        <v>-43753.199999999772</v>
      </c>
      <c r="AL526" s="287">
        <f t="shared" si="379"/>
        <v>0</v>
      </c>
      <c r="AM526" s="428">
        <f t="shared" si="359"/>
        <v>0</v>
      </c>
    </row>
    <row r="527" spans="1:49" x14ac:dyDescent="0.25">
      <c r="A527" s="519"/>
      <c r="L527" s="428">
        <f t="shared" si="369"/>
        <v>0</v>
      </c>
      <c r="M527" s="428"/>
      <c r="X527" s="519">
        <f t="shared" si="358"/>
        <v>0</v>
      </c>
      <c r="Y527" s="287">
        <f t="shared" si="374"/>
        <v>0</v>
      </c>
      <c r="Z527" s="511">
        <f t="shared" ref="Z527:Z543" si="380">IF(L527&gt;4,$AA$9,$AA$8)</f>
        <v>3.3500000000000002E-2</v>
      </c>
      <c r="AA527" s="14">
        <f t="shared" ref="AA527:AA543" si="381">IF($O$9&lt;=$A527,IF(+AL526&lt;=0,0,IF(Z527=$AA$8,$Z$8,$Z$9)),0)</f>
        <v>0</v>
      </c>
      <c r="AB527" s="14">
        <f t="shared" si="375"/>
        <v>0</v>
      </c>
      <c r="AC527" s="14">
        <f t="shared" ref="AC527:AC543" si="382">IF($O$9&lt;=$A527,ROUND(Y527*(Z527/12),2),0)</f>
        <v>0</v>
      </c>
      <c r="AD527" s="14">
        <f t="shared" si="370"/>
        <v>134.16999999999999</v>
      </c>
      <c r="AE527" s="14">
        <f t="shared" si="371"/>
        <v>188.55</v>
      </c>
      <c r="AF527" s="14">
        <f t="shared" si="376"/>
        <v>322.72000000000003</v>
      </c>
      <c r="AG527" s="287">
        <f t="shared" si="377"/>
        <v>277225.64999999997</v>
      </c>
      <c r="AH527" s="287">
        <f t="shared" si="378"/>
        <v>319674.74999999983</v>
      </c>
      <c r="AI527" s="530">
        <f t="shared" si="372"/>
        <v>-43753.199999999772</v>
      </c>
      <c r="AJ527" s="530">
        <f t="shared" si="367"/>
        <v>0</v>
      </c>
      <c r="AK527" s="530">
        <f t="shared" si="373"/>
        <v>-43753.199999999772</v>
      </c>
      <c r="AL527" s="287">
        <f t="shared" si="379"/>
        <v>0</v>
      </c>
      <c r="AM527" s="428">
        <f t="shared" si="359"/>
        <v>0</v>
      </c>
    </row>
    <row r="528" spans="1:49" x14ac:dyDescent="0.25">
      <c r="A528" s="519"/>
      <c r="L528" s="428">
        <f t="shared" si="369"/>
        <v>0</v>
      </c>
      <c r="M528" s="428"/>
      <c r="X528" s="519">
        <f t="shared" ref="X528:X591" si="383">+A528</f>
        <v>0</v>
      </c>
      <c r="Y528" s="287">
        <f t="shared" si="374"/>
        <v>0</v>
      </c>
      <c r="Z528" s="511">
        <f t="shared" si="380"/>
        <v>3.3500000000000002E-2</v>
      </c>
      <c r="AA528" s="14">
        <f t="shared" si="381"/>
        <v>0</v>
      </c>
      <c r="AB528" s="14">
        <f t="shared" si="375"/>
        <v>0</v>
      </c>
      <c r="AC528" s="14">
        <f t="shared" si="382"/>
        <v>0</v>
      </c>
      <c r="AD528" s="14">
        <f t="shared" si="370"/>
        <v>134.16999999999999</v>
      </c>
      <c r="AE528" s="14">
        <f t="shared" si="371"/>
        <v>188.55</v>
      </c>
      <c r="AF528" s="14">
        <f t="shared" si="376"/>
        <v>322.72000000000003</v>
      </c>
      <c r="AG528" s="287">
        <f t="shared" si="377"/>
        <v>277225.64999999997</v>
      </c>
      <c r="AH528" s="287">
        <f t="shared" si="378"/>
        <v>319674.74999999983</v>
      </c>
      <c r="AI528" s="530">
        <f t="shared" si="372"/>
        <v>-43753.199999999772</v>
      </c>
      <c r="AJ528" s="530">
        <f t="shared" si="367"/>
        <v>0</v>
      </c>
      <c r="AK528" s="530">
        <f t="shared" si="373"/>
        <v>-43753.199999999772</v>
      </c>
      <c r="AL528" s="287">
        <f t="shared" si="379"/>
        <v>0</v>
      </c>
      <c r="AM528" s="428">
        <f t="shared" ref="AM528:AM591" si="384">+L528</f>
        <v>0</v>
      </c>
    </row>
    <row r="529" spans="1:49" x14ac:dyDescent="0.25">
      <c r="A529" s="519"/>
      <c r="L529" s="428">
        <f t="shared" si="369"/>
        <v>0</v>
      </c>
      <c r="M529" s="428"/>
      <c r="X529" s="519">
        <f t="shared" si="383"/>
        <v>0</v>
      </c>
      <c r="Y529" s="287">
        <f t="shared" si="374"/>
        <v>0</v>
      </c>
      <c r="Z529" s="511">
        <f t="shared" si="380"/>
        <v>3.3500000000000002E-2</v>
      </c>
      <c r="AA529" s="14">
        <f t="shared" si="381"/>
        <v>0</v>
      </c>
      <c r="AB529" s="14">
        <f t="shared" si="375"/>
        <v>0</v>
      </c>
      <c r="AC529" s="14">
        <f t="shared" si="382"/>
        <v>0</v>
      </c>
      <c r="AD529" s="14">
        <f t="shared" si="370"/>
        <v>134.16999999999999</v>
      </c>
      <c r="AE529" s="14">
        <f t="shared" si="371"/>
        <v>188.55</v>
      </c>
      <c r="AF529" s="14">
        <f t="shared" si="376"/>
        <v>322.72000000000003</v>
      </c>
      <c r="AG529" s="287">
        <f t="shared" si="377"/>
        <v>277225.64999999997</v>
      </c>
      <c r="AH529" s="287">
        <f t="shared" si="378"/>
        <v>319674.74999999983</v>
      </c>
      <c r="AI529" s="530">
        <f t="shared" si="372"/>
        <v>-43753.199999999772</v>
      </c>
      <c r="AJ529" s="530">
        <f t="shared" si="367"/>
        <v>0</v>
      </c>
      <c r="AK529" s="530">
        <f t="shared" si="373"/>
        <v>-43753.199999999772</v>
      </c>
      <c r="AL529" s="287">
        <f t="shared" si="379"/>
        <v>0</v>
      </c>
      <c r="AM529" s="428">
        <f t="shared" si="384"/>
        <v>0</v>
      </c>
    </row>
    <row r="530" spans="1:49" ht="15.75" thickBot="1" x14ac:dyDescent="0.3">
      <c r="A530" s="522"/>
      <c r="B530" s="348"/>
      <c r="C530" s="21"/>
      <c r="D530" s="21"/>
      <c r="E530" s="21"/>
      <c r="F530" s="21"/>
      <c r="G530" s="21"/>
      <c r="H530" s="21"/>
      <c r="I530" s="348"/>
      <c r="J530" s="348"/>
      <c r="K530" s="348"/>
      <c r="L530" s="429">
        <f t="shared" si="369"/>
        <v>0</v>
      </c>
      <c r="M530" s="429"/>
      <c r="N530" s="348"/>
      <c r="U530" s="348"/>
      <c r="V530" s="348"/>
      <c r="W530" s="348"/>
      <c r="X530" s="522">
        <f t="shared" si="383"/>
        <v>0</v>
      </c>
      <c r="Y530" s="287">
        <f t="shared" si="374"/>
        <v>0</v>
      </c>
      <c r="Z530" s="511">
        <f t="shared" si="380"/>
        <v>3.3500000000000002E-2</v>
      </c>
      <c r="AA530" s="14">
        <f t="shared" si="381"/>
        <v>0</v>
      </c>
      <c r="AB530" s="14">
        <f t="shared" si="375"/>
        <v>0</v>
      </c>
      <c r="AC530" s="14">
        <f t="shared" si="382"/>
        <v>0</v>
      </c>
      <c r="AD530" s="14">
        <f t="shared" si="370"/>
        <v>134.16999999999999</v>
      </c>
      <c r="AE530" s="14">
        <f t="shared" si="371"/>
        <v>188.55</v>
      </c>
      <c r="AF530" s="14">
        <f t="shared" si="376"/>
        <v>322.72000000000003</v>
      </c>
      <c r="AG530" s="287">
        <f t="shared" si="377"/>
        <v>277225.64999999997</v>
      </c>
      <c r="AH530" s="287">
        <f t="shared" si="378"/>
        <v>319674.74999999983</v>
      </c>
      <c r="AI530" s="530">
        <f t="shared" si="372"/>
        <v>-43753.199999999772</v>
      </c>
      <c r="AJ530" s="530">
        <f t="shared" si="367"/>
        <v>0</v>
      </c>
      <c r="AK530" s="530">
        <f t="shared" si="373"/>
        <v>-43753.199999999772</v>
      </c>
      <c r="AL530" s="287">
        <f t="shared" si="379"/>
        <v>0</v>
      </c>
      <c r="AM530" s="429">
        <f t="shared" si="384"/>
        <v>0</v>
      </c>
      <c r="AN530" s="21"/>
      <c r="AO530" s="21"/>
      <c r="AP530" s="21"/>
      <c r="AQ530" s="21"/>
      <c r="AR530" s="23"/>
      <c r="AS530" s="21"/>
      <c r="AT530" s="21"/>
      <c r="AU530" s="348"/>
      <c r="AV530" s="348"/>
      <c r="AW530" s="21"/>
    </row>
    <row r="531" spans="1:49" x14ac:dyDescent="0.25">
      <c r="A531" s="519"/>
      <c r="L531" s="428">
        <f t="shared" si="369"/>
        <v>0</v>
      </c>
      <c r="M531" s="428"/>
      <c r="X531" s="519">
        <f t="shared" si="383"/>
        <v>0</v>
      </c>
      <c r="Y531" s="287">
        <f t="shared" si="374"/>
        <v>0</v>
      </c>
      <c r="Z531" s="511">
        <f t="shared" si="380"/>
        <v>3.3500000000000002E-2</v>
      </c>
      <c r="AA531" s="14">
        <f t="shared" si="381"/>
        <v>0</v>
      </c>
      <c r="AB531" s="14">
        <f t="shared" si="375"/>
        <v>0</v>
      </c>
      <c r="AC531" s="14">
        <f t="shared" si="382"/>
        <v>0</v>
      </c>
      <c r="AD531" s="14">
        <f t="shared" si="370"/>
        <v>134.16999999999999</v>
      </c>
      <c r="AE531" s="14">
        <f t="shared" si="371"/>
        <v>188.55</v>
      </c>
      <c r="AF531" s="14">
        <f t="shared" si="376"/>
        <v>322.72000000000003</v>
      </c>
      <c r="AG531" s="287">
        <f t="shared" si="377"/>
        <v>277225.64999999997</v>
      </c>
      <c r="AH531" s="287">
        <f t="shared" si="378"/>
        <v>319674.74999999983</v>
      </c>
      <c r="AI531" s="530">
        <f t="shared" si="372"/>
        <v>-43753.199999999772</v>
      </c>
      <c r="AJ531" s="530">
        <f t="shared" si="367"/>
        <v>0</v>
      </c>
      <c r="AK531" s="530">
        <f t="shared" si="373"/>
        <v>-43753.199999999772</v>
      </c>
      <c r="AL531" s="287">
        <f t="shared" si="379"/>
        <v>0</v>
      </c>
      <c r="AM531" s="428">
        <f t="shared" si="384"/>
        <v>0</v>
      </c>
    </row>
    <row r="532" spans="1:49" x14ac:dyDescent="0.25">
      <c r="A532" s="519"/>
      <c r="L532" s="428">
        <f t="shared" si="369"/>
        <v>0</v>
      </c>
      <c r="M532" s="428"/>
      <c r="X532" s="519">
        <f t="shared" si="383"/>
        <v>0</v>
      </c>
      <c r="Y532" s="287">
        <f t="shared" si="374"/>
        <v>0</v>
      </c>
      <c r="Z532" s="511">
        <f t="shared" si="380"/>
        <v>3.3500000000000002E-2</v>
      </c>
      <c r="AA532" s="14">
        <f t="shared" si="381"/>
        <v>0</v>
      </c>
      <c r="AB532" s="14">
        <f t="shared" si="375"/>
        <v>0</v>
      </c>
      <c r="AC532" s="14">
        <f t="shared" si="382"/>
        <v>0</v>
      </c>
      <c r="AD532" s="14">
        <f t="shared" si="370"/>
        <v>134.16999999999999</v>
      </c>
      <c r="AE532" s="14">
        <f t="shared" si="371"/>
        <v>188.55</v>
      </c>
      <c r="AF532" s="14">
        <f t="shared" si="376"/>
        <v>322.72000000000003</v>
      </c>
      <c r="AG532" s="287">
        <f t="shared" si="377"/>
        <v>277225.64999999997</v>
      </c>
      <c r="AH532" s="287">
        <f t="shared" si="378"/>
        <v>319674.74999999983</v>
      </c>
      <c r="AI532" s="530">
        <f t="shared" si="372"/>
        <v>-43753.199999999772</v>
      </c>
      <c r="AJ532" s="530">
        <f t="shared" si="367"/>
        <v>0</v>
      </c>
      <c r="AK532" s="530">
        <f t="shared" si="373"/>
        <v>-43753.199999999772</v>
      </c>
      <c r="AL532" s="287">
        <f t="shared" si="379"/>
        <v>0</v>
      </c>
      <c r="AM532" s="428">
        <f t="shared" si="384"/>
        <v>0</v>
      </c>
    </row>
    <row r="533" spans="1:49" x14ac:dyDescent="0.25">
      <c r="A533" s="519"/>
      <c r="L533" s="428">
        <f t="shared" si="369"/>
        <v>0</v>
      </c>
      <c r="M533" s="428"/>
      <c r="X533" s="519">
        <f t="shared" si="383"/>
        <v>0</v>
      </c>
      <c r="Y533" s="287">
        <f t="shared" si="374"/>
        <v>0</v>
      </c>
      <c r="Z533" s="511">
        <f t="shared" si="380"/>
        <v>3.3500000000000002E-2</v>
      </c>
      <c r="AA533" s="14">
        <f t="shared" si="381"/>
        <v>0</v>
      </c>
      <c r="AB533" s="14">
        <f t="shared" si="375"/>
        <v>0</v>
      </c>
      <c r="AC533" s="14">
        <f t="shared" si="382"/>
        <v>0</v>
      </c>
      <c r="AD533" s="14">
        <f t="shared" si="370"/>
        <v>134.16999999999999</v>
      </c>
      <c r="AE533" s="14">
        <f t="shared" si="371"/>
        <v>188.55</v>
      </c>
      <c r="AF533" s="14">
        <f t="shared" si="376"/>
        <v>322.72000000000003</v>
      </c>
      <c r="AG533" s="287">
        <f t="shared" si="377"/>
        <v>277225.64999999997</v>
      </c>
      <c r="AH533" s="287">
        <f t="shared" si="378"/>
        <v>319674.74999999983</v>
      </c>
      <c r="AI533" s="530">
        <f t="shared" si="372"/>
        <v>-43753.199999999772</v>
      </c>
      <c r="AJ533" s="530">
        <f t="shared" si="367"/>
        <v>0</v>
      </c>
      <c r="AK533" s="530">
        <f t="shared" si="373"/>
        <v>-43753.199999999772</v>
      </c>
      <c r="AL533" s="287">
        <f t="shared" si="379"/>
        <v>0</v>
      </c>
      <c r="AM533" s="428">
        <f t="shared" si="384"/>
        <v>0</v>
      </c>
    </row>
    <row r="534" spans="1:49" x14ac:dyDescent="0.25">
      <c r="A534" s="519"/>
      <c r="L534" s="428">
        <f t="shared" si="369"/>
        <v>0</v>
      </c>
      <c r="M534" s="428"/>
      <c r="X534" s="519">
        <f t="shared" si="383"/>
        <v>0</v>
      </c>
      <c r="Y534" s="287">
        <f t="shared" si="374"/>
        <v>0</v>
      </c>
      <c r="Z534" s="511">
        <f t="shared" si="380"/>
        <v>3.3500000000000002E-2</v>
      </c>
      <c r="AA534" s="14">
        <f t="shared" si="381"/>
        <v>0</v>
      </c>
      <c r="AB534" s="14">
        <f t="shared" si="375"/>
        <v>0</v>
      </c>
      <c r="AC534" s="14">
        <f t="shared" si="382"/>
        <v>0</v>
      </c>
      <c r="AD534" s="14">
        <f t="shared" si="370"/>
        <v>134.16999999999999</v>
      </c>
      <c r="AE534" s="14">
        <f t="shared" si="371"/>
        <v>188.55</v>
      </c>
      <c r="AF534" s="14">
        <f t="shared" si="376"/>
        <v>322.72000000000003</v>
      </c>
      <c r="AG534" s="287">
        <f t="shared" si="377"/>
        <v>277225.64999999997</v>
      </c>
      <c r="AH534" s="287">
        <f t="shared" si="378"/>
        <v>319674.74999999983</v>
      </c>
      <c r="AI534" s="530">
        <f t="shared" si="372"/>
        <v>-43753.199999999772</v>
      </c>
      <c r="AJ534" s="530">
        <f t="shared" si="367"/>
        <v>0</v>
      </c>
      <c r="AK534" s="530">
        <f t="shared" si="373"/>
        <v>-43753.199999999772</v>
      </c>
      <c r="AL534" s="287">
        <f t="shared" si="379"/>
        <v>0</v>
      </c>
      <c r="AM534" s="428">
        <f t="shared" si="384"/>
        <v>0</v>
      </c>
    </row>
    <row r="535" spans="1:49" x14ac:dyDescent="0.25">
      <c r="A535" s="519"/>
      <c r="L535" s="428">
        <f t="shared" si="369"/>
        <v>0</v>
      </c>
      <c r="M535" s="428"/>
      <c r="X535" s="519">
        <f t="shared" si="383"/>
        <v>0</v>
      </c>
      <c r="Y535" s="287">
        <f t="shared" si="374"/>
        <v>0</v>
      </c>
      <c r="Z535" s="511">
        <f t="shared" si="380"/>
        <v>3.3500000000000002E-2</v>
      </c>
      <c r="AA535" s="14">
        <f t="shared" si="381"/>
        <v>0</v>
      </c>
      <c r="AB535" s="14">
        <f t="shared" si="375"/>
        <v>0</v>
      </c>
      <c r="AC535" s="14">
        <f t="shared" si="382"/>
        <v>0</v>
      </c>
      <c r="AD535" s="14">
        <f t="shared" si="370"/>
        <v>134.16999999999999</v>
      </c>
      <c r="AE535" s="14">
        <f t="shared" si="371"/>
        <v>188.55</v>
      </c>
      <c r="AF535" s="14">
        <f t="shared" si="376"/>
        <v>322.72000000000003</v>
      </c>
      <c r="AG535" s="287">
        <f t="shared" si="377"/>
        <v>277225.64999999997</v>
      </c>
      <c r="AH535" s="287">
        <f t="shared" si="378"/>
        <v>319674.74999999983</v>
      </c>
      <c r="AI535" s="530">
        <f t="shared" si="372"/>
        <v>-43753.199999999772</v>
      </c>
      <c r="AJ535" s="530">
        <f t="shared" si="367"/>
        <v>0</v>
      </c>
      <c r="AK535" s="530">
        <f t="shared" si="373"/>
        <v>-43753.199999999772</v>
      </c>
      <c r="AL535" s="287">
        <f t="shared" si="379"/>
        <v>0</v>
      </c>
      <c r="AM535" s="428">
        <f t="shared" si="384"/>
        <v>0</v>
      </c>
    </row>
    <row r="536" spans="1:49" x14ac:dyDescent="0.25">
      <c r="A536" s="519"/>
      <c r="L536" s="428">
        <f t="shared" si="369"/>
        <v>0</v>
      </c>
      <c r="M536" s="428"/>
      <c r="X536" s="519">
        <f t="shared" si="383"/>
        <v>0</v>
      </c>
      <c r="Y536" s="287">
        <f t="shared" si="374"/>
        <v>0</v>
      </c>
      <c r="Z536" s="511">
        <f t="shared" si="380"/>
        <v>3.3500000000000002E-2</v>
      </c>
      <c r="AA536" s="14">
        <f t="shared" si="381"/>
        <v>0</v>
      </c>
      <c r="AB536" s="14">
        <f t="shared" si="375"/>
        <v>0</v>
      </c>
      <c r="AC536" s="14">
        <f t="shared" si="382"/>
        <v>0</v>
      </c>
      <c r="AD536" s="14">
        <f t="shared" si="370"/>
        <v>134.16999999999999</v>
      </c>
      <c r="AE536" s="14">
        <f t="shared" si="371"/>
        <v>188.55</v>
      </c>
      <c r="AF536" s="14">
        <f t="shared" si="376"/>
        <v>322.72000000000003</v>
      </c>
      <c r="AG536" s="287">
        <f t="shared" si="377"/>
        <v>277225.64999999997</v>
      </c>
      <c r="AH536" s="287">
        <f t="shared" si="378"/>
        <v>319674.74999999983</v>
      </c>
      <c r="AI536" s="530">
        <f t="shared" si="372"/>
        <v>-43753.199999999772</v>
      </c>
      <c r="AJ536" s="530">
        <f t="shared" si="367"/>
        <v>0</v>
      </c>
      <c r="AK536" s="530">
        <f t="shared" si="373"/>
        <v>-43753.199999999772</v>
      </c>
      <c r="AL536" s="287">
        <f t="shared" si="379"/>
        <v>0</v>
      </c>
      <c r="AM536" s="428">
        <f t="shared" si="384"/>
        <v>0</v>
      </c>
    </row>
    <row r="537" spans="1:49" x14ac:dyDescent="0.25">
      <c r="A537" s="519"/>
      <c r="L537" s="428">
        <f t="shared" si="369"/>
        <v>0</v>
      </c>
      <c r="M537" s="428"/>
      <c r="X537" s="519">
        <f t="shared" si="383"/>
        <v>0</v>
      </c>
      <c r="Y537" s="287">
        <f t="shared" si="374"/>
        <v>0</v>
      </c>
      <c r="Z537" s="511">
        <f t="shared" si="380"/>
        <v>3.3500000000000002E-2</v>
      </c>
      <c r="AA537" s="14">
        <f t="shared" si="381"/>
        <v>0</v>
      </c>
      <c r="AB537" s="14">
        <f t="shared" si="375"/>
        <v>0</v>
      </c>
      <c r="AC537" s="14">
        <f t="shared" si="382"/>
        <v>0</v>
      </c>
      <c r="AD537" s="14">
        <f t="shared" si="370"/>
        <v>134.16999999999999</v>
      </c>
      <c r="AE537" s="14">
        <f t="shared" si="371"/>
        <v>188.55</v>
      </c>
      <c r="AF537" s="14">
        <f t="shared" si="376"/>
        <v>322.72000000000003</v>
      </c>
      <c r="AG537" s="287">
        <f t="shared" si="377"/>
        <v>277225.64999999997</v>
      </c>
      <c r="AH537" s="287">
        <f t="shared" si="378"/>
        <v>319674.74999999983</v>
      </c>
      <c r="AI537" s="530">
        <f t="shared" si="372"/>
        <v>-43753.199999999772</v>
      </c>
      <c r="AJ537" s="530">
        <f t="shared" si="367"/>
        <v>0</v>
      </c>
      <c r="AK537" s="530">
        <f t="shared" si="373"/>
        <v>-43753.199999999772</v>
      </c>
      <c r="AL537" s="287">
        <f t="shared" si="379"/>
        <v>0</v>
      </c>
      <c r="AM537" s="428">
        <f t="shared" si="384"/>
        <v>0</v>
      </c>
    </row>
    <row r="538" spans="1:49" x14ac:dyDescent="0.25">
      <c r="A538" s="519"/>
      <c r="L538" s="428">
        <f t="shared" si="369"/>
        <v>0</v>
      </c>
      <c r="M538" s="428"/>
      <c r="X538" s="519">
        <f t="shared" si="383"/>
        <v>0</v>
      </c>
      <c r="Y538" s="287">
        <f t="shared" si="374"/>
        <v>0</v>
      </c>
      <c r="Z538" s="511">
        <f t="shared" si="380"/>
        <v>3.3500000000000002E-2</v>
      </c>
      <c r="AA538" s="14">
        <f t="shared" si="381"/>
        <v>0</v>
      </c>
      <c r="AB538" s="14">
        <f t="shared" si="375"/>
        <v>0</v>
      </c>
      <c r="AC538" s="14">
        <f t="shared" si="382"/>
        <v>0</v>
      </c>
      <c r="AD538" s="14">
        <f t="shared" si="370"/>
        <v>134.16999999999999</v>
      </c>
      <c r="AE538" s="14">
        <f t="shared" si="371"/>
        <v>188.55</v>
      </c>
      <c r="AF538" s="14">
        <f t="shared" si="376"/>
        <v>322.72000000000003</v>
      </c>
      <c r="AG538" s="287">
        <f t="shared" si="377"/>
        <v>277225.64999999997</v>
      </c>
      <c r="AH538" s="287">
        <f t="shared" si="378"/>
        <v>319674.74999999983</v>
      </c>
      <c r="AI538" s="530">
        <f t="shared" si="372"/>
        <v>-43753.199999999772</v>
      </c>
      <c r="AJ538" s="530">
        <f t="shared" si="367"/>
        <v>0</v>
      </c>
      <c r="AK538" s="530">
        <f t="shared" si="373"/>
        <v>-43753.199999999772</v>
      </c>
      <c r="AL538" s="287">
        <f t="shared" si="379"/>
        <v>0</v>
      </c>
      <c r="AM538" s="428">
        <f t="shared" si="384"/>
        <v>0</v>
      </c>
    </row>
    <row r="539" spans="1:49" x14ac:dyDescent="0.25">
      <c r="A539" s="519"/>
      <c r="L539" s="428">
        <f t="shared" si="369"/>
        <v>0</v>
      </c>
      <c r="M539" s="428"/>
      <c r="X539" s="519">
        <f t="shared" si="383"/>
        <v>0</v>
      </c>
      <c r="Y539" s="287">
        <f t="shared" si="374"/>
        <v>0</v>
      </c>
      <c r="Z539" s="511">
        <f t="shared" si="380"/>
        <v>3.3500000000000002E-2</v>
      </c>
      <c r="AA539" s="14">
        <f t="shared" si="381"/>
        <v>0</v>
      </c>
      <c r="AB539" s="14">
        <f t="shared" si="375"/>
        <v>0</v>
      </c>
      <c r="AC539" s="14">
        <f t="shared" si="382"/>
        <v>0</v>
      </c>
      <c r="AD539" s="14">
        <f t="shared" si="370"/>
        <v>134.16999999999999</v>
      </c>
      <c r="AE539" s="14">
        <f t="shared" si="371"/>
        <v>188.55</v>
      </c>
      <c r="AF539" s="14">
        <f t="shared" si="376"/>
        <v>322.72000000000003</v>
      </c>
      <c r="AG539" s="287">
        <f t="shared" si="377"/>
        <v>277225.64999999997</v>
      </c>
      <c r="AH539" s="287">
        <f t="shared" si="378"/>
        <v>319674.74999999983</v>
      </c>
      <c r="AI539" s="530">
        <f t="shared" si="372"/>
        <v>-43753.199999999772</v>
      </c>
      <c r="AJ539" s="530">
        <f>+W539-AL539</f>
        <v>0</v>
      </c>
      <c r="AK539" s="530">
        <f t="shared" si="373"/>
        <v>-43753.199999999772</v>
      </c>
      <c r="AL539" s="287">
        <f t="shared" si="379"/>
        <v>0</v>
      </c>
      <c r="AM539" s="428">
        <f t="shared" si="384"/>
        <v>0</v>
      </c>
    </row>
    <row r="540" spans="1:49" x14ac:dyDescent="0.25">
      <c r="A540" s="519"/>
      <c r="L540" s="428">
        <f t="shared" si="369"/>
        <v>0</v>
      </c>
      <c r="M540" s="428"/>
      <c r="X540" s="519">
        <f t="shared" si="383"/>
        <v>0</v>
      </c>
      <c r="Y540" s="287">
        <f t="shared" si="374"/>
        <v>0</v>
      </c>
      <c r="Z540" s="511">
        <f t="shared" si="380"/>
        <v>3.3500000000000002E-2</v>
      </c>
      <c r="AA540" s="14">
        <f t="shared" si="381"/>
        <v>0</v>
      </c>
      <c r="AB540" s="14">
        <f t="shared" si="375"/>
        <v>0</v>
      </c>
      <c r="AC540" s="14">
        <f t="shared" si="382"/>
        <v>0</v>
      </c>
      <c r="AD540" s="14">
        <f t="shared" si="370"/>
        <v>134.16999999999999</v>
      </c>
      <c r="AE540" s="14">
        <f t="shared" si="371"/>
        <v>188.55</v>
      </c>
      <c r="AF540" s="14">
        <f t="shared" si="376"/>
        <v>322.72000000000003</v>
      </c>
      <c r="AG540" s="287">
        <f t="shared" si="377"/>
        <v>277225.64999999997</v>
      </c>
      <c r="AH540" s="287">
        <f t="shared" si="378"/>
        <v>319674.74999999983</v>
      </c>
      <c r="AI540" s="530">
        <f t="shared" si="372"/>
        <v>-43753.199999999772</v>
      </c>
      <c r="AJ540" s="530">
        <f>+W540-AL540</f>
        <v>0</v>
      </c>
      <c r="AK540" s="530">
        <f t="shared" si="373"/>
        <v>-43753.199999999772</v>
      </c>
      <c r="AL540" s="287">
        <f t="shared" si="379"/>
        <v>0</v>
      </c>
      <c r="AM540" s="428">
        <f t="shared" si="384"/>
        <v>0</v>
      </c>
    </row>
    <row r="541" spans="1:49" x14ac:dyDescent="0.25">
      <c r="A541" s="519"/>
      <c r="L541" s="428">
        <f t="shared" si="369"/>
        <v>0</v>
      </c>
      <c r="M541" s="428"/>
      <c r="X541" s="519">
        <f t="shared" si="383"/>
        <v>0</v>
      </c>
      <c r="Y541" s="287">
        <f t="shared" si="374"/>
        <v>0</v>
      </c>
      <c r="Z541" s="511">
        <f t="shared" si="380"/>
        <v>3.3500000000000002E-2</v>
      </c>
      <c r="AA541" s="14">
        <f t="shared" si="381"/>
        <v>0</v>
      </c>
      <c r="AB541" s="14">
        <f t="shared" si="375"/>
        <v>0</v>
      </c>
      <c r="AC541" s="14">
        <f t="shared" si="382"/>
        <v>0</v>
      </c>
      <c r="AD541" s="14">
        <f t="shared" si="370"/>
        <v>134.16999999999999</v>
      </c>
      <c r="AE541" s="14">
        <f t="shared" si="371"/>
        <v>188.55</v>
      </c>
      <c r="AF541" s="14">
        <f t="shared" si="376"/>
        <v>322.72000000000003</v>
      </c>
      <c r="AG541" s="287">
        <f t="shared" si="377"/>
        <v>277225.64999999997</v>
      </c>
      <c r="AH541" s="287">
        <f t="shared" si="378"/>
        <v>319674.74999999983</v>
      </c>
      <c r="AI541" s="530">
        <f t="shared" si="372"/>
        <v>-43753.199999999772</v>
      </c>
      <c r="AJ541" s="530">
        <f>+W541-AL541</f>
        <v>0</v>
      </c>
      <c r="AK541" s="530">
        <f t="shared" si="373"/>
        <v>-43753.199999999772</v>
      </c>
      <c r="AL541" s="287">
        <f t="shared" si="379"/>
        <v>0</v>
      </c>
      <c r="AM541" s="428">
        <f t="shared" si="384"/>
        <v>0</v>
      </c>
    </row>
    <row r="542" spans="1:49" ht="15.75" thickBot="1" x14ac:dyDescent="0.3">
      <c r="A542" s="522"/>
      <c r="B542" s="348"/>
      <c r="C542" s="21"/>
      <c r="D542" s="21"/>
      <c r="E542" s="21"/>
      <c r="F542" s="21"/>
      <c r="G542" s="21"/>
      <c r="H542" s="21"/>
      <c r="I542" s="348"/>
      <c r="J542" s="348"/>
      <c r="K542" s="348"/>
      <c r="L542" s="429">
        <f t="shared" si="369"/>
        <v>0</v>
      </c>
      <c r="M542" s="429"/>
      <c r="N542" s="348"/>
      <c r="U542" s="348"/>
      <c r="V542" s="348"/>
      <c r="W542" s="348"/>
      <c r="X542" s="522">
        <f t="shared" si="383"/>
        <v>0</v>
      </c>
      <c r="Y542" s="287">
        <f t="shared" si="374"/>
        <v>0</v>
      </c>
      <c r="Z542" s="511">
        <f t="shared" si="380"/>
        <v>3.3500000000000002E-2</v>
      </c>
      <c r="AA542" s="14">
        <f t="shared" si="381"/>
        <v>0</v>
      </c>
      <c r="AB542" s="14">
        <f t="shared" si="375"/>
        <v>0</v>
      </c>
      <c r="AC542" s="14">
        <f t="shared" si="382"/>
        <v>0</v>
      </c>
      <c r="AD542" s="14">
        <f t="shared" si="370"/>
        <v>134.16999999999999</v>
      </c>
      <c r="AE542" s="14">
        <f t="shared" si="371"/>
        <v>188.55</v>
      </c>
      <c r="AF542" s="14">
        <f t="shared" si="376"/>
        <v>322.72000000000003</v>
      </c>
      <c r="AG542" s="287">
        <f t="shared" si="377"/>
        <v>277225.64999999997</v>
      </c>
      <c r="AH542" s="287">
        <f t="shared" si="378"/>
        <v>319674.74999999983</v>
      </c>
      <c r="AI542" s="530">
        <f t="shared" si="372"/>
        <v>-43753.199999999772</v>
      </c>
      <c r="AJ542" s="530">
        <f>+W542-AL542</f>
        <v>0</v>
      </c>
      <c r="AK542" s="530">
        <f t="shared" si="373"/>
        <v>-43753.199999999772</v>
      </c>
      <c r="AL542" s="287">
        <f t="shared" si="379"/>
        <v>0</v>
      </c>
      <c r="AM542" s="429">
        <f t="shared" si="384"/>
        <v>0</v>
      </c>
      <c r="AN542" s="21"/>
      <c r="AO542" s="21"/>
      <c r="AP542" s="21"/>
      <c r="AQ542" s="21"/>
      <c r="AR542" s="23"/>
      <c r="AS542" s="21"/>
      <c r="AT542" s="21"/>
      <c r="AU542" s="348"/>
      <c r="AV542" s="348"/>
      <c r="AW542" s="21"/>
    </row>
    <row r="543" spans="1:49" x14ac:dyDescent="0.25">
      <c r="A543" s="519"/>
      <c r="L543" s="428">
        <f t="shared" si="369"/>
        <v>0</v>
      </c>
      <c r="M543" s="428"/>
      <c r="X543" s="519">
        <f t="shared" si="383"/>
        <v>0</v>
      </c>
      <c r="Y543" s="287">
        <f t="shared" si="374"/>
        <v>0</v>
      </c>
      <c r="Z543" s="511">
        <f t="shared" si="380"/>
        <v>3.3500000000000002E-2</v>
      </c>
      <c r="AA543" s="14">
        <f t="shared" si="381"/>
        <v>0</v>
      </c>
      <c r="AB543" s="14">
        <f t="shared" si="375"/>
        <v>0</v>
      </c>
      <c r="AC543" s="14">
        <f t="shared" si="382"/>
        <v>0</v>
      </c>
      <c r="AD543" s="14">
        <f t="shared" si="370"/>
        <v>134.16999999999999</v>
      </c>
      <c r="AE543" s="14">
        <f t="shared" si="371"/>
        <v>188.55</v>
      </c>
      <c r="AF543" s="14">
        <f t="shared" si="376"/>
        <v>322.72000000000003</v>
      </c>
      <c r="AG543" s="287">
        <f t="shared" si="377"/>
        <v>277225.64999999997</v>
      </c>
      <c r="AH543" s="287">
        <f t="shared" si="378"/>
        <v>319674.74999999983</v>
      </c>
      <c r="AI543" s="530">
        <f t="shared" si="372"/>
        <v>-43753.199999999772</v>
      </c>
      <c r="AJ543" s="530">
        <f>+W543-AL543</f>
        <v>0</v>
      </c>
      <c r="AK543" s="530">
        <f t="shared" si="373"/>
        <v>-43753.199999999772</v>
      </c>
      <c r="AL543" s="287">
        <f t="shared" si="379"/>
        <v>0</v>
      </c>
      <c r="AM543" s="428">
        <f t="shared" si="384"/>
        <v>0</v>
      </c>
    </row>
    <row r="544" spans="1:49" x14ac:dyDescent="0.25">
      <c r="A544" s="519"/>
      <c r="L544" s="428">
        <f t="shared" si="369"/>
        <v>0</v>
      </c>
      <c r="M544" s="428"/>
      <c r="X544" s="519">
        <f t="shared" si="383"/>
        <v>0</v>
      </c>
      <c r="AM544" s="428">
        <f t="shared" si="384"/>
        <v>0</v>
      </c>
    </row>
    <row r="545" spans="1:49" x14ac:dyDescent="0.25">
      <c r="A545" s="519"/>
      <c r="L545" s="428">
        <f t="shared" si="369"/>
        <v>0</v>
      </c>
      <c r="M545" s="428"/>
      <c r="X545" s="519">
        <f t="shared" si="383"/>
        <v>0</v>
      </c>
      <c r="AM545" s="428">
        <f t="shared" si="384"/>
        <v>0</v>
      </c>
    </row>
    <row r="546" spans="1:49" x14ac:dyDescent="0.25">
      <c r="A546" s="519"/>
      <c r="L546" s="428">
        <f t="shared" si="369"/>
        <v>0</v>
      </c>
      <c r="M546" s="428"/>
      <c r="X546" s="519">
        <f t="shared" si="383"/>
        <v>0</v>
      </c>
      <c r="AM546" s="428">
        <f t="shared" si="384"/>
        <v>0</v>
      </c>
    </row>
    <row r="547" spans="1:49" x14ac:dyDescent="0.25">
      <c r="A547" s="519"/>
      <c r="L547" s="428">
        <f t="shared" si="369"/>
        <v>0</v>
      </c>
      <c r="M547" s="428"/>
      <c r="X547" s="519">
        <f t="shared" si="383"/>
        <v>0</v>
      </c>
      <c r="AM547" s="428">
        <f t="shared" si="384"/>
        <v>0</v>
      </c>
    </row>
    <row r="548" spans="1:49" x14ac:dyDescent="0.25">
      <c r="A548" s="519"/>
      <c r="L548" s="428">
        <f t="shared" si="369"/>
        <v>0</v>
      </c>
      <c r="M548" s="428"/>
      <c r="X548" s="519">
        <f t="shared" si="383"/>
        <v>0</v>
      </c>
      <c r="AM548" s="428">
        <f t="shared" si="384"/>
        <v>0</v>
      </c>
    </row>
    <row r="549" spans="1:49" x14ac:dyDescent="0.25">
      <c r="A549" s="519"/>
      <c r="L549" s="428">
        <f t="shared" si="369"/>
        <v>0</v>
      </c>
      <c r="M549" s="428"/>
      <c r="X549" s="519">
        <f t="shared" si="383"/>
        <v>0</v>
      </c>
      <c r="AM549" s="428">
        <f t="shared" si="384"/>
        <v>0</v>
      </c>
    </row>
    <row r="550" spans="1:49" x14ac:dyDescent="0.25">
      <c r="A550" s="519"/>
      <c r="L550" s="428">
        <f t="shared" si="369"/>
        <v>0</v>
      </c>
      <c r="M550" s="428"/>
      <c r="X550" s="519">
        <f t="shared" si="383"/>
        <v>0</v>
      </c>
      <c r="AM550" s="428">
        <f t="shared" si="384"/>
        <v>0</v>
      </c>
    </row>
    <row r="551" spans="1:49" x14ac:dyDescent="0.25">
      <c r="A551" s="519"/>
      <c r="L551" s="428">
        <f t="shared" si="369"/>
        <v>0</v>
      </c>
      <c r="M551" s="428"/>
      <c r="X551" s="519">
        <f t="shared" si="383"/>
        <v>0</v>
      </c>
      <c r="AM551" s="428">
        <f t="shared" si="384"/>
        <v>0</v>
      </c>
    </row>
    <row r="552" spans="1:49" x14ac:dyDescent="0.25">
      <c r="A552" s="519"/>
      <c r="L552" s="428">
        <f t="shared" si="369"/>
        <v>0</v>
      </c>
      <c r="M552" s="428"/>
      <c r="X552" s="519">
        <f t="shared" si="383"/>
        <v>0</v>
      </c>
      <c r="AM552" s="428">
        <f t="shared" si="384"/>
        <v>0</v>
      </c>
    </row>
    <row r="553" spans="1:49" x14ac:dyDescent="0.25">
      <c r="A553" s="519"/>
      <c r="L553" s="428">
        <f t="shared" si="369"/>
        <v>0</v>
      </c>
      <c r="M553" s="428"/>
      <c r="X553" s="519">
        <f t="shared" si="383"/>
        <v>0</v>
      </c>
      <c r="AM553" s="428">
        <f t="shared" si="384"/>
        <v>0</v>
      </c>
    </row>
    <row r="554" spans="1:49" ht="15.75" thickBot="1" x14ac:dyDescent="0.3">
      <c r="A554" s="522"/>
      <c r="B554" s="348"/>
      <c r="C554" s="21"/>
      <c r="D554" s="21"/>
      <c r="E554" s="21"/>
      <c r="F554" s="21"/>
      <c r="G554" s="21"/>
      <c r="H554" s="21"/>
      <c r="I554" s="348"/>
      <c r="J554" s="348"/>
      <c r="K554" s="348"/>
      <c r="L554" s="429">
        <f t="shared" si="369"/>
        <v>0</v>
      </c>
      <c r="M554" s="429"/>
      <c r="N554" s="348"/>
      <c r="O554" s="21"/>
      <c r="P554" s="21"/>
      <c r="Q554" s="21"/>
      <c r="R554" s="21"/>
      <c r="S554" s="21"/>
      <c r="T554" s="21"/>
      <c r="U554" s="348"/>
      <c r="V554" s="348"/>
      <c r="W554" s="348"/>
      <c r="X554" s="522">
        <f t="shared" si="383"/>
        <v>0</v>
      </c>
      <c r="Y554" s="348"/>
      <c r="Z554" s="512"/>
      <c r="AA554" s="21"/>
      <c r="AB554" s="21"/>
      <c r="AC554" s="21"/>
      <c r="AD554" s="21"/>
      <c r="AE554" s="21"/>
      <c r="AF554" s="21"/>
      <c r="AG554" s="348"/>
      <c r="AH554" s="348"/>
      <c r="AI554" s="348"/>
      <c r="AJ554" s="348"/>
      <c r="AK554" s="348"/>
      <c r="AL554" s="348"/>
      <c r="AM554" s="429">
        <f t="shared" si="384"/>
        <v>0</v>
      </c>
      <c r="AN554" s="21"/>
      <c r="AO554" s="21"/>
      <c r="AP554" s="21"/>
      <c r="AQ554" s="21"/>
      <c r="AR554" s="23"/>
      <c r="AS554" s="21"/>
      <c r="AT554" s="21"/>
      <c r="AU554" s="348"/>
      <c r="AV554" s="348"/>
      <c r="AW554" s="21"/>
    </row>
    <row r="555" spans="1:49" x14ac:dyDescent="0.25">
      <c r="A555" s="519"/>
      <c r="L555" s="428">
        <f t="shared" si="369"/>
        <v>0</v>
      </c>
      <c r="M555" s="428"/>
      <c r="X555" s="519">
        <f t="shared" si="383"/>
        <v>0</v>
      </c>
      <c r="AM555" s="428">
        <f t="shared" si="384"/>
        <v>0</v>
      </c>
    </row>
    <row r="556" spans="1:49" x14ac:dyDescent="0.25">
      <c r="A556" s="519"/>
      <c r="L556" s="428">
        <f t="shared" si="369"/>
        <v>0</v>
      </c>
      <c r="M556" s="428"/>
      <c r="X556" s="519">
        <f t="shared" si="383"/>
        <v>0</v>
      </c>
      <c r="AM556" s="428">
        <f t="shared" si="384"/>
        <v>0</v>
      </c>
    </row>
    <row r="557" spans="1:49" x14ac:dyDescent="0.25">
      <c r="A557" s="519"/>
      <c r="L557" s="428">
        <f t="shared" si="369"/>
        <v>0</v>
      </c>
      <c r="M557" s="428"/>
      <c r="X557" s="519">
        <f t="shared" si="383"/>
        <v>0</v>
      </c>
      <c r="AM557" s="428">
        <f t="shared" si="384"/>
        <v>0</v>
      </c>
    </row>
    <row r="558" spans="1:49" x14ac:dyDescent="0.25">
      <c r="A558" s="519"/>
      <c r="L558" s="428">
        <f t="shared" si="369"/>
        <v>0</v>
      </c>
      <c r="M558" s="428"/>
      <c r="X558" s="519">
        <f t="shared" si="383"/>
        <v>0</v>
      </c>
      <c r="AM558" s="428">
        <f t="shared" si="384"/>
        <v>0</v>
      </c>
    </row>
    <row r="559" spans="1:49" x14ac:dyDescent="0.25">
      <c r="A559" s="519"/>
      <c r="L559" s="428">
        <f t="shared" ref="L559:L622" si="385">IF(MOD(M559,12)=0,M559/12,L558)</f>
        <v>0</v>
      </c>
      <c r="M559" s="428"/>
      <c r="X559" s="519">
        <f t="shared" si="383"/>
        <v>0</v>
      </c>
      <c r="AM559" s="428">
        <f t="shared" si="384"/>
        <v>0</v>
      </c>
    </row>
    <row r="560" spans="1:49" x14ac:dyDescent="0.25">
      <c r="A560" s="519"/>
      <c r="L560" s="428">
        <f t="shared" si="385"/>
        <v>0</v>
      </c>
      <c r="M560" s="428"/>
      <c r="X560" s="519">
        <f t="shared" si="383"/>
        <v>0</v>
      </c>
      <c r="AM560" s="428">
        <f t="shared" si="384"/>
        <v>0</v>
      </c>
    </row>
    <row r="561" spans="1:49" x14ac:dyDescent="0.25">
      <c r="A561" s="519"/>
      <c r="L561" s="428">
        <f t="shared" si="385"/>
        <v>0</v>
      </c>
      <c r="M561" s="428"/>
      <c r="X561" s="519">
        <f t="shared" si="383"/>
        <v>0</v>
      </c>
      <c r="AM561" s="428">
        <f t="shared" si="384"/>
        <v>0</v>
      </c>
    </row>
    <row r="562" spans="1:49" x14ac:dyDescent="0.25">
      <c r="A562" s="519"/>
      <c r="L562" s="428">
        <f t="shared" si="385"/>
        <v>0</v>
      </c>
      <c r="M562" s="428"/>
      <c r="X562" s="519">
        <f t="shared" si="383"/>
        <v>0</v>
      </c>
      <c r="AM562" s="428">
        <f t="shared" si="384"/>
        <v>0</v>
      </c>
    </row>
    <row r="563" spans="1:49" x14ac:dyDescent="0.25">
      <c r="A563" s="519"/>
      <c r="L563" s="428">
        <f t="shared" si="385"/>
        <v>0</v>
      </c>
      <c r="M563" s="428"/>
      <c r="X563" s="519">
        <f t="shared" si="383"/>
        <v>0</v>
      </c>
      <c r="AM563" s="428">
        <f t="shared" si="384"/>
        <v>0</v>
      </c>
    </row>
    <row r="564" spans="1:49" x14ac:dyDescent="0.25">
      <c r="A564" s="519"/>
      <c r="L564" s="428">
        <f t="shared" si="385"/>
        <v>0</v>
      </c>
      <c r="M564" s="428"/>
      <c r="X564" s="519">
        <f t="shared" si="383"/>
        <v>0</v>
      </c>
      <c r="AM564" s="428">
        <f t="shared" si="384"/>
        <v>0</v>
      </c>
    </row>
    <row r="565" spans="1:49" x14ac:dyDescent="0.25">
      <c r="A565" s="519"/>
      <c r="L565" s="428">
        <f t="shared" si="385"/>
        <v>0</v>
      </c>
      <c r="M565" s="428"/>
      <c r="X565" s="519">
        <f t="shared" si="383"/>
        <v>0</v>
      </c>
      <c r="AM565" s="428">
        <f t="shared" si="384"/>
        <v>0</v>
      </c>
    </row>
    <row r="566" spans="1:49" ht="15.75" thickBot="1" x14ac:dyDescent="0.3">
      <c r="A566" s="522"/>
      <c r="B566" s="348"/>
      <c r="C566" s="21"/>
      <c r="D566" s="21"/>
      <c r="E566" s="21"/>
      <c r="F566" s="21"/>
      <c r="G566" s="21"/>
      <c r="H566" s="21"/>
      <c r="I566" s="348"/>
      <c r="J566" s="348"/>
      <c r="K566" s="348"/>
      <c r="L566" s="429">
        <f t="shared" si="385"/>
        <v>0</v>
      </c>
      <c r="M566" s="429"/>
      <c r="N566" s="348"/>
      <c r="O566" s="21"/>
      <c r="P566" s="21"/>
      <c r="Q566" s="21"/>
      <c r="R566" s="21"/>
      <c r="S566" s="21"/>
      <c r="T566" s="21"/>
      <c r="U566" s="348"/>
      <c r="V566" s="348"/>
      <c r="W566" s="348"/>
      <c r="X566" s="522">
        <f t="shared" si="383"/>
        <v>0</v>
      </c>
      <c r="Y566" s="348"/>
      <c r="Z566" s="512"/>
      <c r="AA566" s="21"/>
      <c r="AB566" s="21"/>
      <c r="AC566" s="21"/>
      <c r="AD566" s="21"/>
      <c r="AE566" s="21"/>
      <c r="AF566" s="21"/>
      <c r="AG566" s="348"/>
      <c r="AH566" s="348"/>
      <c r="AI566" s="348"/>
      <c r="AJ566" s="348"/>
      <c r="AK566" s="348"/>
      <c r="AL566" s="348"/>
      <c r="AM566" s="429">
        <f t="shared" si="384"/>
        <v>0</v>
      </c>
      <c r="AN566" s="21"/>
      <c r="AO566" s="21"/>
      <c r="AP566" s="21"/>
      <c r="AQ566" s="21"/>
      <c r="AR566" s="23"/>
      <c r="AS566" s="21"/>
      <c r="AT566" s="21"/>
      <c r="AU566" s="348"/>
      <c r="AV566" s="348"/>
      <c r="AW566" s="21"/>
    </row>
    <row r="567" spans="1:49" x14ac:dyDescent="0.25">
      <c r="A567" s="519"/>
      <c r="L567" s="428">
        <f t="shared" si="385"/>
        <v>0</v>
      </c>
      <c r="M567" s="428"/>
      <c r="X567" s="519">
        <f t="shared" si="383"/>
        <v>0</v>
      </c>
      <c r="AM567" s="428">
        <f t="shared" si="384"/>
        <v>0</v>
      </c>
    </row>
    <row r="568" spans="1:49" x14ac:dyDescent="0.25">
      <c r="A568" s="519"/>
      <c r="L568" s="428">
        <f t="shared" si="385"/>
        <v>0</v>
      </c>
      <c r="M568" s="428"/>
      <c r="X568" s="519">
        <f t="shared" si="383"/>
        <v>0</v>
      </c>
      <c r="AM568" s="428">
        <f t="shared" si="384"/>
        <v>0</v>
      </c>
    </row>
    <row r="569" spans="1:49" x14ac:dyDescent="0.25">
      <c r="A569" s="519"/>
      <c r="L569" s="428">
        <f t="shared" si="385"/>
        <v>0</v>
      </c>
      <c r="M569" s="428"/>
      <c r="X569" s="519">
        <f t="shared" si="383"/>
        <v>0</v>
      </c>
      <c r="AM569" s="428">
        <f t="shared" si="384"/>
        <v>0</v>
      </c>
    </row>
    <row r="570" spans="1:49" x14ac:dyDescent="0.25">
      <c r="A570" s="519"/>
      <c r="L570" s="428">
        <f t="shared" si="385"/>
        <v>0</v>
      </c>
      <c r="M570" s="428"/>
      <c r="X570" s="519">
        <f t="shared" si="383"/>
        <v>0</v>
      </c>
      <c r="AM570" s="428">
        <f t="shared" si="384"/>
        <v>0</v>
      </c>
    </row>
    <row r="571" spans="1:49" x14ac:dyDescent="0.25">
      <c r="A571" s="519"/>
      <c r="L571" s="428">
        <f t="shared" si="385"/>
        <v>0</v>
      </c>
      <c r="M571" s="428"/>
      <c r="X571" s="519">
        <f t="shared" si="383"/>
        <v>0</v>
      </c>
      <c r="AM571" s="428">
        <f t="shared" si="384"/>
        <v>0</v>
      </c>
    </row>
    <row r="572" spans="1:49" x14ac:dyDescent="0.25">
      <c r="A572" s="519"/>
      <c r="L572" s="428">
        <f t="shared" si="385"/>
        <v>0</v>
      </c>
      <c r="M572" s="428"/>
      <c r="X572" s="519">
        <f t="shared" si="383"/>
        <v>0</v>
      </c>
      <c r="AM572" s="428">
        <f t="shared" si="384"/>
        <v>0</v>
      </c>
    </row>
    <row r="573" spans="1:49" x14ac:dyDescent="0.25">
      <c r="A573" s="519"/>
      <c r="L573" s="428">
        <f t="shared" si="385"/>
        <v>0</v>
      </c>
      <c r="M573" s="428"/>
      <c r="X573" s="519">
        <f t="shared" si="383"/>
        <v>0</v>
      </c>
      <c r="AM573" s="428">
        <f t="shared" si="384"/>
        <v>0</v>
      </c>
    </row>
    <row r="574" spans="1:49" x14ac:dyDescent="0.25">
      <c r="A574" s="519"/>
      <c r="L574" s="428">
        <f t="shared" si="385"/>
        <v>0</v>
      </c>
      <c r="M574" s="428"/>
      <c r="X574" s="519">
        <f t="shared" si="383"/>
        <v>0</v>
      </c>
      <c r="AM574" s="428">
        <f t="shared" si="384"/>
        <v>0</v>
      </c>
    </row>
    <row r="575" spans="1:49" x14ac:dyDescent="0.25">
      <c r="A575" s="519"/>
      <c r="L575" s="428">
        <f t="shared" si="385"/>
        <v>0</v>
      </c>
      <c r="M575" s="428"/>
      <c r="X575" s="519">
        <f t="shared" si="383"/>
        <v>0</v>
      </c>
      <c r="AM575" s="428">
        <f t="shared" si="384"/>
        <v>0</v>
      </c>
    </row>
    <row r="576" spans="1:49" x14ac:dyDescent="0.25">
      <c r="A576" s="519"/>
      <c r="L576" s="428">
        <f t="shared" si="385"/>
        <v>0</v>
      </c>
      <c r="M576" s="428"/>
      <c r="X576" s="519">
        <f t="shared" si="383"/>
        <v>0</v>
      </c>
      <c r="AM576" s="428">
        <f t="shared" si="384"/>
        <v>0</v>
      </c>
    </row>
    <row r="577" spans="1:49" x14ac:dyDescent="0.25">
      <c r="A577" s="519"/>
      <c r="L577" s="428">
        <f t="shared" si="385"/>
        <v>0</v>
      </c>
      <c r="M577" s="428"/>
      <c r="X577" s="519">
        <f t="shared" si="383"/>
        <v>0</v>
      </c>
      <c r="AM577" s="428">
        <f t="shared" si="384"/>
        <v>0</v>
      </c>
    </row>
    <row r="578" spans="1:49" ht="15.75" thickBot="1" x14ac:dyDescent="0.3">
      <c r="A578" s="522"/>
      <c r="B578" s="348"/>
      <c r="C578" s="21"/>
      <c r="D578" s="21"/>
      <c r="E578" s="21"/>
      <c r="F578" s="21"/>
      <c r="G578" s="21"/>
      <c r="H578" s="21"/>
      <c r="I578" s="348"/>
      <c r="J578" s="348"/>
      <c r="K578" s="348"/>
      <c r="L578" s="429">
        <f t="shared" si="385"/>
        <v>0</v>
      </c>
      <c r="M578" s="429"/>
      <c r="N578" s="348"/>
      <c r="O578" s="21"/>
      <c r="P578" s="21"/>
      <c r="Q578" s="21"/>
      <c r="R578" s="21"/>
      <c r="S578" s="21"/>
      <c r="T578" s="21"/>
      <c r="U578" s="348"/>
      <c r="V578" s="348"/>
      <c r="W578" s="348"/>
      <c r="X578" s="522">
        <f t="shared" si="383"/>
        <v>0</v>
      </c>
      <c r="Y578" s="348"/>
      <c r="Z578" s="512"/>
      <c r="AA578" s="21"/>
      <c r="AB578" s="21"/>
      <c r="AC578" s="21"/>
      <c r="AD578" s="21"/>
      <c r="AE578" s="21"/>
      <c r="AF578" s="21"/>
      <c r="AG578" s="348"/>
      <c r="AH578" s="348"/>
      <c r="AI578" s="348"/>
      <c r="AJ578" s="348"/>
      <c r="AK578" s="348"/>
      <c r="AL578" s="348"/>
      <c r="AM578" s="429">
        <f t="shared" si="384"/>
        <v>0</v>
      </c>
      <c r="AN578" s="21"/>
      <c r="AO578" s="21"/>
      <c r="AP578" s="21"/>
      <c r="AQ578" s="21"/>
      <c r="AR578" s="23"/>
      <c r="AS578" s="21"/>
      <c r="AT578" s="21"/>
      <c r="AU578" s="348"/>
      <c r="AV578" s="348"/>
      <c r="AW578" s="21"/>
    </row>
    <row r="579" spans="1:49" x14ac:dyDescent="0.25">
      <c r="A579" s="519"/>
      <c r="L579" s="428">
        <f t="shared" si="385"/>
        <v>0</v>
      </c>
      <c r="M579" s="428"/>
      <c r="X579" s="519">
        <f t="shared" si="383"/>
        <v>0</v>
      </c>
      <c r="AM579" s="428">
        <f t="shared" si="384"/>
        <v>0</v>
      </c>
    </row>
    <row r="580" spans="1:49" x14ac:dyDescent="0.25">
      <c r="A580" s="519"/>
      <c r="L580" s="428">
        <f t="shared" si="385"/>
        <v>0</v>
      </c>
      <c r="M580" s="428"/>
      <c r="X580" s="519">
        <f t="shared" si="383"/>
        <v>0</v>
      </c>
      <c r="AM580" s="428">
        <f t="shared" si="384"/>
        <v>0</v>
      </c>
    </row>
    <row r="581" spans="1:49" x14ac:dyDescent="0.25">
      <c r="A581" s="519"/>
      <c r="L581" s="428">
        <f t="shared" si="385"/>
        <v>0</v>
      </c>
      <c r="M581" s="428"/>
      <c r="X581" s="519">
        <f t="shared" si="383"/>
        <v>0</v>
      </c>
      <c r="AM581" s="428">
        <f t="shared" si="384"/>
        <v>0</v>
      </c>
    </row>
    <row r="582" spans="1:49" x14ac:dyDescent="0.25">
      <c r="A582" s="519"/>
      <c r="L582" s="428">
        <f t="shared" si="385"/>
        <v>0</v>
      </c>
      <c r="M582" s="428"/>
      <c r="X582" s="519">
        <f t="shared" si="383"/>
        <v>0</v>
      </c>
      <c r="AM582" s="428">
        <f t="shared" si="384"/>
        <v>0</v>
      </c>
    </row>
    <row r="583" spans="1:49" x14ac:dyDescent="0.25">
      <c r="A583" s="519"/>
      <c r="L583" s="428">
        <f t="shared" si="385"/>
        <v>0</v>
      </c>
      <c r="M583" s="428"/>
      <c r="X583" s="519">
        <f t="shared" si="383"/>
        <v>0</v>
      </c>
      <c r="AM583" s="428">
        <f t="shared" si="384"/>
        <v>0</v>
      </c>
    </row>
    <row r="584" spans="1:49" x14ac:dyDescent="0.25">
      <c r="A584" s="519"/>
      <c r="L584" s="428">
        <f t="shared" si="385"/>
        <v>0</v>
      </c>
      <c r="M584" s="428"/>
      <c r="X584" s="519">
        <f t="shared" si="383"/>
        <v>0</v>
      </c>
      <c r="AM584" s="428">
        <f t="shared" si="384"/>
        <v>0</v>
      </c>
    </row>
    <row r="585" spans="1:49" x14ac:dyDescent="0.25">
      <c r="A585" s="519"/>
      <c r="L585" s="428">
        <f t="shared" si="385"/>
        <v>0</v>
      </c>
      <c r="M585" s="428"/>
      <c r="X585" s="519">
        <f t="shared" si="383"/>
        <v>0</v>
      </c>
      <c r="AM585" s="428">
        <f t="shared" si="384"/>
        <v>0</v>
      </c>
    </row>
    <row r="586" spans="1:49" x14ac:dyDescent="0.25">
      <c r="A586" s="519"/>
      <c r="L586" s="428">
        <f t="shared" si="385"/>
        <v>0</v>
      </c>
      <c r="M586" s="428"/>
      <c r="X586" s="519">
        <f t="shared" si="383"/>
        <v>0</v>
      </c>
      <c r="AM586" s="428">
        <f t="shared" si="384"/>
        <v>0</v>
      </c>
    </row>
    <row r="587" spans="1:49" x14ac:dyDescent="0.25">
      <c r="A587" s="519"/>
      <c r="L587" s="428">
        <f t="shared" si="385"/>
        <v>0</v>
      </c>
      <c r="M587" s="428"/>
      <c r="X587" s="519">
        <f t="shared" si="383"/>
        <v>0</v>
      </c>
      <c r="AM587" s="428">
        <f t="shared" si="384"/>
        <v>0</v>
      </c>
    </row>
    <row r="588" spans="1:49" x14ac:dyDescent="0.25">
      <c r="A588" s="519"/>
      <c r="L588" s="428">
        <f t="shared" si="385"/>
        <v>0</v>
      </c>
      <c r="M588" s="428"/>
      <c r="X588" s="519">
        <f t="shared" si="383"/>
        <v>0</v>
      </c>
      <c r="AM588" s="428">
        <f t="shared" si="384"/>
        <v>0</v>
      </c>
    </row>
    <row r="589" spans="1:49" x14ac:dyDescent="0.25">
      <c r="A589" s="519"/>
      <c r="L589" s="428">
        <f t="shared" si="385"/>
        <v>0</v>
      </c>
      <c r="M589" s="428"/>
      <c r="X589" s="519">
        <f t="shared" si="383"/>
        <v>0</v>
      </c>
      <c r="AM589" s="428">
        <f t="shared" si="384"/>
        <v>0</v>
      </c>
    </row>
    <row r="590" spans="1:49" ht="15.75" thickBot="1" x14ac:dyDescent="0.3">
      <c r="A590" s="522"/>
      <c r="B590" s="348"/>
      <c r="C590" s="21"/>
      <c r="D590" s="21"/>
      <c r="E590" s="21"/>
      <c r="F590" s="21"/>
      <c r="G590" s="21"/>
      <c r="H590" s="21"/>
      <c r="I590" s="348"/>
      <c r="J590" s="348"/>
      <c r="K590" s="348"/>
      <c r="L590" s="429">
        <f t="shared" si="385"/>
        <v>0</v>
      </c>
      <c r="M590" s="429"/>
      <c r="N590" s="348"/>
      <c r="O590" s="21"/>
      <c r="P590" s="21"/>
      <c r="Q590" s="21"/>
      <c r="R590" s="21"/>
      <c r="S590" s="21"/>
      <c r="T590" s="21"/>
      <c r="U590" s="348"/>
      <c r="V590" s="348"/>
      <c r="W590" s="348"/>
      <c r="X590" s="522">
        <f t="shared" si="383"/>
        <v>0</v>
      </c>
      <c r="Y590" s="348"/>
      <c r="Z590" s="512"/>
      <c r="AA590" s="21"/>
      <c r="AB590" s="21"/>
      <c r="AC590" s="21"/>
      <c r="AD590" s="21"/>
      <c r="AE590" s="21"/>
      <c r="AF590" s="21"/>
      <c r="AG590" s="348"/>
      <c r="AH590" s="348"/>
      <c r="AI590" s="348"/>
      <c r="AJ590" s="348"/>
      <c r="AK590" s="348"/>
      <c r="AL590" s="348"/>
      <c r="AM590" s="429">
        <f t="shared" si="384"/>
        <v>0</v>
      </c>
      <c r="AN590" s="21"/>
      <c r="AO590" s="21"/>
      <c r="AP590" s="21"/>
      <c r="AQ590" s="21"/>
      <c r="AR590" s="23"/>
      <c r="AS590" s="21"/>
      <c r="AT590" s="21"/>
      <c r="AU590" s="348"/>
      <c r="AV590" s="348"/>
      <c r="AW590" s="21"/>
    </row>
    <row r="591" spans="1:49" x14ac:dyDescent="0.25">
      <c r="A591" s="519"/>
      <c r="L591" s="428">
        <f t="shared" si="385"/>
        <v>0</v>
      </c>
      <c r="M591" s="428"/>
      <c r="X591" s="519">
        <f t="shared" si="383"/>
        <v>0</v>
      </c>
      <c r="AM591" s="428">
        <f t="shared" si="384"/>
        <v>0</v>
      </c>
    </row>
    <row r="592" spans="1:49" x14ac:dyDescent="0.25">
      <c r="A592" s="519"/>
      <c r="L592" s="428">
        <f t="shared" si="385"/>
        <v>0</v>
      </c>
      <c r="M592" s="428"/>
      <c r="X592" s="519">
        <f t="shared" ref="X592:X655" si="386">+A592</f>
        <v>0</v>
      </c>
      <c r="AM592" s="428">
        <f t="shared" ref="AM592:AM655" si="387">+L592</f>
        <v>0</v>
      </c>
    </row>
    <row r="593" spans="1:49" x14ac:dyDescent="0.25">
      <c r="A593" s="519"/>
      <c r="L593" s="428">
        <f t="shared" si="385"/>
        <v>0</v>
      </c>
      <c r="M593" s="428"/>
      <c r="X593" s="519">
        <f t="shared" si="386"/>
        <v>0</v>
      </c>
      <c r="AM593" s="428">
        <f t="shared" si="387"/>
        <v>0</v>
      </c>
    </row>
    <row r="594" spans="1:49" x14ac:dyDescent="0.25">
      <c r="A594" s="519"/>
      <c r="L594" s="428">
        <f t="shared" si="385"/>
        <v>0</v>
      </c>
      <c r="M594" s="428"/>
      <c r="X594" s="519">
        <f t="shared" si="386"/>
        <v>0</v>
      </c>
      <c r="AM594" s="428">
        <f t="shared" si="387"/>
        <v>0</v>
      </c>
    </row>
    <row r="595" spans="1:49" x14ac:dyDescent="0.25">
      <c r="A595" s="519"/>
      <c r="L595" s="428">
        <f t="shared" si="385"/>
        <v>0</v>
      </c>
      <c r="M595" s="428"/>
      <c r="X595" s="519">
        <f t="shared" si="386"/>
        <v>0</v>
      </c>
      <c r="AM595" s="428">
        <f t="shared" si="387"/>
        <v>0</v>
      </c>
    </row>
    <row r="596" spans="1:49" x14ac:dyDescent="0.25">
      <c r="A596" s="519"/>
      <c r="L596" s="428">
        <f t="shared" si="385"/>
        <v>0</v>
      </c>
      <c r="M596" s="428"/>
      <c r="X596" s="519">
        <f t="shared" si="386"/>
        <v>0</v>
      </c>
      <c r="AM596" s="428">
        <f t="shared" si="387"/>
        <v>0</v>
      </c>
    </row>
    <row r="597" spans="1:49" x14ac:dyDescent="0.25">
      <c r="A597" s="519"/>
      <c r="L597" s="428">
        <f t="shared" si="385"/>
        <v>0</v>
      </c>
      <c r="M597" s="428"/>
      <c r="X597" s="519">
        <f t="shared" si="386"/>
        <v>0</v>
      </c>
      <c r="AM597" s="428">
        <f t="shared" si="387"/>
        <v>0</v>
      </c>
    </row>
    <row r="598" spans="1:49" x14ac:dyDescent="0.25">
      <c r="A598" s="519"/>
      <c r="L598" s="428">
        <f t="shared" si="385"/>
        <v>0</v>
      </c>
      <c r="M598" s="428"/>
      <c r="X598" s="519">
        <f t="shared" si="386"/>
        <v>0</v>
      </c>
      <c r="AM598" s="428">
        <f t="shared" si="387"/>
        <v>0</v>
      </c>
    </row>
    <row r="599" spans="1:49" x14ac:dyDescent="0.25">
      <c r="A599" s="519"/>
      <c r="L599" s="428">
        <f t="shared" si="385"/>
        <v>0</v>
      </c>
      <c r="M599" s="428"/>
      <c r="X599" s="519">
        <f t="shared" si="386"/>
        <v>0</v>
      </c>
      <c r="AM599" s="428">
        <f t="shared" si="387"/>
        <v>0</v>
      </c>
    </row>
    <row r="600" spans="1:49" x14ac:dyDescent="0.25">
      <c r="A600" s="519"/>
      <c r="L600" s="428">
        <f t="shared" si="385"/>
        <v>0</v>
      </c>
      <c r="M600" s="428"/>
      <c r="X600" s="519">
        <f t="shared" si="386"/>
        <v>0</v>
      </c>
      <c r="AM600" s="428">
        <f t="shared" si="387"/>
        <v>0</v>
      </c>
    </row>
    <row r="601" spans="1:49" x14ac:dyDescent="0.25">
      <c r="A601" s="519"/>
      <c r="L601" s="428">
        <f t="shared" si="385"/>
        <v>0</v>
      </c>
      <c r="M601" s="428"/>
      <c r="X601" s="519">
        <f t="shared" si="386"/>
        <v>0</v>
      </c>
      <c r="AM601" s="428">
        <f t="shared" si="387"/>
        <v>0</v>
      </c>
    </row>
    <row r="602" spans="1:49" ht="15.75" thickBot="1" x14ac:dyDescent="0.3">
      <c r="A602" s="522"/>
      <c r="B602" s="348"/>
      <c r="C602" s="21"/>
      <c r="D602" s="21"/>
      <c r="E602" s="21"/>
      <c r="F602" s="21"/>
      <c r="G602" s="21"/>
      <c r="H602" s="21"/>
      <c r="I602" s="348"/>
      <c r="J602" s="348"/>
      <c r="K602" s="348"/>
      <c r="L602" s="429">
        <f t="shared" si="385"/>
        <v>0</v>
      </c>
      <c r="M602" s="429"/>
      <c r="N602" s="348"/>
      <c r="O602" s="21"/>
      <c r="P602" s="21"/>
      <c r="Q602" s="21"/>
      <c r="R602" s="21"/>
      <c r="S602" s="21"/>
      <c r="T602" s="21"/>
      <c r="U602" s="348"/>
      <c r="V602" s="348"/>
      <c r="W602" s="348"/>
      <c r="X602" s="522">
        <f t="shared" si="386"/>
        <v>0</v>
      </c>
      <c r="Y602" s="348"/>
      <c r="Z602" s="512"/>
      <c r="AA602" s="21"/>
      <c r="AB602" s="21"/>
      <c r="AC602" s="21"/>
      <c r="AD602" s="21"/>
      <c r="AE602" s="21"/>
      <c r="AF602" s="21"/>
      <c r="AG602" s="348"/>
      <c r="AH602" s="348"/>
      <c r="AI602" s="348"/>
      <c r="AJ602" s="348"/>
      <c r="AK602" s="348"/>
      <c r="AL602" s="348"/>
      <c r="AM602" s="429">
        <f t="shared" si="387"/>
        <v>0</v>
      </c>
      <c r="AN602" s="21"/>
      <c r="AO602" s="21"/>
      <c r="AP602" s="21"/>
      <c r="AQ602" s="21"/>
      <c r="AR602" s="23"/>
      <c r="AS602" s="21"/>
      <c r="AT602" s="21"/>
      <c r="AU602" s="348"/>
      <c r="AV602" s="348"/>
      <c r="AW602" s="21"/>
    </row>
    <row r="603" spans="1:49" x14ac:dyDescent="0.25">
      <c r="A603" s="519"/>
      <c r="L603" s="428">
        <f t="shared" si="385"/>
        <v>0</v>
      </c>
      <c r="M603" s="428"/>
      <c r="X603" s="519">
        <f t="shared" si="386"/>
        <v>0</v>
      </c>
      <c r="AM603" s="428">
        <f t="shared" si="387"/>
        <v>0</v>
      </c>
    </row>
    <row r="604" spans="1:49" x14ac:dyDescent="0.25">
      <c r="A604" s="519"/>
      <c r="L604" s="428">
        <f t="shared" si="385"/>
        <v>0</v>
      </c>
      <c r="M604" s="428"/>
      <c r="X604" s="519">
        <f t="shared" si="386"/>
        <v>0</v>
      </c>
      <c r="AM604" s="428">
        <f t="shared" si="387"/>
        <v>0</v>
      </c>
    </row>
    <row r="605" spans="1:49" x14ac:dyDescent="0.25">
      <c r="A605" s="519"/>
      <c r="L605" s="428">
        <f t="shared" si="385"/>
        <v>0</v>
      </c>
      <c r="M605" s="428"/>
      <c r="X605" s="519">
        <f t="shared" si="386"/>
        <v>0</v>
      </c>
      <c r="AM605" s="428">
        <f t="shared" si="387"/>
        <v>0</v>
      </c>
    </row>
    <row r="606" spans="1:49" x14ac:dyDescent="0.25">
      <c r="A606" s="519"/>
      <c r="L606" s="428">
        <f t="shared" si="385"/>
        <v>0</v>
      </c>
      <c r="M606" s="428"/>
      <c r="X606" s="519">
        <f t="shared" si="386"/>
        <v>0</v>
      </c>
      <c r="AM606" s="428">
        <f t="shared" si="387"/>
        <v>0</v>
      </c>
    </row>
    <row r="607" spans="1:49" x14ac:dyDescent="0.25">
      <c r="A607" s="519"/>
      <c r="L607" s="428">
        <f t="shared" si="385"/>
        <v>0</v>
      </c>
      <c r="M607" s="428"/>
      <c r="X607" s="519">
        <f t="shared" si="386"/>
        <v>0</v>
      </c>
      <c r="AM607" s="428">
        <f t="shared" si="387"/>
        <v>0</v>
      </c>
    </row>
    <row r="608" spans="1:49" x14ac:dyDescent="0.25">
      <c r="A608" s="519"/>
      <c r="L608" s="428">
        <f t="shared" si="385"/>
        <v>0</v>
      </c>
      <c r="M608" s="428"/>
      <c r="X608" s="519">
        <f t="shared" si="386"/>
        <v>0</v>
      </c>
      <c r="AM608" s="428">
        <f t="shared" si="387"/>
        <v>0</v>
      </c>
    </row>
    <row r="609" spans="1:49" x14ac:dyDescent="0.25">
      <c r="A609" s="519"/>
      <c r="L609" s="428">
        <f t="shared" si="385"/>
        <v>0</v>
      </c>
      <c r="M609" s="428"/>
      <c r="X609" s="519">
        <f t="shared" si="386"/>
        <v>0</v>
      </c>
      <c r="AM609" s="428">
        <f t="shared" si="387"/>
        <v>0</v>
      </c>
    </row>
    <row r="610" spans="1:49" x14ac:dyDescent="0.25">
      <c r="A610" s="519"/>
      <c r="L610" s="428">
        <f t="shared" si="385"/>
        <v>0</v>
      </c>
      <c r="M610" s="428"/>
      <c r="X610" s="519">
        <f t="shared" si="386"/>
        <v>0</v>
      </c>
      <c r="AM610" s="428">
        <f t="shared" si="387"/>
        <v>0</v>
      </c>
    </row>
    <row r="611" spans="1:49" x14ac:dyDescent="0.25">
      <c r="A611" s="519"/>
      <c r="L611" s="428">
        <f t="shared" si="385"/>
        <v>0</v>
      </c>
      <c r="M611" s="428"/>
      <c r="X611" s="519">
        <f t="shared" si="386"/>
        <v>0</v>
      </c>
      <c r="AM611" s="428">
        <f t="shared" si="387"/>
        <v>0</v>
      </c>
    </row>
    <row r="612" spans="1:49" x14ac:dyDescent="0.25">
      <c r="A612" s="519"/>
      <c r="L612" s="428">
        <f t="shared" si="385"/>
        <v>0</v>
      </c>
      <c r="M612" s="428"/>
      <c r="X612" s="519">
        <f t="shared" si="386"/>
        <v>0</v>
      </c>
      <c r="AM612" s="428">
        <f t="shared" si="387"/>
        <v>0</v>
      </c>
    </row>
    <row r="613" spans="1:49" x14ac:dyDescent="0.25">
      <c r="A613" s="519"/>
      <c r="L613" s="428">
        <f t="shared" si="385"/>
        <v>0</v>
      </c>
      <c r="M613" s="428"/>
      <c r="X613" s="519">
        <f t="shared" si="386"/>
        <v>0</v>
      </c>
      <c r="AM613" s="428">
        <f t="shared" si="387"/>
        <v>0</v>
      </c>
    </row>
    <row r="614" spans="1:49" ht="15.75" thickBot="1" x14ac:dyDescent="0.3">
      <c r="A614" s="522"/>
      <c r="B614" s="348"/>
      <c r="C614" s="21"/>
      <c r="D614" s="21"/>
      <c r="E614" s="21"/>
      <c r="F614" s="21"/>
      <c r="G614" s="21"/>
      <c r="H614" s="21"/>
      <c r="I614" s="348"/>
      <c r="J614" s="348"/>
      <c r="K614" s="348"/>
      <c r="L614" s="429">
        <f t="shared" si="385"/>
        <v>0</v>
      </c>
      <c r="M614" s="429"/>
      <c r="N614" s="348"/>
      <c r="O614" s="21"/>
      <c r="P614" s="21"/>
      <c r="Q614" s="21"/>
      <c r="R614" s="21"/>
      <c r="S614" s="21"/>
      <c r="T614" s="21"/>
      <c r="U614" s="348"/>
      <c r="V614" s="348"/>
      <c r="W614" s="348"/>
      <c r="X614" s="522">
        <f t="shared" si="386"/>
        <v>0</v>
      </c>
      <c r="Y614" s="348"/>
      <c r="Z614" s="512"/>
      <c r="AA614" s="21"/>
      <c r="AB614" s="21"/>
      <c r="AC614" s="21"/>
      <c r="AD614" s="21"/>
      <c r="AE614" s="21"/>
      <c r="AF614" s="21"/>
      <c r="AG614" s="348"/>
      <c r="AH614" s="348"/>
      <c r="AI614" s="348"/>
      <c r="AJ614" s="348"/>
      <c r="AK614" s="348"/>
      <c r="AL614" s="348"/>
      <c r="AM614" s="429">
        <f t="shared" si="387"/>
        <v>0</v>
      </c>
      <c r="AN614" s="21"/>
      <c r="AO614" s="21"/>
      <c r="AP614" s="21"/>
      <c r="AQ614" s="21"/>
      <c r="AR614" s="23"/>
      <c r="AS614" s="21"/>
      <c r="AT614" s="21"/>
      <c r="AU614" s="348"/>
      <c r="AV614" s="348"/>
      <c r="AW614" s="21"/>
    </row>
    <row r="615" spans="1:49" x14ac:dyDescent="0.25">
      <c r="A615" s="519"/>
      <c r="L615" s="428">
        <f t="shared" si="385"/>
        <v>0</v>
      </c>
      <c r="M615" s="428"/>
      <c r="X615" s="519">
        <f t="shared" si="386"/>
        <v>0</v>
      </c>
      <c r="AM615" s="428">
        <f t="shared" si="387"/>
        <v>0</v>
      </c>
    </row>
    <row r="616" spans="1:49" x14ac:dyDescent="0.25">
      <c r="A616" s="519"/>
      <c r="L616" s="428">
        <f t="shared" si="385"/>
        <v>0</v>
      </c>
      <c r="M616" s="428"/>
      <c r="X616" s="519">
        <f t="shared" si="386"/>
        <v>0</v>
      </c>
      <c r="AM616" s="428">
        <f t="shared" si="387"/>
        <v>0</v>
      </c>
    </row>
    <row r="617" spans="1:49" x14ac:dyDescent="0.25">
      <c r="A617" s="519"/>
      <c r="L617" s="428">
        <f t="shared" si="385"/>
        <v>0</v>
      </c>
      <c r="M617" s="428"/>
      <c r="X617" s="519">
        <f t="shared" si="386"/>
        <v>0</v>
      </c>
      <c r="AM617" s="428">
        <f t="shared" si="387"/>
        <v>0</v>
      </c>
    </row>
    <row r="618" spans="1:49" x14ac:dyDescent="0.25">
      <c r="A618" s="519"/>
      <c r="L618" s="428">
        <f t="shared" si="385"/>
        <v>0</v>
      </c>
      <c r="M618" s="428"/>
      <c r="X618" s="519">
        <f t="shared" si="386"/>
        <v>0</v>
      </c>
      <c r="AM618" s="428">
        <f t="shared" si="387"/>
        <v>0</v>
      </c>
    </row>
    <row r="619" spans="1:49" x14ac:dyDescent="0.25">
      <c r="A619" s="519"/>
      <c r="L619" s="428">
        <f t="shared" si="385"/>
        <v>0</v>
      </c>
      <c r="M619" s="428"/>
      <c r="X619" s="519">
        <f t="shared" si="386"/>
        <v>0</v>
      </c>
      <c r="AM619" s="428">
        <f t="shared" si="387"/>
        <v>0</v>
      </c>
    </row>
    <row r="620" spans="1:49" x14ac:dyDescent="0.25">
      <c r="A620" s="519"/>
      <c r="L620" s="428">
        <f t="shared" si="385"/>
        <v>0</v>
      </c>
      <c r="M620" s="428"/>
      <c r="X620" s="519">
        <f t="shared" si="386"/>
        <v>0</v>
      </c>
      <c r="AM620" s="428">
        <f t="shared" si="387"/>
        <v>0</v>
      </c>
    </row>
    <row r="621" spans="1:49" x14ac:dyDescent="0.25">
      <c r="A621" s="519"/>
      <c r="L621" s="428">
        <f t="shared" si="385"/>
        <v>0</v>
      </c>
      <c r="M621" s="428"/>
      <c r="X621" s="519">
        <f t="shared" si="386"/>
        <v>0</v>
      </c>
      <c r="AM621" s="428">
        <f t="shared" si="387"/>
        <v>0</v>
      </c>
    </row>
    <row r="622" spans="1:49" x14ac:dyDescent="0.25">
      <c r="A622" s="519"/>
      <c r="L622" s="428">
        <f t="shared" si="385"/>
        <v>0</v>
      </c>
      <c r="M622" s="428"/>
      <c r="X622" s="519">
        <f t="shared" si="386"/>
        <v>0</v>
      </c>
      <c r="AM622" s="428">
        <f t="shared" si="387"/>
        <v>0</v>
      </c>
    </row>
    <row r="623" spans="1:49" x14ac:dyDescent="0.25">
      <c r="A623" s="519"/>
      <c r="L623" s="428">
        <f t="shared" ref="L623:L686" si="388">IF(MOD(M623,12)=0,M623/12,L622)</f>
        <v>0</v>
      </c>
      <c r="M623" s="428"/>
      <c r="X623" s="519">
        <f t="shared" si="386"/>
        <v>0</v>
      </c>
      <c r="AM623" s="428">
        <f t="shared" si="387"/>
        <v>0</v>
      </c>
    </row>
    <row r="624" spans="1:49" x14ac:dyDescent="0.25">
      <c r="A624" s="519"/>
      <c r="L624" s="428">
        <f t="shared" si="388"/>
        <v>0</v>
      </c>
      <c r="M624" s="428"/>
      <c r="X624" s="519">
        <f t="shared" si="386"/>
        <v>0</v>
      </c>
      <c r="AM624" s="428">
        <f t="shared" si="387"/>
        <v>0</v>
      </c>
    </row>
    <row r="625" spans="1:49" x14ac:dyDescent="0.25">
      <c r="A625" s="519"/>
      <c r="L625" s="428">
        <f t="shared" si="388"/>
        <v>0</v>
      </c>
      <c r="M625" s="428"/>
      <c r="X625" s="519">
        <f t="shared" si="386"/>
        <v>0</v>
      </c>
      <c r="AM625" s="428">
        <f t="shared" si="387"/>
        <v>0</v>
      </c>
    </row>
    <row r="626" spans="1:49" ht="15.75" thickBot="1" x14ac:dyDescent="0.3">
      <c r="A626" s="522"/>
      <c r="B626" s="348"/>
      <c r="C626" s="21"/>
      <c r="D626" s="21"/>
      <c r="E626" s="21"/>
      <c r="F626" s="21"/>
      <c r="G626" s="21"/>
      <c r="H626" s="21"/>
      <c r="I626" s="348"/>
      <c r="J626" s="348"/>
      <c r="K626" s="348"/>
      <c r="L626" s="429">
        <f t="shared" si="388"/>
        <v>0</v>
      </c>
      <c r="M626" s="429"/>
      <c r="N626" s="348"/>
      <c r="O626" s="21"/>
      <c r="P626" s="21"/>
      <c r="Q626" s="21"/>
      <c r="R626" s="21"/>
      <c r="S626" s="21"/>
      <c r="T626" s="21"/>
      <c r="U626" s="348"/>
      <c r="V626" s="348"/>
      <c r="W626" s="348"/>
      <c r="X626" s="522">
        <f t="shared" si="386"/>
        <v>0</v>
      </c>
      <c r="Y626" s="348"/>
      <c r="Z626" s="512"/>
      <c r="AA626" s="21"/>
      <c r="AB626" s="21"/>
      <c r="AC626" s="21"/>
      <c r="AD626" s="21"/>
      <c r="AE626" s="21"/>
      <c r="AF626" s="21"/>
      <c r="AG626" s="348"/>
      <c r="AH626" s="348"/>
      <c r="AI626" s="348"/>
      <c r="AJ626" s="348"/>
      <c r="AK626" s="348"/>
      <c r="AL626" s="348"/>
      <c r="AM626" s="429">
        <f t="shared" si="387"/>
        <v>0</v>
      </c>
      <c r="AN626" s="21"/>
      <c r="AO626" s="21"/>
      <c r="AP626" s="21"/>
      <c r="AQ626" s="21"/>
      <c r="AR626" s="23"/>
      <c r="AS626" s="21"/>
      <c r="AT626" s="21"/>
      <c r="AU626" s="348"/>
      <c r="AV626" s="348"/>
      <c r="AW626" s="21"/>
    </row>
    <row r="627" spans="1:49" x14ac:dyDescent="0.25">
      <c r="A627" s="519"/>
      <c r="L627" s="428">
        <f t="shared" si="388"/>
        <v>0</v>
      </c>
      <c r="M627" s="428"/>
      <c r="X627" s="519">
        <f t="shared" si="386"/>
        <v>0</v>
      </c>
      <c r="AM627" s="428">
        <f t="shared" si="387"/>
        <v>0</v>
      </c>
    </row>
    <row r="628" spans="1:49" x14ac:dyDescent="0.25">
      <c r="A628" s="519"/>
      <c r="L628" s="428">
        <f t="shared" si="388"/>
        <v>0</v>
      </c>
      <c r="M628" s="428"/>
      <c r="X628" s="519">
        <f t="shared" si="386"/>
        <v>0</v>
      </c>
      <c r="AM628" s="428">
        <f t="shared" si="387"/>
        <v>0</v>
      </c>
    </row>
    <row r="629" spans="1:49" x14ac:dyDescent="0.25">
      <c r="A629" s="519"/>
      <c r="L629" s="428">
        <f t="shared" si="388"/>
        <v>0</v>
      </c>
      <c r="M629" s="428"/>
      <c r="X629" s="519">
        <f t="shared" si="386"/>
        <v>0</v>
      </c>
      <c r="AM629" s="428">
        <f t="shared" si="387"/>
        <v>0</v>
      </c>
    </row>
    <row r="630" spans="1:49" x14ac:dyDescent="0.25">
      <c r="A630" s="519"/>
      <c r="L630" s="428">
        <f t="shared" si="388"/>
        <v>0</v>
      </c>
      <c r="M630" s="428"/>
      <c r="X630" s="519">
        <f t="shared" si="386"/>
        <v>0</v>
      </c>
      <c r="AM630" s="428">
        <f t="shared" si="387"/>
        <v>0</v>
      </c>
    </row>
    <row r="631" spans="1:49" x14ac:dyDescent="0.25">
      <c r="A631" s="519"/>
      <c r="L631" s="428">
        <f t="shared" si="388"/>
        <v>0</v>
      </c>
      <c r="M631" s="428"/>
      <c r="X631" s="519">
        <f t="shared" si="386"/>
        <v>0</v>
      </c>
      <c r="AM631" s="428">
        <f t="shared" si="387"/>
        <v>0</v>
      </c>
    </row>
    <row r="632" spans="1:49" x14ac:dyDescent="0.25">
      <c r="A632" s="519"/>
      <c r="L632" s="428">
        <f t="shared" si="388"/>
        <v>0</v>
      </c>
      <c r="M632" s="428"/>
      <c r="X632" s="519">
        <f t="shared" si="386"/>
        <v>0</v>
      </c>
      <c r="AM632" s="428">
        <f t="shared" si="387"/>
        <v>0</v>
      </c>
    </row>
    <row r="633" spans="1:49" x14ac:dyDescent="0.25">
      <c r="A633" s="519"/>
      <c r="L633" s="428">
        <f t="shared" si="388"/>
        <v>0</v>
      </c>
      <c r="M633" s="428"/>
      <c r="X633" s="519">
        <f t="shared" si="386"/>
        <v>0</v>
      </c>
      <c r="AM633" s="428">
        <f t="shared" si="387"/>
        <v>0</v>
      </c>
    </row>
    <row r="634" spans="1:49" x14ac:dyDescent="0.25">
      <c r="A634" s="519"/>
      <c r="L634" s="428">
        <f t="shared" si="388"/>
        <v>0</v>
      </c>
      <c r="M634" s="428"/>
      <c r="X634" s="519">
        <f t="shared" si="386"/>
        <v>0</v>
      </c>
      <c r="AM634" s="428">
        <f t="shared" si="387"/>
        <v>0</v>
      </c>
    </row>
    <row r="635" spans="1:49" x14ac:dyDescent="0.25">
      <c r="A635" s="519"/>
      <c r="L635" s="428">
        <f t="shared" si="388"/>
        <v>0</v>
      </c>
      <c r="M635" s="428"/>
      <c r="X635" s="519">
        <f t="shared" si="386"/>
        <v>0</v>
      </c>
      <c r="AM635" s="428">
        <f t="shared" si="387"/>
        <v>0</v>
      </c>
    </row>
    <row r="636" spans="1:49" x14ac:dyDescent="0.25">
      <c r="A636" s="519"/>
      <c r="L636" s="428">
        <f t="shared" si="388"/>
        <v>0</v>
      </c>
      <c r="M636" s="428"/>
      <c r="X636" s="519">
        <f t="shared" si="386"/>
        <v>0</v>
      </c>
      <c r="AM636" s="428">
        <f t="shared" si="387"/>
        <v>0</v>
      </c>
    </row>
    <row r="637" spans="1:49" x14ac:dyDescent="0.25">
      <c r="A637" s="519"/>
      <c r="L637" s="428">
        <f t="shared" si="388"/>
        <v>0</v>
      </c>
      <c r="M637" s="428"/>
      <c r="X637" s="519">
        <f t="shared" si="386"/>
        <v>0</v>
      </c>
      <c r="AM637" s="428">
        <f t="shared" si="387"/>
        <v>0</v>
      </c>
    </row>
    <row r="638" spans="1:49" ht="15.75" thickBot="1" x14ac:dyDescent="0.3">
      <c r="A638" s="522"/>
      <c r="B638" s="348"/>
      <c r="C638" s="21"/>
      <c r="D638" s="21"/>
      <c r="E638" s="21"/>
      <c r="F638" s="21"/>
      <c r="G638" s="21"/>
      <c r="H638" s="21"/>
      <c r="I638" s="348"/>
      <c r="J638" s="348"/>
      <c r="K638" s="348"/>
      <c r="L638" s="429">
        <f t="shared" si="388"/>
        <v>0</v>
      </c>
      <c r="M638" s="429"/>
      <c r="N638" s="348"/>
      <c r="O638" s="21"/>
      <c r="P638" s="21"/>
      <c r="Q638" s="21"/>
      <c r="R638" s="21"/>
      <c r="S638" s="21"/>
      <c r="T638" s="21"/>
      <c r="U638" s="348"/>
      <c r="V638" s="348"/>
      <c r="W638" s="348"/>
      <c r="X638" s="522">
        <f t="shared" si="386"/>
        <v>0</v>
      </c>
      <c r="Y638" s="348"/>
      <c r="Z638" s="512"/>
      <c r="AA638" s="21"/>
      <c r="AB638" s="21"/>
      <c r="AC638" s="21"/>
      <c r="AD638" s="21"/>
      <c r="AE638" s="21"/>
      <c r="AF638" s="21"/>
      <c r="AG638" s="348"/>
      <c r="AH638" s="348"/>
      <c r="AI638" s="348"/>
      <c r="AJ638" s="348"/>
      <c r="AK638" s="348"/>
      <c r="AL638" s="348"/>
      <c r="AM638" s="429">
        <f t="shared" si="387"/>
        <v>0</v>
      </c>
      <c r="AN638" s="21"/>
      <c r="AO638" s="21"/>
      <c r="AP638" s="21"/>
      <c r="AQ638" s="21"/>
      <c r="AR638" s="23"/>
      <c r="AS638" s="21"/>
      <c r="AT638" s="21"/>
      <c r="AU638" s="348"/>
      <c r="AV638" s="348"/>
      <c r="AW638" s="21"/>
    </row>
    <row r="639" spans="1:49" x14ac:dyDescent="0.25">
      <c r="A639" s="519"/>
      <c r="L639" s="428">
        <f t="shared" si="388"/>
        <v>0</v>
      </c>
      <c r="M639" s="428"/>
      <c r="X639" s="519">
        <f t="shared" si="386"/>
        <v>0</v>
      </c>
      <c r="AM639" s="428">
        <f t="shared" si="387"/>
        <v>0</v>
      </c>
    </row>
    <row r="640" spans="1:49" x14ac:dyDescent="0.25">
      <c r="A640" s="519"/>
      <c r="L640" s="428">
        <f t="shared" si="388"/>
        <v>0</v>
      </c>
      <c r="M640" s="428"/>
      <c r="X640" s="519">
        <f t="shared" si="386"/>
        <v>0</v>
      </c>
      <c r="AM640" s="428">
        <f t="shared" si="387"/>
        <v>0</v>
      </c>
    </row>
    <row r="641" spans="1:49" x14ac:dyDescent="0.25">
      <c r="A641" s="519"/>
      <c r="L641" s="428">
        <f t="shared" si="388"/>
        <v>0</v>
      </c>
      <c r="M641" s="428"/>
      <c r="X641" s="519">
        <f t="shared" si="386"/>
        <v>0</v>
      </c>
      <c r="AM641" s="428">
        <f t="shared" si="387"/>
        <v>0</v>
      </c>
    </row>
    <row r="642" spans="1:49" x14ac:dyDescent="0.25">
      <c r="A642" s="519"/>
      <c r="L642" s="428">
        <f t="shared" si="388"/>
        <v>0</v>
      </c>
      <c r="M642" s="428"/>
      <c r="X642" s="519">
        <f t="shared" si="386"/>
        <v>0</v>
      </c>
      <c r="AM642" s="428">
        <f t="shared" si="387"/>
        <v>0</v>
      </c>
    </row>
    <row r="643" spans="1:49" x14ac:dyDescent="0.25">
      <c r="A643" s="519"/>
      <c r="L643" s="428">
        <f t="shared" si="388"/>
        <v>0</v>
      </c>
      <c r="M643" s="428"/>
      <c r="X643" s="519">
        <f t="shared" si="386"/>
        <v>0</v>
      </c>
      <c r="AM643" s="428">
        <f t="shared" si="387"/>
        <v>0</v>
      </c>
    </row>
    <row r="644" spans="1:49" x14ac:dyDescent="0.25">
      <c r="A644" s="519"/>
      <c r="L644" s="428">
        <f t="shared" si="388"/>
        <v>0</v>
      </c>
      <c r="M644" s="428"/>
      <c r="X644" s="519">
        <f t="shared" si="386"/>
        <v>0</v>
      </c>
      <c r="AM644" s="428">
        <f t="shared" si="387"/>
        <v>0</v>
      </c>
    </row>
    <row r="645" spans="1:49" x14ac:dyDescent="0.25">
      <c r="A645" s="519"/>
      <c r="L645" s="428">
        <f t="shared" si="388"/>
        <v>0</v>
      </c>
      <c r="M645" s="428"/>
      <c r="X645" s="519">
        <f t="shared" si="386"/>
        <v>0</v>
      </c>
      <c r="AM645" s="428">
        <f t="shared" si="387"/>
        <v>0</v>
      </c>
    </row>
    <row r="646" spans="1:49" x14ac:dyDescent="0.25">
      <c r="A646" s="519"/>
      <c r="L646" s="428">
        <f t="shared" si="388"/>
        <v>0</v>
      </c>
      <c r="M646" s="428"/>
      <c r="X646" s="519">
        <f t="shared" si="386"/>
        <v>0</v>
      </c>
      <c r="AM646" s="428">
        <f t="shared" si="387"/>
        <v>0</v>
      </c>
    </row>
    <row r="647" spans="1:49" x14ac:dyDescent="0.25">
      <c r="A647" s="519"/>
      <c r="L647" s="428">
        <f t="shared" si="388"/>
        <v>0</v>
      </c>
      <c r="M647" s="428"/>
      <c r="X647" s="519">
        <f t="shared" si="386"/>
        <v>0</v>
      </c>
      <c r="AM647" s="428">
        <f t="shared" si="387"/>
        <v>0</v>
      </c>
    </row>
    <row r="648" spans="1:49" x14ac:dyDescent="0.25">
      <c r="A648" s="519"/>
      <c r="L648" s="428">
        <f t="shared" si="388"/>
        <v>0</v>
      </c>
      <c r="M648" s="428"/>
      <c r="X648" s="519">
        <f t="shared" si="386"/>
        <v>0</v>
      </c>
      <c r="AM648" s="428">
        <f t="shared" si="387"/>
        <v>0</v>
      </c>
    </row>
    <row r="649" spans="1:49" x14ac:dyDescent="0.25">
      <c r="A649" s="519"/>
      <c r="L649" s="428">
        <f t="shared" si="388"/>
        <v>0</v>
      </c>
      <c r="M649" s="428"/>
      <c r="X649" s="519">
        <f t="shared" si="386"/>
        <v>0</v>
      </c>
      <c r="AM649" s="428">
        <f t="shared" si="387"/>
        <v>0</v>
      </c>
    </row>
    <row r="650" spans="1:49" ht="15.75" thickBot="1" x14ac:dyDescent="0.3">
      <c r="A650" s="522"/>
      <c r="B650" s="348"/>
      <c r="C650" s="21"/>
      <c r="D650" s="21"/>
      <c r="E650" s="21"/>
      <c r="F650" s="21"/>
      <c r="G650" s="21"/>
      <c r="H650" s="21"/>
      <c r="I650" s="348"/>
      <c r="J650" s="348"/>
      <c r="K650" s="348"/>
      <c r="L650" s="429">
        <f t="shared" si="388"/>
        <v>0</v>
      </c>
      <c r="M650" s="429"/>
      <c r="N650" s="348"/>
      <c r="O650" s="21"/>
      <c r="P650" s="21"/>
      <c r="Q650" s="21"/>
      <c r="R650" s="21"/>
      <c r="S650" s="21"/>
      <c r="T650" s="21"/>
      <c r="U650" s="348"/>
      <c r="V650" s="348"/>
      <c r="W650" s="348"/>
      <c r="X650" s="522">
        <f t="shared" si="386"/>
        <v>0</v>
      </c>
      <c r="Y650" s="348"/>
      <c r="Z650" s="512"/>
      <c r="AA650" s="21"/>
      <c r="AB650" s="21"/>
      <c r="AC650" s="21"/>
      <c r="AD650" s="21"/>
      <c r="AE650" s="21"/>
      <c r="AF650" s="21"/>
      <c r="AG650" s="348"/>
      <c r="AH650" s="348"/>
      <c r="AI650" s="348"/>
      <c r="AJ650" s="348"/>
      <c r="AK650" s="348"/>
      <c r="AL650" s="348"/>
      <c r="AM650" s="429">
        <f t="shared" si="387"/>
        <v>0</v>
      </c>
      <c r="AN650" s="21"/>
      <c r="AO650" s="21"/>
      <c r="AP650" s="21"/>
      <c r="AQ650" s="21"/>
      <c r="AR650" s="23"/>
      <c r="AS650" s="21"/>
      <c r="AT650" s="21"/>
      <c r="AU650" s="348"/>
      <c r="AV650" s="348"/>
      <c r="AW650" s="21"/>
    </row>
    <row r="651" spans="1:49" x14ac:dyDescent="0.25">
      <c r="A651" s="519"/>
      <c r="L651" s="428">
        <f t="shared" si="388"/>
        <v>0</v>
      </c>
      <c r="M651" s="428"/>
      <c r="X651" s="519">
        <f t="shared" si="386"/>
        <v>0</v>
      </c>
      <c r="AM651" s="428">
        <f t="shared" si="387"/>
        <v>0</v>
      </c>
    </row>
    <row r="652" spans="1:49" x14ac:dyDescent="0.25">
      <c r="A652" s="519"/>
      <c r="L652" s="428">
        <f t="shared" si="388"/>
        <v>0</v>
      </c>
      <c r="M652" s="428"/>
      <c r="X652" s="519">
        <f t="shared" si="386"/>
        <v>0</v>
      </c>
      <c r="AM652" s="428">
        <f t="shared" si="387"/>
        <v>0</v>
      </c>
    </row>
    <row r="653" spans="1:49" x14ac:dyDescent="0.25">
      <c r="A653" s="519"/>
      <c r="L653" s="428">
        <f t="shared" si="388"/>
        <v>0</v>
      </c>
      <c r="M653" s="428"/>
      <c r="X653" s="519">
        <f t="shared" si="386"/>
        <v>0</v>
      </c>
      <c r="AM653" s="428">
        <f t="shared" si="387"/>
        <v>0</v>
      </c>
    </row>
    <row r="654" spans="1:49" x14ac:dyDescent="0.25">
      <c r="A654" s="519"/>
      <c r="L654" s="428">
        <f t="shared" si="388"/>
        <v>0</v>
      </c>
      <c r="M654" s="428"/>
      <c r="X654" s="519">
        <f t="shared" si="386"/>
        <v>0</v>
      </c>
      <c r="AM654" s="428">
        <f t="shared" si="387"/>
        <v>0</v>
      </c>
    </row>
    <row r="655" spans="1:49" x14ac:dyDescent="0.25">
      <c r="A655" s="519"/>
      <c r="L655" s="428">
        <f t="shared" si="388"/>
        <v>0</v>
      </c>
      <c r="M655" s="428"/>
      <c r="X655" s="519">
        <f t="shared" si="386"/>
        <v>0</v>
      </c>
      <c r="AM655" s="428">
        <f t="shared" si="387"/>
        <v>0</v>
      </c>
    </row>
    <row r="656" spans="1:49" x14ac:dyDescent="0.25">
      <c r="A656" s="519"/>
      <c r="L656" s="428">
        <f t="shared" si="388"/>
        <v>0</v>
      </c>
      <c r="M656" s="428"/>
      <c r="X656" s="519">
        <f t="shared" ref="X656:X719" si="389">+A656</f>
        <v>0</v>
      </c>
      <c r="AM656" s="428">
        <f t="shared" ref="AM656:AM719" si="390">+L656</f>
        <v>0</v>
      </c>
    </row>
    <row r="657" spans="1:49" x14ac:dyDescent="0.25">
      <c r="A657" s="519"/>
      <c r="L657" s="428">
        <f t="shared" si="388"/>
        <v>0</v>
      </c>
      <c r="M657" s="428"/>
      <c r="X657" s="519">
        <f t="shared" si="389"/>
        <v>0</v>
      </c>
      <c r="AM657" s="428">
        <f t="shared" si="390"/>
        <v>0</v>
      </c>
    </row>
    <row r="658" spans="1:49" x14ac:dyDescent="0.25">
      <c r="A658" s="519"/>
      <c r="L658" s="428">
        <f t="shared" si="388"/>
        <v>0</v>
      </c>
      <c r="M658" s="428"/>
      <c r="X658" s="519">
        <f t="shared" si="389"/>
        <v>0</v>
      </c>
      <c r="AM658" s="428">
        <f t="shared" si="390"/>
        <v>0</v>
      </c>
    </row>
    <row r="659" spans="1:49" x14ac:dyDescent="0.25">
      <c r="A659" s="519"/>
      <c r="L659" s="428">
        <f t="shared" si="388"/>
        <v>0</v>
      </c>
      <c r="M659" s="428"/>
      <c r="X659" s="519">
        <f t="shared" si="389"/>
        <v>0</v>
      </c>
      <c r="AM659" s="428">
        <f t="shared" si="390"/>
        <v>0</v>
      </c>
    </row>
    <row r="660" spans="1:49" x14ac:dyDescent="0.25">
      <c r="A660" s="519"/>
      <c r="L660" s="428">
        <f t="shared" si="388"/>
        <v>0</v>
      </c>
      <c r="M660" s="428"/>
      <c r="X660" s="519">
        <f t="shared" si="389"/>
        <v>0</v>
      </c>
      <c r="AM660" s="428">
        <f t="shared" si="390"/>
        <v>0</v>
      </c>
    </row>
    <row r="661" spans="1:49" x14ac:dyDescent="0.25">
      <c r="A661" s="519"/>
      <c r="L661" s="428">
        <f t="shared" si="388"/>
        <v>0</v>
      </c>
      <c r="M661" s="428"/>
      <c r="X661" s="519">
        <f t="shared" si="389"/>
        <v>0</v>
      </c>
      <c r="AM661" s="428">
        <f t="shared" si="390"/>
        <v>0</v>
      </c>
    </row>
    <row r="662" spans="1:49" ht="15.75" thickBot="1" x14ac:dyDescent="0.3">
      <c r="A662" s="522"/>
      <c r="B662" s="348"/>
      <c r="C662" s="21"/>
      <c r="D662" s="21"/>
      <c r="E662" s="21"/>
      <c r="F662" s="21"/>
      <c r="G662" s="21"/>
      <c r="H662" s="21"/>
      <c r="I662" s="348"/>
      <c r="J662" s="348"/>
      <c r="K662" s="348"/>
      <c r="L662" s="429">
        <f t="shared" si="388"/>
        <v>0</v>
      </c>
      <c r="M662" s="429"/>
      <c r="N662" s="348"/>
      <c r="O662" s="21"/>
      <c r="P662" s="21"/>
      <c r="Q662" s="21"/>
      <c r="R662" s="21"/>
      <c r="S662" s="21"/>
      <c r="T662" s="21"/>
      <c r="U662" s="348"/>
      <c r="V662" s="348"/>
      <c r="W662" s="348"/>
      <c r="X662" s="522">
        <f t="shared" si="389"/>
        <v>0</v>
      </c>
      <c r="Y662" s="348"/>
      <c r="Z662" s="512"/>
      <c r="AA662" s="21"/>
      <c r="AB662" s="21"/>
      <c r="AC662" s="21"/>
      <c r="AD662" s="21"/>
      <c r="AE662" s="21"/>
      <c r="AF662" s="21"/>
      <c r="AG662" s="348"/>
      <c r="AH662" s="348"/>
      <c r="AI662" s="348"/>
      <c r="AJ662" s="348"/>
      <c r="AK662" s="348"/>
      <c r="AL662" s="348"/>
      <c r="AM662" s="429">
        <f t="shared" si="390"/>
        <v>0</v>
      </c>
      <c r="AN662" s="21"/>
      <c r="AO662" s="21"/>
      <c r="AP662" s="21"/>
      <c r="AQ662" s="21"/>
      <c r="AR662" s="23"/>
      <c r="AS662" s="21"/>
      <c r="AT662" s="21"/>
      <c r="AU662" s="348"/>
      <c r="AV662" s="348"/>
      <c r="AW662" s="21"/>
    </row>
    <row r="663" spans="1:49" x14ac:dyDescent="0.25">
      <c r="A663" s="519"/>
      <c r="L663" s="428">
        <f t="shared" si="388"/>
        <v>0</v>
      </c>
      <c r="M663" s="428"/>
      <c r="X663" s="519">
        <f t="shared" si="389"/>
        <v>0</v>
      </c>
      <c r="AM663" s="428">
        <f t="shared" si="390"/>
        <v>0</v>
      </c>
    </row>
    <row r="664" spans="1:49" x14ac:dyDescent="0.25">
      <c r="A664" s="519"/>
      <c r="L664" s="428">
        <f t="shared" si="388"/>
        <v>0</v>
      </c>
      <c r="M664" s="428"/>
      <c r="X664" s="519">
        <f t="shared" si="389"/>
        <v>0</v>
      </c>
      <c r="AM664" s="428">
        <f t="shared" si="390"/>
        <v>0</v>
      </c>
    </row>
    <row r="665" spans="1:49" x14ac:dyDescent="0.25">
      <c r="A665" s="519"/>
      <c r="L665" s="428">
        <f t="shared" si="388"/>
        <v>0</v>
      </c>
      <c r="M665" s="428"/>
      <c r="X665" s="519">
        <f t="shared" si="389"/>
        <v>0</v>
      </c>
      <c r="AM665" s="428">
        <f t="shared" si="390"/>
        <v>0</v>
      </c>
    </row>
    <row r="666" spans="1:49" x14ac:dyDescent="0.25">
      <c r="A666" s="519"/>
      <c r="L666" s="428">
        <f t="shared" si="388"/>
        <v>0</v>
      </c>
      <c r="M666" s="428"/>
      <c r="X666" s="519">
        <f t="shared" si="389"/>
        <v>0</v>
      </c>
      <c r="AM666" s="428">
        <f t="shared" si="390"/>
        <v>0</v>
      </c>
    </row>
    <row r="667" spans="1:49" x14ac:dyDescent="0.25">
      <c r="A667" s="519"/>
      <c r="L667" s="428">
        <f t="shared" si="388"/>
        <v>0</v>
      </c>
      <c r="M667" s="428"/>
      <c r="X667" s="519">
        <f t="shared" si="389"/>
        <v>0</v>
      </c>
      <c r="AM667" s="428">
        <f t="shared" si="390"/>
        <v>0</v>
      </c>
    </row>
    <row r="668" spans="1:49" x14ac:dyDescent="0.25">
      <c r="A668" s="519"/>
      <c r="L668" s="428">
        <f t="shared" si="388"/>
        <v>0</v>
      </c>
      <c r="M668" s="428"/>
      <c r="X668" s="519">
        <f t="shared" si="389"/>
        <v>0</v>
      </c>
      <c r="AM668" s="428">
        <f t="shared" si="390"/>
        <v>0</v>
      </c>
    </row>
    <row r="669" spans="1:49" x14ac:dyDescent="0.25">
      <c r="A669" s="519"/>
      <c r="L669" s="428">
        <f t="shared" si="388"/>
        <v>0</v>
      </c>
      <c r="M669" s="428"/>
      <c r="X669" s="519">
        <f t="shared" si="389"/>
        <v>0</v>
      </c>
      <c r="AM669" s="428">
        <f t="shared" si="390"/>
        <v>0</v>
      </c>
    </row>
    <row r="670" spans="1:49" x14ac:dyDescent="0.25">
      <c r="A670" s="519"/>
      <c r="L670" s="428">
        <f t="shared" si="388"/>
        <v>0</v>
      </c>
      <c r="M670" s="428"/>
      <c r="X670" s="519">
        <f t="shared" si="389"/>
        <v>0</v>
      </c>
      <c r="AM670" s="428">
        <f t="shared" si="390"/>
        <v>0</v>
      </c>
    </row>
    <row r="671" spans="1:49" x14ac:dyDescent="0.25">
      <c r="A671" s="519"/>
      <c r="L671" s="428">
        <f t="shared" si="388"/>
        <v>0</v>
      </c>
      <c r="M671" s="428"/>
      <c r="X671" s="519">
        <f t="shared" si="389"/>
        <v>0</v>
      </c>
      <c r="AM671" s="428">
        <f t="shared" si="390"/>
        <v>0</v>
      </c>
    </row>
    <row r="672" spans="1:49" x14ac:dyDescent="0.25">
      <c r="A672" s="519"/>
      <c r="L672" s="428">
        <f t="shared" si="388"/>
        <v>0</v>
      </c>
      <c r="M672" s="428"/>
      <c r="X672" s="519">
        <f t="shared" si="389"/>
        <v>0</v>
      </c>
      <c r="AM672" s="428">
        <f t="shared" si="390"/>
        <v>0</v>
      </c>
    </row>
    <row r="673" spans="1:49" x14ac:dyDescent="0.25">
      <c r="A673" s="519"/>
      <c r="L673" s="428">
        <f t="shared" si="388"/>
        <v>0</v>
      </c>
      <c r="M673" s="428"/>
      <c r="X673" s="519">
        <f t="shared" si="389"/>
        <v>0</v>
      </c>
      <c r="AM673" s="428">
        <f t="shared" si="390"/>
        <v>0</v>
      </c>
    </row>
    <row r="674" spans="1:49" ht="15.75" thickBot="1" x14ac:dyDescent="0.3">
      <c r="A674" s="522"/>
      <c r="B674" s="348"/>
      <c r="C674" s="21"/>
      <c r="D674" s="21"/>
      <c r="E674" s="21"/>
      <c r="F674" s="21"/>
      <c r="G674" s="21"/>
      <c r="H674" s="21"/>
      <c r="I674" s="348"/>
      <c r="J674" s="348"/>
      <c r="K674" s="348"/>
      <c r="L674" s="429">
        <f t="shared" si="388"/>
        <v>0</v>
      </c>
      <c r="M674" s="429"/>
      <c r="N674" s="348"/>
      <c r="O674" s="21"/>
      <c r="P674" s="21"/>
      <c r="Q674" s="21"/>
      <c r="R674" s="21"/>
      <c r="S674" s="21"/>
      <c r="T674" s="21"/>
      <c r="U674" s="348"/>
      <c r="V674" s="348"/>
      <c r="W674" s="348"/>
      <c r="X674" s="522">
        <f t="shared" si="389"/>
        <v>0</v>
      </c>
      <c r="Y674" s="348"/>
      <c r="Z674" s="512"/>
      <c r="AA674" s="21"/>
      <c r="AB674" s="21"/>
      <c r="AC674" s="21"/>
      <c r="AD674" s="21"/>
      <c r="AE674" s="21"/>
      <c r="AF674" s="21"/>
      <c r="AG674" s="348"/>
      <c r="AH674" s="348"/>
      <c r="AI674" s="348"/>
      <c r="AJ674" s="348"/>
      <c r="AK674" s="348"/>
      <c r="AL674" s="348"/>
      <c r="AM674" s="429">
        <f t="shared" si="390"/>
        <v>0</v>
      </c>
      <c r="AN674" s="21"/>
      <c r="AO674" s="21"/>
      <c r="AP674" s="21"/>
      <c r="AQ674" s="21"/>
      <c r="AR674" s="23"/>
      <c r="AS674" s="21"/>
      <c r="AT674" s="21"/>
      <c r="AU674" s="348"/>
      <c r="AV674" s="348"/>
      <c r="AW674" s="21"/>
    </row>
    <row r="675" spans="1:49" x14ac:dyDescent="0.25">
      <c r="A675" s="519"/>
      <c r="L675" s="428">
        <f t="shared" si="388"/>
        <v>0</v>
      </c>
      <c r="M675" s="428"/>
      <c r="X675" s="519">
        <f t="shared" si="389"/>
        <v>0</v>
      </c>
      <c r="AM675" s="428">
        <f t="shared" si="390"/>
        <v>0</v>
      </c>
    </row>
    <row r="676" spans="1:49" x14ac:dyDescent="0.25">
      <c r="A676" s="519"/>
      <c r="L676" s="428">
        <f t="shared" si="388"/>
        <v>0</v>
      </c>
      <c r="M676" s="428"/>
      <c r="X676" s="519">
        <f t="shared" si="389"/>
        <v>0</v>
      </c>
      <c r="AM676" s="428">
        <f t="shared" si="390"/>
        <v>0</v>
      </c>
    </row>
    <row r="677" spans="1:49" x14ac:dyDescent="0.25">
      <c r="A677" s="519"/>
      <c r="L677" s="428">
        <f t="shared" si="388"/>
        <v>0</v>
      </c>
      <c r="M677" s="428"/>
      <c r="X677" s="519">
        <f t="shared" si="389"/>
        <v>0</v>
      </c>
      <c r="AM677" s="428">
        <f t="shared" si="390"/>
        <v>0</v>
      </c>
    </row>
    <row r="678" spans="1:49" x14ac:dyDescent="0.25">
      <c r="A678" s="519"/>
      <c r="L678" s="428">
        <f t="shared" si="388"/>
        <v>0</v>
      </c>
      <c r="M678" s="428"/>
      <c r="X678" s="519">
        <f t="shared" si="389"/>
        <v>0</v>
      </c>
      <c r="AM678" s="428">
        <f t="shared" si="390"/>
        <v>0</v>
      </c>
    </row>
    <row r="679" spans="1:49" x14ac:dyDescent="0.25">
      <c r="A679" s="519"/>
      <c r="L679" s="428">
        <f t="shared" si="388"/>
        <v>0</v>
      </c>
      <c r="M679" s="428"/>
      <c r="X679" s="519">
        <f t="shared" si="389"/>
        <v>0</v>
      </c>
      <c r="AM679" s="428">
        <f t="shared" si="390"/>
        <v>0</v>
      </c>
    </row>
    <row r="680" spans="1:49" x14ac:dyDescent="0.25">
      <c r="A680" s="519"/>
      <c r="L680" s="428">
        <f t="shared" si="388"/>
        <v>0</v>
      </c>
      <c r="M680" s="428"/>
      <c r="X680" s="519">
        <f t="shared" si="389"/>
        <v>0</v>
      </c>
      <c r="AM680" s="428">
        <f t="shared" si="390"/>
        <v>0</v>
      </c>
    </row>
    <row r="681" spans="1:49" x14ac:dyDescent="0.25">
      <c r="A681" s="519"/>
      <c r="L681" s="428">
        <f t="shared" si="388"/>
        <v>0</v>
      </c>
      <c r="M681" s="428"/>
      <c r="X681" s="519">
        <f t="shared" si="389"/>
        <v>0</v>
      </c>
      <c r="AM681" s="428">
        <f t="shared" si="390"/>
        <v>0</v>
      </c>
    </row>
    <row r="682" spans="1:49" x14ac:dyDescent="0.25">
      <c r="A682" s="519"/>
      <c r="L682" s="428">
        <f t="shared" si="388"/>
        <v>0</v>
      </c>
      <c r="M682" s="428"/>
      <c r="X682" s="519">
        <f t="shared" si="389"/>
        <v>0</v>
      </c>
      <c r="AM682" s="428">
        <f t="shared" si="390"/>
        <v>0</v>
      </c>
    </row>
    <row r="683" spans="1:49" x14ac:dyDescent="0.25">
      <c r="A683" s="519"/>
      <c r="L683" s="428">
        <f t="shared" si="388"/>
        <v>0</v>
      </c>
      <c r="M683" s="428"/>
      <c r="X683" s="519">
        <f t="shared" si="389"/>
        <v>0</v>
      </c>
      <c r="AM683" s="428">
        <f t="shared" si="390"/>
        <v>0</v>
      </c>
    </row>
    <row r="684" spans="1:49" x14ac:dyDescent="0.25">
      <c r="A684" s="519"/>
      <c r="L684" s="428">
        <f t="shared" si="388"/>
        <v>0</v>
      </c>
      <c r="M684" s="428"/>
      <c r="X684" s="519">
        <f t="shared" si="389"/>
        <v>0</v>
      </c>
      <c r="AM684" s="428">
        <f t="shared" si="390"/>
        <v>0</v>
      </c>
    </row>
    <row r="685" spans="1:49" x14ac:dyDescent="0.25">
      <c r="A685" s="519"/>
      <c r="L685" s="428">
        <f t="shared" si="388"/>
        <v>0</v>
      </c>
      <c r="M685" s="428"/>
      <c r="X685" s="519">
        <f t="shared" si="389"/>
        <v>0</v>
      </c>
      <c r="AM685" s="428">
        <f t="shared" si="390"/>
        <v>0</v>
      </c>
    </row>
    <row r="686" spans="1:49" ht="15.75" thickBot="1" x14ac:dyDescent="0.3">
      <c r="A686" s="522"/>
      <c r="B686" s="348"/>
      <c r="C686" s="21"/>
      <c r="D686" s="21"/>
      <c r="E686" s="21"/>
      <c r="F686" s="21"/>
      <c r="G686" s="21"/>
      <c r="H686" s="21"/>
      <c r="I686" s="348"/>
      <c r="J686" s="348"/>
      <c r="K686" s="348"/>
      <c r="L686" s="429">
        <f t="shared" si="388"/>
        <v>0</v>
      </c>
      <c r="M686" s="429"/>
      <c r="N686" s="348"/>
      <c r="O686" s="21"/>
      <c r="P686" s="21"/>
      <c r="Q686" s="21"/>
      <c r="R686" s="21"/>
      <c r="S686" s="21"/>
      <c r="T686" s="21"/>
      <c r="U686" s="348"/>
      <c r="V686" s="348"/>
      <c r="W686" s="348"/>
      <c r="X686" s="522">
        <f t="shared" si="389"/>
        <v>0</v>
      </c>
      <c r="Y686" s="348"/>
      <c r="Z686" s="512"/>
      <c r="AA686" s="21"/>
      <c r="AB686" s="21"/>
      <c r="AC686" s="21"/>
      <c r="AD686" s="21"/>
      <c r="AE686" s="21"/>
      <c r="AF686" s="21"/>
      <c r="AG686" s="348"/>
      <c r="AH686" s="348"/>
      <c r="AI686" s="348"/>
      <c r="AJ686" s="348"/>
      <c r="AK686" s="348"/>
      <c r="AL686" s="348"/>
      <c r="AM686" s="429">
        <f t="shared" si="390"/>
        <v>0</v>
      </c>
      <c r="AN686" s="21"/>
      <c r="AO686" s="21"/>
      <c r="AP686" s="21"/>
      <c r="AQ686" s="21"/>
      <c r="AR686" s="23"/>
      <c r="AS686" s="21"/>
      <c r="AT686" s="21"/>
      <c r="AU686" s="348"/>
      <c r="AV686" s="348"/>
      <c r="AW686" s="21"/>
    </row>
    <row r="687" spans="1:49" x14ac:dyDescent="0.25">
      <c r="A687" s="519"/>
      <c r="L687" s="428">
        <f t="shared" ref="L687:L750" si="391">IF(MOD(M687,12)=0,M687/12,L686)</f>
        <v>0</v>
      </c>
      <c r="M687" s="428"/>
      <c r="X687" s="519">
        <f t="shared" si="389"/>
        <v>0</v>
      </c>
      <c r="AM687" s="428">
        <f t="shared" si="390"/>
        <v>0</v>
      </c>
    </row>
    <row r="688" spans="1:49" x14ac:dyDescent="0.25">
      <c r="A688" s="519"/>
      <c r="L688" s="428">
        <f t="shared" si="391"/>
        <v>0</v>
      </c>
      <c r="M688" s="428"/>
      <c r="X688" s="519">
        <f t="shared" si="389"/>
        <v>0</v>
      </c>
      <c r="AM688" s="428">
        <f t="shared" si="390"/>
        <v>0</v>
      </c>
    </row>
    <row r="689" spans="1:49" x14ac:dyDescent="0.25">
      <c r="A689" s="519"/>
      <c r="L689" s="428">
        <f t="shared" si="391"/>
        <v>0</v>
      </c>
      <c r="M689" s="428"/>
      <c r="X689" s="519">
        <f t="shared" si="389"/>
        <v>0</v>
      </c>
      <c r="AM689" s="428">
        <f t="shared" si="390"/>
        <v>0</v>
      </c>
    </row>
    <row r="690" spans="1:49" x14ac:dyDescent="0.25">
      <c r="A690" s="519"/>
      <c r="L690" s="428">
        <f t="shared" si="391"/>
        <v>0</v>
      </c>
      <c r="M690" s="428"/>
      <c r="X690" s="519">
        <f t="shared" si="389"/>
        <v>0</v>
      </c>
      <c r="AM690" s="428">
        <f t="shared" si="390"/>
        <v>0</v>
      </c>
    </row>
    <row r="691" spans="1:49" x14ac:dyDescent="0.25">
      <c r="A691" s="519"/>
      <c r="L691" s="428">
        <f t="shared" si="391"/>
        <v>0</v>
      </c>
      <c r="M691" s="428"/>
      <c r="X691" s="519">
        <f t="shared" si="389"/>
        <v>0</v>
      </c>
      <c r="AM691" s="428">
        <f t="shared" si="390"/>
        <v>0</v>
      </c>
    </row>
    <row r="692" spans="1:49" x14ac:dyDescent="0.25">
      <c r="A692" s="519"/>
      <c r="L692" s="428">
        <f t="shared" si="391"/>
        <v>0</v>
      </c>
      <c r="M692" s="428"/>
      <c r="X692" s="519">
        <f t="shared" si="389"/>
        <v>0</v>
      </c>
      <c r="AM692" s="428">
        <f t="shared" si="390"/>
        <v>0</v>
      </c>
    </row>
    <row r="693" spans="1:49" x14ac:dyDescent="0.25">
      <c r="A693" s="519"/>
      <c r="L693" s="428">
        <f t="shared" si="391"/>
        <v>0</v>
      </c>
      <c r="M693" s="428"/>
      <c r="X693" s="519">
        <f t="shared" si="389"/>
        <v>0</v>
      </c>
      <c r="AM693" s="428">
        <f t="shared" si="390"/>
        <v>0</v>
      </c>
    </row>
    <row r="694" spans="1:49" x14ac:dyDescent="0.25">
      <c r="A694" s="519"/>
      <c r="L694" s="428">
        <f t="shared" si="391"/>
        <v>0</v>
      </c>
      <c r="M694" s="428"/>
      <c r="X694" s="519">
        <f t="shared" si="389"/>
        <v>0</v>
      </c>
      <c r="AM694" s="428">
        <f t="shared" si="390"/>
        <v>0</v>
      </c>
    </row>
    <row r="695" spans="1:49" x14ac:dyDescent="0.25">
      <c r="A695" s="519"/>
      <c r="L695" s="428">
        <f t="shared" si="391"/>
        <v>0</v>
      </c>
      <c r="M695" s="428"/>
      <c r="X695" s="519">
        <f t="shared" si="389"/>
        <v>0</v>
      </c>
      <c r="AM695" s="428">
        <f t="shared" si="390"/>
        <v>0</v>
      </c>
    </row>
    <row r="696" spans="1:49" x14ac:dyDescent="0.25">
      <c r="A696" s="519"/>
      <c r="L696" s="428">
        <f t="shared" si="391"/>
        <v>0</v>
      </c>
      <c r="M696" s="428"/>
      <c r="X696" s="519">
        <f t="shared" si="389"/>
        <v>0</v>
      </c>
      <c r="AM696" s="428">
        <f t="shared" si="390"/>
        <v>0</v>
      </c>
    </row>
    <row r="697" spans="1:49" x14ac:dyDescent="0.25">
      <c r="A697" s="519"/>
      <c r="L697" s="428">
        <f t="shared" si="391"/>
        <v>0</v>
      </c>
      <c r="M697" s="428"/>
      <c r="X697" s="519">
        <f t="shared" si="389"/>
        <v>0</v>
      </c>
      <c r="AM697" s="428">
        <f t="shared" si="390"/>
        <v>0</v>
      </c>
    </row>
    <row r="698" spans="1:49" ht="15.75" thickBot="1" x14ac:dyDescent="0.3">
      <c r="A698" s="522"/>
      <c r="B698" s="348"/>
      <c r="C698" s="21"/>
      <c r="D698" s="21"/>
      <c r="E698" s="21"/>
      <c r="F698" s="21"/>
      <c r="G698" s="21"/>
      <c r="H698" s="21"/>
      <c r="I698" s="348"/>
      <c r="J698" s="348"/>
      <c r="K698" s="348"/>
      <c r="L698" s="429">
        <f t="shared" si="391"/>
        <v>0</v>
      </c>
      <c r="M698" s="429"/>
      <c r="N698" s="348"/>
      <c r="O698" s="21"/>
      <c r="P698" s="21"/>
      <c r="Q698" s="21"/>
      <c r="R698" s="21"/>
      <c r="S698" s="21"/>
      <c r="T698" s="21"/>
      <c r="U698" s="348"/>
      <c r="V698" s="348"/>
      <c r="W698" s="348"/>
      <c r="X698" s="522">
        <f t="shared" si="389"/>
        <v>0</v>
      </c>
      <c r="Y698" s="348"/>
      <c r="Z698" s="512"/>
      <c r="AA698" s="21"/>
      <c r="AB698" s="21"/>
      <c r="AC698" s="21"/>
      <c r="AD698" s="21"/>
      <c r="AE698" s="21"/>
      <c r="AF698" s="21"/>
      <c r="AG698" s="348"/>
      <c r="AH698" s="348"/>
      <c r="AI698" s="348"/>
      <c r="AJ698" s="348"/>
      <c r="AK698" s="348"/>
      <c r="AL698" s="348"/>
      <c r="AM698" s="429">
        <f t="shared" si="390"/>
        <v>0</v>
      </c>
      <c r="AN698" s="21"/>
      <c r="AO698" s="21"/>
      <c r="AP698" s="21"/>
      <c r="AQ698" s="21"/>
      <c r="AR698" s="23"/>
      <c r="AS698" s="21"/>
      <c r="AT698" s="21"/>
      <c r="AU698" s="348"/>
      <c r="AV698" s="348"/>
      <c r="AW698" s="21"/>
    </row>
    <row r="699" spans="1:49" x14ac:dyDescent="0.25">
      <c r="A699" s="519"/>
      <c r="L699" s="428">
        <f t="shared" si="391"/>
        <v>0</v>
      </c>
      <c r="M699" s="428"/>
      <c r="X699" s="519">
        <f t="shared" si="389"/>
        <v>0</v>
      </c>
      <c r="AM699" s="428">
        <f t="shared" si="390"/>
        <v>0</v>
      </c>
    </row>
    <row r="700" spans="1:49" x14ac:dyDescent="0.25">
      <c r="A700" s="519"/>
      <c r="L700" s="428">
        <f t="shared" si="391"/>
        <v>0</v>
      </c>
      <c r="M700" s="428"/>
      <c r="X700" s="519">
        <f t="shared" si="389"/>
        <v>0</v>
      </c>
      <c r="AM700" s="428">
        <f t="shared" si="390"/>
        <v>0</v>
      </c>
    </row>
    <row r="701" spans="1:49" x14ac:dyDescent="0.25">
      <c r="A701" s="519"/>
      <c r="L701" s="428">
        <f t="shared" si="391"/>
        <v>0</v>
      </c>
      <c r="M701" s="428"/>
      <c r="X701" s="519">
        <f t="shared" si="389"/>
        <v>0</v>
      </c>
      <c r="AM701" s="428">
        <f t="shared" si="390"/>
        <v>0</v>
      </c>
    </row>
    <row r="702" spans="1:49" x14ac:dyDescent="0.25">
      <c r="A702" s="519"/>
      <c r="L702" s="428">
        <f t="shared" si="391"/>
        <v>0</v>
      </c>
      <c r="M702" s="428"/>
      <c r="X702" s="519">
        <f t="shared" si="389"/>
        <v>0</v>
      </c>
      <c r="AM702" s="428">
        <f t="shared" si="390"/>
        <v>0</v>
      </c>
    </row>
    <row r="703" spans="1:49" x14ac:dyDescent="0.25">
      <c r="A703" s="519"/>
      <c r="L703" s="428">
        <f t="shared" si="391"/>
        <v>0</v>
      </c>
      <c r="M703" s="428"/>
      <c r="X703" s="519">
        <f t="shared" si="389"/>
        <v>0</v>
      </c>
      <c r="AM703" s="428">
        <f t="shared" si="390"/>
        <v>0</v>
      </c>
    </row>
    <row r="704" spans="1:49" x14ac:dyDescent="0.25">
      <c r="A704" s="519"/>
      <c r="L704" s="428">
        <f t="shared" si="391"/>
        <v>0</v>
      </c>
      <c r="M704" s="428"/>
      <c r="X704" s="519">
        <f t="shared" si="389"/>
        <v>0</v>
      </c>
      <c r="AM704" s="428">
        <f t="shared" si="390"/>
        <v>0</v>
      </c>
    </row>
    <row r="705" spans="1:49" x14ac:dyDescent="0.25">
      <c r="A705" s="519"/>
      <c r="L705" s="428">
        <f t="shared" si="391"/>
        <v>0</v>
      </c>
      <c r="M705" s="428"/>
      <c r="X705" s="519">
        <f t="shared" si="389"/>
        <v>0</v>
      </c>
      <c r="AM705" s="428">
        <f t="shared" si="390"/>
        <v>0</v>
      </c>
    </row>
    <row r="706" spans="1:49" x14ac:dyDescent="0.25">
      <c r="A706" s="519"/>
      <c r="L706" s="428">
        <f t="shared" si="391"/>
        <v>0</v>
      </c>
      <c r="M706" s="428"/>
      <c r="X706" s="519">
        <f t="shared" si="389"/>
        <v>0</v>
      </c>
      <c r="AM706" s="428">
        <f t="shared" si="390"/>
        <v>0</v>
      </c>
    </row>
    <row r="707" spans="1:49" x14ac:dyDescent="0.25">
      <c r="A707" s="519"/>
      <c r="L707" s="428">
        <f t="shared" si="391"/>
        <v>0</v>
      </c>
      <c r="M707" s="428"/>
      <c r="X707" s="519">
        <f t="shared" si="389"/>
        <v>0</v>
      </c>
      <c r="AM707" s="428">
        <f t="shared" si="390"/>
        <v>0</v>
      </c>
    </row>
    <row r="708" spans="1:49" x14ac:dyDescent="0.25">
      <c r="A708" s="519"/>
      <c r="L708" s="428">
        <f t="shared" si="391"/>
        <v>0</v>
      </c>
      <c r="M708" s="428"/>
      <c r="X708" s="519">
        <f t="shared" si="389"/>
        <v>0</v>
      </c>
      <c r="AM708" s="428">
        <f t="shared" si="390"/>
        <v>0</v>
      </c>
    </row>
    <row r="709" spans="1:49" x14ac:dyDescent="0.25">
      <c r="A709" s="519"/>
      <c r="L709" s="428">
        <f t="shared" si="391"/>
        <v>0</v>
      </c>
      <c r="M709" s="428"/>
      <c r="X709" s="519">
        <f t="shared" si="389"/>
        <v>0</v>
      </c>
      <c r="AM709" s="428">
        <f t="shared" si="390"/>
        <v>0</v>
      </c>
    </row>
    <row r="710" spans="1:49" ht="15.75" thickBot="1" x14ac:dyDescent="0.3">
      <c r="A710" s="522"/>
      <c r="B710" s="348"/>
      <c r="C710" s="21"/>
      <c r="D710" s="21"/>
      <c r="E710" s="21"/>
      <c r="F710" s="21"/>
      <c r="G710" s="21"/>
      <c r="H710" s="21"/>
      <c r="I710" s="348"/>
      <c r="J710" s="348"/>
      <c r="K710" s="348"/>
      <c r="L710" s="429">
        <f t="shared" si="391"/>
        <v>0</v>
      </c>
      <c r="M710" s="429"/>
      <c r="N710" s="348"/>
      <c r="O710" s="21"/>
      <c r="P710" s="21"/>
      <c r="Q710" s="21"/>
      <c r="R710" s="21"/>
      <c r="S710" s="21"/>
      <c r="T710" s="21"/>
      <c r="U710" s="348"/>
      <c r="V710" s="348"/>
      <c r="W710" s="348"/>
      <c r="X710" s="522">
        <f t="shared" si="389"/>
        <v>0</v>
      </c>
      <c r="Y710" s="348"/>
      <c r="Z710" s="512"/>
      <c r="AA710" s="21"/>
      <c r="AB710" s="21"/>
      <c r="AC710" s="21"/>
      <c r="AD710" s="21"/>
      <c r="AE710" s="21"/>
      <c r="AF710" s="21"/>
      <c r="AG710" s="348"/>
      <c r="AH710" s="348"/>
      <c r="AI710" s="348"/>
      <c r="AJ710" s="348"/>
      <c r="AK710" s="348"/>
      <c r="AL710" s="348"/>
      <c r="AM710" s="429">
        <f t="shared" si="390"/>
        <v>0</v>
      </c>
      <c r="AN710" s="21"/>
      <c r="AO710" s="21"/>
      <c r="AP710" s="21"/>
      <c r="AQ710" s="21"/>
      <c r="AR710" s="23"/>
      <c r="AS710" s="21"/>
      <c r="AT710" s="21"/>
      <c r="AU710" s="348"/>
      <c r="AV710" s="348"/>
      <c r="AW710" s="21"/>
    </row>
    <row r="711" spans="1:49" x14ac:dyDescent="0.25">
      <c r="A711" s="519"/>
      <c r="L711" s="428">
        <f t="shared" si="391"/>
        <v>0</v>
      </c>
      <c r="M711" s="428"/>
      <c r="X711" s="519">
        <f t="shared" si="389"/>
        <v>0</v>
      </c>
      <c r="AM711" s="428">
        <f t="shared" si="390"/>
        <v>0</v>
      </c>
    </row>
    <row r="712" spans="1:49" x14ac:dyDescent="0.25">
      <c r="A712" s="519"/>
      <c r="L712" s="428">
        <f t="shared" si="391"/>
        <v>0</v>
      </c>
      <c r="M712" s="428"/>
      <c r="X712" s="519">
        <f t="shared" si="389"/>
        <v>0</v>
      </c>
      <c r="AM712" s="428">
        <f t="shared" si="390"/>
        <v>0</v>
      </c>
    </row>
    <row r="713" spans="1:49" x14ac:dyDescent="0.25">
      <c r="A713" s="519"/>
      <c r="L713" s="428">
        <f t="shared" si="391"/>
        <v>0</v>
      </c>
      <c r="M713" s="428"/>
      <c r="X713" s="519">
        <f t="shared" si="389"/>
        <v>0</v>
      </c>
      <c r="AM713" s="428">
        <f t="shared" si="390"/>
        <v>0</v>
      </c>
    </row>
    <row r="714" spans="1:49" x14ac:dyDescent="0.25">
      <c r="A714" s="519"/>
      <c r="L714" s="428">
        <f t="shared" si="391"/>
        <v>0</v>
      </c>
      <c r="M714" s="428"/>
      <c r="X714" s="519">
        <f t="shared" si="389"/>
        <v>0</v>
      </c>
      <c r="AM714" s="428">
        <f t="shared" si="390"/>
        <v>0</v>
      </c>
    </row>
    <row r="715" spans="1:49" x14ac:dyDescent="0.25">
      <c r="A715" s="519"/>
      <c r="L715" s="428">
        <f t="shared" si="391"/>
        <v>0</v>
      </c>
      <c r="M715" s="428"/>
      <c r="X715" s="519">
        <f t="shared" si="389"/>
        <v>0</v>
      </c>
      <c r="AM715" s="428">
        <f t="shared" si="390"/>
        <v>0</v>
      </c>
    </row>
    <row r="716" spans="1:49" x14ac:dyDescent="0.25">
      <c r="A716" s="519"/>
      <c r="L716" s="428">
        <f t="shared" si="391"/>
        <v>0</v>
      </c>
      <c r="M716" s="428"/>
      <c r="X716" s="519">
        <f t="shared" si="389"/>
        <v>0</v>
      </c>
      <c r="AM716" s="428">
        <f t="shared" si="390"/>
        <v>0</v>
      </c>
    </row>
    <row r="717" spans="1:49" x14ac:dyDescent="0.25">
      <c r="A717" s="519"/>
      <c r="L717" s="428">
        <f t="shared" si="391"/>
        <v>0</v>
      </c>
      <c r="M717" s="428"/>
      <c r="X717" s="519">
        <f t="shared" si="389"/>
        <v>0</v>
      </c>
      <c r="AM717" s="428">
        <f t="shared" si="390"/>
        <v>0</v>
      </c>
    </row>
    <row r="718" spans="1:49" x14ac:dyDescent="0.25">
      <c r="A718" s="519"/>
      <c r="L718" s="428">
        <f t="shared" si="391"/>
        <v>0</v>
      </c>
      <c r="M718" s="428"/>
      <c r="X718" s="519">
        <f t="shared" si="389"/>
        <v>0</v>
      </c>
      <c r="AM718" s="428">
        <f t="shared" si="390"/>
        <v>0</v>
      </c>
    </row>
    <row r="719" spans="1:49" x14ac:dyDescent="0.25">
      <c r="A719" s="519"/>
      <c r="L719" s="428">
        <f t="shared" si="391"/>
        <v>0</v>
      </c>
      <c r="M719" s="428"/>
      <c r="X719" s="519">
        <f t="shared" si="389"/>
        <v>0</v>
      </c>
      <c r="AM719" s="428">
        <f t="shared" si="390"/>
        <v>0</v>
      </c>
    </row>
    <row r="720" spans="1:49" x14ac:dyDescent="0.25">
      <c r="A720" s="519"/>
      <c r="L720" s="428">
        <f t="shared" si="391"/>
        <v>0</v>
      </c>
      <c r="M720" s="428"/>
      <c r="X720" s="519">
        <f t="shared" ref="X720:X782" si="392">+A720</f>
        <v>0</v>
      </c>
      <c r="AM720" s="428">
        <f>+L720</f>
        <v>0</v>
      </c>
    </row>
    <row r="721" spans="1:49" x14ac:dyDescent="0.25">
      <c r="A721" s="519"/>
      <c r="L721" s="428">
        <f t="shared" si="391"/>
        <v>0</v>
      </c>
      <c r="M721" s="428"/>
      <c r="X721" s="519">
        <f t="shared" si="392"/>
        <v>0</v>
      </c>
      <c r="AM721" s="428">
        <f>+L721</f>
        <v>0</v>
      </c>
    </row>
    <row r="722" spans="1:49" ht="15.75" thickBot="1" x14ac:dyDescent="0.3">
      <c r="A722" s="522"/>
      <c r="B722" s="348"/>
      <c r="C722" s="21"/>
      <c r="D722" s="21"/>
      <c r="E722" s="21"/>
      <c r="F722" s="21"/>
      <c r="G722" s="21"/>
      <c r="H722" s="21"/>
      <c r="I722" s="348"/>
      <c r="J722" s="348"/>
      <c r="K722" s="348"/>
      <c r="L722" s="429">
        <f t="shared" si="391"/>
        <v>0</v>
      </c>
      <c r="M722" s="429"/>
      <c r="N722" s="348"/>
      <c r="O722" s="21"/>
      <c r="P722" s="21"/>
      <c r="Q722" s="21"/>
      <c r="R722" s="21"/>
      <c r="S722" s="21"/>
      <c r="T722" s="21"/>
      <c r="U722" s="348"/>
      <c r="V722" s="348"/>
      <c r="W722" s="348"/>
      <c r="X722" s="522">
        <f t="shared" si="392"/>
        <v>0</v>
      </c>
      <c r="Y722" s="348"/>
      <c r="Z722" s="512"/>
      <c r="AA722" s="21"/>
      <c r="AB722" s="21"/>
      <c r="AC722" s="21"/>
      <c r="AD722" s="21"/>
      <c r="AE722" s="21"/>
      <c r="AF722" s="21"/>
      <c r="AG722" s="348"/>
      <c r="AH722" s="348"/>
      <c r="AI722" s="348"/>
      <c r="AJ722" s="348"/>
      <c r="AK722" s="348"/>
      <c r="AL722" s="348"/>
      <c r="AM722" s="429">
        <f>+L722</f>
        <v>0</v>
      </c>
      <c r="AN722" s="21"/>
      <c r="AO722" s="21"/>
      <c r="AP722" s="21"/>
      <c r="AQ722" s="21"/>
      <c r="AR722" s="23"/>
      <c r="AS722" s="21"/>
      <c r="AT722" s="21"/>
      <c r="AU722" s="348"/>
      <c r="AV722" s="348"/>
      <c r="AW722" s="21"/>
    </row>
    <row r="723" spans="1:49" x14ac:dyDescent="0.25">
      <c r="A723" s="519"/>
      <c r="L723" s="428">
        <f t="shared" si="391"/>
        <v>0</v>
      </c>
      <c r="M723" s="428"/>
      <c r="X723" s="519">
        <f t="shared" si="392"/>
        <v>0</v>
      </c>
      <c r="AM723" s="428">
        <f>+L723</f>
        <v>0</v>
      </c>
    </row>
    <row r="724" spans="1:49" x14ac:dyDescent="0.25">
      <c r="A724" s="519"/>
      <c r="L724" s="428">
        <f t="shared" si="391"/>
        <v>0</v>
      </c>
      <c r="M724" s="428"/>
      <c r="X724" s="519">
        <f t="shared" si="392"/>
        <v>0</v>
      </c>
      <c r="AM724" s="428"/>
    </row>
    <row r="725" spans="1:49" x14ac:dyDescent="0.25">
      <c r="A725" s="519"/>
      <c r="L725" s="428">
        <f t="shared" si="391"/>
        <v>0</v>
      </c>
      <c r="M725" s="428"/>
      <c r="X725" s="519">
        <f t="shared" si="392"/>
        <v>0</v>
      </c>
      <c r="AM725" s="428"/>
    </row>
    <row r="726" spans="1:49" x14ac:dyDescent="0.25">
      <c r="A726" s="519"/>
      <c r="L726" s="428">
        <f t="shared" si="391"/>
        <v>0</v>
      </c>
      <c r="M726" s="428"/>
      <c r="X726" s="519">
        <f t="shared" si="392"/>
        <v>0</v>
      </c>
      <c r="AM726" s="428"/>
    </row>
    <row r="727" spans="1:49" x14ac:dyDescent="0.25">
      <c r="A727" s="519"/>
      <c r="L727" s="428">
        <f t="shared" si="391"/>
        <v>0</v>
      </c>
      <c r="M727" s="428"/>
      <c r="X727" s="519">
        <f t="shared" si="392"/>
        <v>0</v>
      </c>
      <c r="AM727" s="428"/>
    </row>
    <row r="728" spans="1:49" x14ac:dyDescent="0.25">
      <c r="A728" s="519"/>
      <c r="L728" s="428">
        <f t="shared" si="391"/>
        <v>0</v>
      </c>
      <c r="M728" s="428"/>
      <c r="X728" s="519">
        <f t="shared" si="392"/>
        <v>0</v>
      </c>
      <c r="AM728" s="428"/>
    </row>
    <row r="729" spans="1:49" x14ac:dyDescent="0.25">
      <c r="A729" s="519"/>
      <c r="L729" s="428">
        <f t="shared" si="391"/>
        <v>0</v>
      </c>
      <c r="M729" s="428"/>
      <c r="X729" s="519">
        <f t="shared" si="392"/>
        <v>0</v>
      </c>
      <c r="AM729" s="428"/>
    </row>
    <row r="730" spans="1:49" x14ac:dyDescent="0.25">
      <c r="A730" s="519"/>
      <c r="L730" s="428">
        <f t="shared" si="391"/>
        <v>0</v>
      </c>
      <c r="M730" s="428"/>
      <c r="X730" s="519">
        <f t="shared" si="392"/>
        <v>0</v>
      </c>
      <c r="AM730" s="428"/>
    </row>
    <row r="731" spans="1:49" x14ac:dyDescent="0.25">
      <c r="A731" s="519"/>
      <c r="L731" s="428">
        <f t="shared" si="391"/>
        <v>0</v>
      </c>
      <c r="M731" s="428"/>
      <c r="X731" s="519">
        <f t="shared" si="392"/>
        <v>0</v>
      </c>
      <c r="AM731" s="428"/>
    </row>
    <row r="732" spans="1:49" x14ac:dyDescent="0.25">
      <c r="A732" s="519"/>
      <c r="L732" s="428">
        <f t="shared" si="391"/>
        <v>0</v>
      </c>
      <c r="M732" s="428"/>
      <c r="X732" s="519">
        <f t="shared" si="392"/>
        <v>0</v>
      </c>
      <c r="AM732" s="428"/>
    </row>
    <row r="733" spans="1:49" x14ac:dyDescent="0.25">
      <c r="A733" s="519"/>
      <c r="L733" s="428">
        <f t="shared" si="391"/>
        <v>0</v>
      </c>
      <c r="M733" s="428"/>
      <c r="X733" s="519">
        <f t="shared" si="392"/>
        <v>0</v>
      </c>
      <c r="AM733" s="428"/>
    </row>
    <row r="734" spans="1:49" ht="15.75" thickBot="1" x14ac:dyDescent="0.3">
      <c r="A734" s="522"/>
      <c r="B734" s="348"/>
      <c r="C734" s="21"/>
      <c r="D734" s="21"/>
      <c r="E734" s="21"/>
      <c r="F734" s="21"/>
      <c r="G734" s="21"/>
      <c r="H734" s="21"/>
      <c r="I734" s="348"/>
      <c r="J734" s="348"/>
      <c r="K734" s="348"/>
      <c r="L734" s="429">
        <f t="shared" si="391"/>
        <v>0</v>
      </c>
      <c r="M734" s="429"/>
      <c r="N734" s="348"/>
      <c r="O734" s="21"/>
      <c r="P734" s="21"/>
      <c r="Q734" s="21"/>
      <c r="R734" s="21"/>
      <c r="S734" s="21"/>
      <c r="T734" s="21"/>
      <c r="U734" s="348"/>
      <c r="V734" s="348"/>
      <c r="W734" s="348"/>
      <c r="X734" s="522">
        <f t="shared" si="392"/>
        <v>0</v>
      </c>
      <c r="Y734" s="348"/>
      <c r="Z734" s="512"/>
      <c r="AA734" s="21"/>
      <c r="AB734" s="21"/>
      <c r="AC734" s="21"/>
      <c r="AD734" s="21"/>
      <c r="AE734" s="21"/>
      <c r="AF734" s="21"/>
      <c r="AG734" s="348"/>
      <c r="AH734" s="348"/>
      <c r="AI734" s="348"/>
      <c r="AJ734" s="348"/>
      <c r="AK734" s="348"/>
      <c r="AL734" s="348"/>
      <c r="AM734" s="429"/>
      <c r="AN734" s="21"/>
      <c r="AO734" s="21"/>
      <c r="AP734" s="21"/>
      <c r="AQ734" s="21"/>
      <c r="AR734" s="23"/>
      <c r="AS734" s="21"/>
      <c r="AT734" s="21"/>
      <c r="AU734" s="348"/>
      <c r="AV734" s="348"/>
      <c r="AW734" s="21"/>
    </row>
    <row r="735" spans="1:49" x14ac:dyDescent="0.25">
      <c r="A735" s="519"/>
      <c r="L735" s="428">
        <f t="shared" si="391"/>
        <v>0</v>
      </c>
      <c r="M735" s="428"/>
      <c r="X735" s="519">
        <f t="shared" si="392"/>
        <v>0</v>
      </c>
      <c r="AM735" s="428"/>
    </row>
    <row r="736" spans="1:49" x14ac:dyDescent="0.25">
      <c r="A736" s="519"/>
      <c r="L736" s="428">
        <f t="shared" si="391"/>
        <v>0</v>
      </c>
      <c r="M736" s="428"/>
      <c r="X736" s="519">
        <f t="shared" si="392"/>
        <v>0</v>
      </c>
      <c r="AM736" s="428"/>
    </row>
    <row r="737" spans="1:49" x14ac:dyDescent="0.25">
      <c r="A737" s="519"/>
      <c r="L737" s="428">
        <f t="shared" si="391"/>
        <v>0</v>
      </c>
      <c r="M737" s="428"/>
      <c r="X737" s="519">
        <f t="shared" si="392"/>
        <v>0</v>
      </c>
      <c r="AM737" s="428"/>
    </row>
    <row r="738" spans="1:49" x14ac:dyDescent="0.25">
      <c r="A738" s="519"/>
      <c r="L738" s="428">
        <f t="shared" si="391"/>
        <v>0</v>
      </c>
      <c r="M738" s="428"/>
      <c r="X738" s="519">
        <f t="shared" si="392"/>
        <v>0</v>
      </c>
      <c r="AM738" s="428"/>
    </row>
    <row r="739" spans="1:49" x14ac:dyDescent="0.25">
      <c r="A739" s="519"/>
      <c r="L739" s="428">
        <f t="shared" si="391"/>
        <v>0</v>
      </c>
      <c r="M739" s="428"/>
      <c r="X739" s="519">
        <f t="shared" si="392"/>
        <v>0</v>
      </c>
      <c r="AM739" s="428"/>
    </row>
    <row r="740" spans="1:49" x14ac:dyDescent="0.25">
      <c r="A740" s="519"/>
      <c r="L740" s="428">
        <f t="shared" si="391"/>
        <v>0</v>
      </c>
      <c r="M740" s="428"/>
      <c r="X740" s="519">
        <f t="shared" si="392"/>
        <v>0</v>
      </c>
      <c r="AM740" s="428"/>
    </row>
    <row r="741" spans="1:49" x14ac:dyDescent="0.25">
      <c r="A741" s="519"/>
      <c r="L741" s="428">
        <f t="shared" si="391"/>
        <v>0</v>
      </c>
      <c r="M741" s="428"/>
      <c r="X741" s="519">
        <f t="shared" si="392"/>
        <v>0</v>
      </c>
      <c r="AM741" s="428"/>
    </row>
    <row r="742" spans="1:49" x14ac:dyDescent="0.25">
      <c r="A742" s="519"/>
      <c r="L742" s="428">
        <f t="shared" si="391"/>
        <v>0</v>
      </c>
      <c r="M742" s="428"/>
      <c r="X742" s="519">
        <f t="shared" si="392"/>
        <v>0</v>
      </c>
      <c r="AM742" s="428"/>
    </row>
    <row r="743" spans="1:49" x14ac:dyDescent="0.25">
      <c r="A743" s="519"/>
      <c r="L743" s="428">
        <f t="shared" si="391"/>
        <v>0</v>
      </c>
      <c r="M743" s="428"/>
      <c r="X743" s="519">
        <f t="shared" si="392"/>
        <v>0</v>
      </c>
      <c r="AM743" s="428"/>
    </row>
    <row r="744" spans="1:49" x14ac:dyDescent="0.25">
      <c r="A744" s="519"/>
      <c r="L744" s="428">
        <f t="shared" si="391"/>
        <v>0</v>
      </c>
      <c r="M744" s="428"/>
      <c r="X744" s="519">
        <f t="shared" si="392"/>
        <v>0</v>
      </c>
      <c r="AM744" s="428"/>
    </row>
    <row r="745" spans="1:49" x14ac:dyDescent="0.25">
      <c r="A745" s="519"/>
      <c r="L745" s="428">
        <f t="shared" si="391"/>
        <v>0</v>
      </c>
      <c r="M745" s="428"/>
      <c r="X745" s="519">
        <f t="shared" si="392"/>
        <v>0</v>
      </c>
      <c r="AM745" s="428"/>
    </row>
    <row r="746" spans="1:49" ht="15.75" thickBot="1" x14ac:dyDescent="0.3">
      <c r="A746" s="522"/>
      <c r="B746" s="348"/>
      <c r="C746" s="21"/>
      <c r="D746" s="21"/>
      <c r="E746" s="21"/>
      <c r="F746" s="21"/>
      <c r="G746" s="21"/>
      <c r="H746" s="21"/>
      <c r="I746" s="348"/>
      <c r="J746" s="348"/>
      <c r="K746" s="348"/>
      <c r="L746" s="429">
        <f t="shared" si="391"/>
        <v>0</v>
      </c>
      <c r="M746" s="429"/>
      <c r="N746" s="348"/>
      <c r="O746" s="21"/>
      <c r="P746" s="21"/>
      <c r="Q746" s="21"/>
      <c r="R746" s="21"/>
      <c r="S746" s="21"/>
      <c r="T746" s="21"/>
      <c r="U746" s="348"/>
      <c r="V746" s="348"/>
      <c r="W746" s="348"/>
      <c r="X746" s="522">
        <f t="shared" si="392"/>
        <v>0</v>
      </c>
      <c r="Y746" s="348"/>
      <c r="Z746" s="512"/>
      <c r="AA746" s="21"/>
      <c r="AB746" s="21"/>
      <c r="AC746" s="21"/>
      <c r="AD746" s="21"/>
      <c r="AE746" s="21"/>
      <c r="AF746" s="21"/>
      <c r="AG746" s="348"/>
      <c r="AH746" s="348"/>
      <c r="AI746" s="348"/>
      <c r="AJ746" s="348"/>
      <c r="AK746" s="348"/>
      <c r="AL746" s="348"/>
      <c r="AM746" s="429"/>
      <c r="AN746" s="21"/>
      <c r="AO746" s="21"/>
      <c r="AP746" s="21"/>
      <c r="AQ746" s="21"/>
      <c r="AR746" s="23"/>
      <c r="AS746" s="21"/>
      <c r="AT746" s="21"/>
      <c r="AU746" s="348"/>
      <c r="AV746" s="348"/>
      <c r="AW746" s="21"/>
    </row>
    <row r="747" spans="1:49" x14ac:dyDescent="0.25">
      <c r="A747" s="519"/>
      <c r="L747" s="428">
        <f t="shared" si="391"/>
        <v>0</v>
      </c>
      <c r="M747" s="428"/>
      <c r="X747" s="519">
        <f t="shared" si="392"/>
        <v>0</v>
      </c>
      <c r="AM747" s="428"/>
    </row>
    <row r="748" spans="1:49" x14ac:dyDescent="0.25">
      <c r="A748" s="519"/>
      <c r="L748" s="428">
        <f t="shared" si="391"/>
        <v>0</v>
      </c>
      <c r="M748" s="428"/>
      <c r="X748" s="519">
        <f t="shared" si="392"/>
        <v>0</v>
      </c>
      <c r="AM748" s="428"/>
    </row>
    <row r="749" spans="1:49" x14ac:dyDescent="0.25">
      <c r="A749" s="519"/>
      <c r="L749" s="428">
        <f t="shared" si="391"/>
        <v>0</v>
      </c>
      <c r="M749" s="428"/>
      <c r="X749" s="519">
        <f t="shared" si="392"/>
        <v>0</v>
      </c>
      <c r="AM749" s="428"/>
    </row>
    <row r="750" spans="1:49" x14ac:dyDescent="0.25">
      <c r="A750" s="519"/>
      <c r="L750" s="428">
        <f t="shared" si="391"/>
        <v>0</v>
      </c>
      <c r="M750" s="428"/>
      <c r="X750" s="519">
        <f t="shared" si="392"/>
        <v>0</v>
      </c>
      <c r="AM750" s="428"/>
    </row>
    <row r="751" spans="1:49" x14ac:dyDescent="0.25">
      <c r="A751" s="519"/>
      <c r="L751" s="428">
        <f t="shared" ref="L751:L782" si="393">IF(MOD(M751,12)=0,M751/12,L750)</f>
        <v>0</v>
      </c>
      <c r="M751" s="428"/>
      <c r="X751" s="519">
        <f t="shared" si="392"/>
        <v>0</v>
      </c>
      <c r="AM751" s="428"/>
    </row>
    <row r="752" spans="1:49" x14ac:dyDescent="0.25">
      <c r="A752" s="519"/>
      <c r="L752" s="428">
        <f t="shared" si="393"/>
        <v>0</v>
      </c>
      <c r="M752" s="428"/>
      <c r="X752" s="519">
        <f t="shared" si="392"/>
        <v>0</v>
      </c>
      <c r="AM752" s="428"/>
    </row>
    <row r="753" spans="1:49" x14ac:dyDescent="0.25">
      <c r="A753" s="519"/>
      <c r="L753" s="428">
        <f t="shared" si="393"/>
        <v>0</v>
      </c>
      <c r="M753" s="428"/>
      <c r="X753" s="519">
        <f t="shared" si="392"/>
        <v>0</v>
      </c>
      <c r="AM753" s="428"/>
    </row>
    <row r="754" spans="1:49" x14ac:dyDescent="0.25">
      <c r="A754" s="519"/>
      <c r="L754" s="428">
        <f t="shared" si="393"/>
        <v>0</v>
      </c>
      <c r="M754" s="428"/>
      <c r="X754" s="519">
        <f t="shared" si="392"/>
        <v>0</v>
      </c>
      <c r="AM754" s="428"/>
    </row>
    <row r="755" spans="1:49" x14ac:dyDescent="0.25">
      <c r="A755" s="519"/>
      <c r="L755" s="428">
        <f t="shared" si="393"/>
        <v>0</v>
      </c>
      <c r="M755" s="428"/>
      <c r="X755" s="519">
        <f t="shared" si="392"/>
        <v>0</v>
      </c>
      <c r="AM755" s="428"/>
    </row>
    <row r="756" spans="1:49" x14ac:dyDescent="0.25">
      <c r="A756" s="519"/>
      <c r="L756" s="428">
        <f t="shared" si="393"/>
        <v>0</v>
      </c>
      <c r="M756" s="428"/>
      <c r="X756" s="519">
        <f t="shared" si="392"/>
        <v>0</v>
      </c>
      <c r="AM756" s="428"/>
    </row>
    <row r="757" spans="1:49" x14ac:dyDescent="0.25">
      <c r="A757" s="519"/>
      <c r="L757" s="428">
        <f t="shared" si="393"/>
        <v>0</v>
      </c>
      <c r="M757" s="428"/>
      <c r="X757" s="519">
        <f t="shared" si="392"/>
        <v>0</v>
      </c>
      <c r="AM757" s="428"/>
    </row>
    <row r="758" spans="1:49" ht="15.75" thickBot="1" x14ac:dyDescent="0.3">
      <c r="A758" s="522"/>
      <c r="B758" s="348"/>
      <c r="C758" s="21"/>
      <c r="D758" s="21"/>
      <c r="E758" s="21"/>
      <c r="F758" s="21"/>
      <c r="G758" s="21"/>
      <c r="H758" s="21"/>
      <c r="I758" s="348"/>
      <c r="J758" s="348"/>
      <c r="K758" s="348"/>
      <c r="L758" s="429">
        <f t="shared" si="393"/>
        <v>0</v>
      </c>
      <c r="M758" s="429"/>
      <c r="N758" s="348"/>
      <c r="O758" s="21"/>
      <c r="P758" s="21"/>
      <c r="Q758" s="21"/>
      <c r="R758" s="21"/>
      <c r="S758" s="21"/>
      <c r="T758" s="21"/>
      <c r="U758" s="348"/>
      <c r="V758" s="348"/>
      <c r="W758" s="348"/>
      <c r="X758" s="522">
        <f t="shared" si="392"/>
        <v>0</v>
      </c>
      <c r="Y758" s="348"/>
      <c r="Z758" s="512"/>
      <c r="AA758" s="21"/>
      <c r="AB758" s="21"/>
      <c r="AC758" s="21"/>
      <c r="AD758" s="21"/>
      <c r="AE758" s="21"/>
      <c r="AF758" s="21"/>
      <c r="AG758" s="348"/>
      <c r="AH758" s="348"/>
      <c r="AI758" s="348"/>
      <c r="AJ758" s="348"/>
      <c r="AK758" s="348"/>
      <c r="AL758" s="348"/>
      <c r="AM758" s="429"/>
      <c r="AN758" s="21"/>
      <c r="AO758" s="21"/>
      <c r="AP758" s="21"/>
      <c r="AQ758" s="21"/>
      <c r="AR758" s="23"/>
      <c r="AS758" s="21"/>
      <c r="AT758" s="21"/>
      <c r="AU758" s="348"/>
      <c r="AV758" s="348"/>
      <c r="AW758" s="21"/>
    </row>
    <row r="759" spans="1:49" x14ac:dyDescent="0.25">
      <c r="A759" s="519"/>
      <c r="L759" s="428">
        <f t="shared" si="393"/>
        <v>0</v>
      </c>
      <c r="M759" s="428"/>
      <c r="X759" s="519">
        <f t="shared" si="392"/>
        <v>0</v>
      </c>
      <c r="AM759" s="428"/>
    </row>
    <row r="760" spans="1:49" x14ac:dyDescent="0.25">
      <c r="A760" s="519"/>
      <c r="L760" s="428">
        <f t="shared" si="393"/>
        <v>0</v>
      </c>
      <c r="M760" s="428"/>
      <c r="X760" s="519">
        <f t="shared" si="392"/>
        <v>0</v>
      </c>
      <c r="AM760" s="428"/>
    </row>
    <row r="761" spans="1:49" x14ac:dyDescent="0.25">
      <c r="A761" s="519"/>
      <c r="L761" s="428">
        <f t="shared" si="393"/>
        <v>0</v>
      </c>
      <c r="M761" s="428"/>
      <c r="X761" s="519">
        <f t="shared" si="392"/>
        <v>0</v>
      </c>
      <c r="AM761" s="428"/>
    </row>
    <row r="762" spans="1:49" x14ac:dyDescent="0.25">
      <c r="A762" s="519"/>
      <c r="L762" s="428">
        <f t="shared" si="393"/>
        <v>0</v>
      </c>
      <c r="M762" s="428"/>
      <c r="X762" s="519">
        <f t="shared" si="392"/>
        <v>0</v>
      </c>
      <c r="AM762" s="428"/>
    </row>
    <row r="763" spans="1:49" x14ac:dyDescent="0.25">
      <c r="A763" s="519"/>
      <c r="L763" s="428">
        <f t="shared" si="393"/>
        <v>0</v>
      </c>
      <c r="M763" s="428"/>
      <c r="X763" s="519">
        <f t="shared" si="392"/>
        <v>0</v>
      </c>
      <c r="AM763" s="428"/>
    </row>
    <row r="764" spans="1:49" x14ac:dyDescent="0.25">
      <c r="A764" s="519"/>
      <c r="L764" s="428">
        <f t="shared" si="393"/>
        <v>0</v>
      </c>
      <c r="M764" s="428"/>
      <c r="X764" s="519">
        <f t="shared" si="392"/>
        <v>0</v>
      </c>
      <c r="AM764" s="428"/>
    </row>
    <row r="765" spans="1:49" x14ac:dyDescent="0.25">
      <c r="A765" s="519"/>
      <c r="L765" s="428">
        <f t="shared" si="393"/>
        <v>0</v>
      </c>
      <c r="M765" s="428"/>
      <c r="X765" s="519">
        <f t="shared" si="392"/>
        <v>0</v>
      </c>
      <c r="AM765" s="428"/>
    </row>
    <row r="766" spans="1:49" x14ac:dyDescent="0.25">
      <c r="A766" s="519"/>
      <c r="L766" s="428">
        <f t="shared" si="393"/>
        <v>0</v>
      </c>
      <c r="M766" s="428"/>
      <c r="X766" s="519">
        <f t="shared" si="392"/>
        <v>0</v>
      </c>
      <c r="AM766" s="428"/>
    </row>
    <row r="767" spans="1:49" x14ac:dyDescent="0.25">
      <c r="A767" s="519"/>
      <c r="L767" s="428">
        <f t="shared" si="393"/>
        <v>0</v>
      </c>
      <c r="M767" s="428"/>
      <c r="X767" s="519">
        <f t="shared" si="392"/>
        <v>0</v>
      </c>
      <c r="AM767" s="428"/>
    </row>
    <row r="768" spans="1:49" x14ac:dyDescent="0.25">
      <c r="A768" s="519"/>
      <c r="L768" s="428">
        <f t="shared" si="393"/>
        <v>0</v>
      </c>
      <c r="M768" s="428"/>
      <c r="X768" s="519">
        <f t="shared" si="392"/>
        <v>0</v>
      </c>
      <c r="AM768" s="428"/>
    </row>
    <row r="769" spans="1:49" x14ac:dyDescent="0.25">
      <c r="A769" s="519"/>
      <c r="L769" s="428">
        <f t="shared" si="393"/>
        <v>0</v>
      </c>
      <c r="M769" s="428"/>
      <c r="X769" s="519">
        <f t="shared" si="392"/>
        <v>0</v>
      </c>
      <c r="AM769" s="428"/>
    </row>
    <row r="770" spans="1:49" ht="15.75" thickBot="1" x14ac:dyDescent="0.3">
      <c r="A770" s="522"/>
      <c r="B770" s="348"/>
      <c r="C770" s="21"/>
      <c r="D770" s="21"/>
      <c r="E770" s="21"/>
      <c r="F770" s="21"/>
      <c r="G770" s="21"/>
      <c r="H770" s="21"/>
      <c r="I770" s="348"/>
      <c r="J770" s="348"/>
      <c r="K770" s="348"/>
      <c r="L770" s="429">
        <f t="shared" si="393"/>
        <v>0</v>
      </c>
      <c r="M770" s="429"/>
      <c r="N770" s="348"/>
      <c r="O770" s="21"/>
      <c r="P770" s="21"/>
      <c r="Q770" s="21"/>
      <c r="R770" s="21"/>
      <c r="S770" s="21"/>
      <c r="T770" s="21"/>
      <c r="U770" s="348"/>
      <c r="V770" s="348"/>
      <c r="W770" s="348"/>
      <c r="X770" s="522">
        <f t="shared" si="392"/>
        <v>0</v>
      </c>
      <c r="Y770" s="348"/>
      <c r="Z770" s="512"/>
      <c r="AA770" s="21"/>
      <c r="AB770" s="21"/>
      <c r="AC770" s="21"/>
      <c r="AD770" s="21"/>
      <c r="AE770" s="21"/>
      <c r="AF770" s="21"/>
      <c r="AG770" s="348"/>
      <c r="AH770" s="348"/>
      <c r="AI770" s="348"/>
      <c r="AJ770" s="348"/>
      <c r="AK770" s="348"/>
      <c r="AL770" s="348"/>
      <c r="AM770" s="429"/>
      <c r="AN770" s="21"/>
      <c r="AO770" s="21"/>
      <c r="AP770" s="21"/>
      <c r="AQ770" s="21"/>
      <c r="AR770" s="23"/>
      <c r="AS770" s="21"/>
      <c r="AT770" s="21"/>
      <c r="AU770" s="348"/>
      <c r="AV770" s="348"/>
      <c r="AW770" s="21"/>
    </row>
    <row r="771" spans="1:49" x14ac:dyDescent="0.25">
      <c r="A771" s="519"/>
      <c r="L771" s="428">
        <f t="shared" si="393"/>
        <v>0</v>
      </c>
      <c r="M771" s="428"/>
      <c r="X771" s="519">
        <f t="shared" si="392"/>
        <v>0</v>
      </c>
      <c r="AM771" s="428"/>
    </row>
    <row r="772" spans="1:49" x14ac:dyDescent="0.25">
      <c r="A772" s="519"/>
      <c r="L772" s="428">
        <f t="shared" si="393"/>
        <v>0</v>
      </c>
      <c r="M772" s="428"/>
      <c r="X772" s="519">
        <f t="shared" si="392"/>
        <v>0</v>
      </c>
      <c r="AM772" s="428"/>
    </row>
    <row r="773" spans="1:49" x14ac:dyDescent="0.25">
      <c r="A773" s="519"/>
      <c r="L773" s="428">
        <f t="shared" si="393"/>
        <v>0</v>
      </c>
      <c r="M773" s="428"/>
      <c r="X773" s="519">
        <f t="shared" si="392"/>
        <v>0</v>
      </c>
      <c r="AM773" s="428"/>
    </row>
    <row r="774" spans="1:49" x14ac:dyDescent="0.25">
      <c r="A774" s="519"/>
      <c r="L774" s="428">
        <f t="shared" si="393"/>
        <v>0</v>
      </c>
      <c r="M774" s="428"/>
      <c r="X774" s="519">
        <f t="shared" si="392"/>
        <v>0</v>
      </c>
      <c r="AM774" s="428"/>
    </row>
    <row r="775" spans="1:49" x14ac:dyDescent="0.25">
      <c r="A775" s="519"/>
      <c r="L775" s="428">
        <f t="shared" si="393"/>
        <v>0</v>
      </c>
      <c r="M775" s="428"/>
      <c r="X775" s="519">
        <f t="shared" si="392"/>
        <v>0</v>
      </c>
      <c r="AM775" s="428"/>
    </row>
    <row r="776" spans="1:49" x14ac:dyDescent="0.25">
      <c r="A776" s="519"/>
      <c r="L776" s="428">
        <f t="shared" si="393"/>
        <v>0</v>
      </c>
      <c r="M776" s="428"/>
      <c r="X776" s="519">
        <f t="shared" si="392"/>
        <v>0</v>
      </c>
      <c r="AM776" s="428"/>
    </row>
    <row r="777" spans="1:49" x14ac:dyDescent="0.25">
      <c r="A777" s="519"/>
      <c r="L777" s="428">
        <f t="shared" si="393"/>
        <v>0</v>
      </c>
      <c r="M777" s="428"/>
      <c r="X777" s="519">
        <f t="shared" si="392"/>
        <v>0</v>
      </c>
      <c r="AM777" s="428"/>
    </row>
    <row r="778" spans="1:49" x14ac:dyDescent="0.25">
      <c r="A778" s="519"/>
      <c r="L778" s="428">
        <f t="shared" si="393"/>
        <v>0</v>
      </c>
      <c r="M778" s="428"/>
      <c r="X778" s="519">
        <f t="shared" si="392"/>
        <v>0</v>
      </c>
      <c r="AM778" s="428"/>
    </row>
    <row r="779" spans="1:49" x14ac:dyDescent="0.25">
      <c r="A779" s="519"/>
      <c r="L779" s="428">
        <f t="shared" si="393"/>
        <v>0</v>
      </c>
      <c r="M779" s="428"/>
      <c r="X779" s="519">
        <f t="shared" si="392"/>
        <v>0</v>
      </c>
      <c r="AM779" s="428"/>
    </row>
    <row r="780" spans="1:49" x14ac:dyDescent="0.25">
      <c r="A780" s="519"/>
      <c r="L780" s="428">
        <f t="shared" si="393"/>
        <v>0</v>
      </c>
      <c r="M780" s="428"/>
      <c r="X780" s="519">
        <f t="shared" si="392"/>
        <v>0</v>
      </c>
      <c r="AM780" s="428"/>
    </row>
    <row r="781" spans="1:49" x14ac:dyDescent="0.25">
      <c r="A781" s="519"/>
      <c r="L781" s="428">
        <f t="shared" si="393"/>
        <v>0</v>
      </c>
      <c r="M781" s="428"/>
      <c r="X781" s="519">
        <f t="shared" si="392"/>
        <v>0</v>
      </c>
      <c r="AM781" s="428"/>
    </row>
    <row r="782" spans="1:49" ht="15.75" thickBot="1" x14ac:dyDescent="0.3">
      <c r="A782" s="522"/>
      <c r="B782" s="348"/>
      <c r="C782" s="21"/>
      <c r="D782" s="21"/>
      <c r="E782" s="21"/>
      <c r="F782" s="21"/>
      <c r="G782" s="21"/>
      <c r="H782" s="21"/>
      <c r="I782" s="348"/>
      <c r="J782" s="348"/>
      <c r="K782" s="348"/>
      <c r="L782" s="429">
        <f t="shared" si="393"/>
        <v>0</v>
      </c>
      <c r="M782" s="429"/>
      <c r="N782" s="348"/>
      <c r="O782" s="21"/>
      <c r="P782" s="21"/>
      <c r="Q782" s="21"/>
      <c r="R782" s="21"/>
      <c r="S782" s="21"/>
      <c r="T782" s="21"/>
      <c r="U782" s="348"/>
      <c r="V782" s="348"/>
      <c r="W782" s="348"/>
      <c r="X782" s="522">
        <f t="shared" si="392"/>
        <v>0</v>
      </c>
      <c r="Y782" s="348"/>
      <c r="Z782" s="512"/>
      <c r="AA782" s="21"/>
      <c r="AB782" s="21"/>
      <c r="AC782" s="21"/>
      <c r="AD782" s="21"/>
      <c r="AE782" s="21"/>
      <c r="AF782" s="21"/>
      <c r="AG782" s="348"/>
      <c r="AH782" s="348"/>
      <c r="AI782" s="348"/>
      <c r="AJ782" s="348"/>
      <c r="AK782" s="348"/>
      <c r="AL782" s="348"/>
      <c r="AM782" s="429"/>
      <c r="AN782" s="21"/>
      <c r="AO782" s="21"/>
      <c r="AP782" s="21"/>
      <c r="AQ782" s="21"/>
      <c r="AR782" s="23"/>
      <c r="AS782" s="21"/>
      <c r="AT782" s="21"/>
      <c r="AU782" s="348"/>
      <c r="AV782" s="348"/>
      <c r="AW782" s="21"/>
    </row>
  </sheetData>
  <mergeCells count="15">
    <mergeCell ref="I13:J13"/>
    <mergeCell ref="AN13:AO13"/>
    <mergeCell ref="C13:H13"/>
    <mergeCell ref="N12:W12"/>
    <mergeCell ref="Y12:AL12"/>
    <mergeCell ref="U13:V13"/>
    <mergeCell ref="Y3:Z3"/>
    <mergeCell ref="Y4:Z4"/>
    <mergeCell ref="AU13:AV13"/>
    <mergeCell ref="Y11:Z11"/>
    <mergeCell ref="AI13:AK13"/>
    <mergeCell ref="AA13:AF13"/>
    <mergeCell ref="AG13:AH13"/>
    <mergeCell ref="Y5:Z5"/>
    <mergeCell ref="AP13:AQ13"/>
  </mergeCells>
  <conditionalFormatting sqref="AK15:AK543">
    <cfRule type="cellIs" dxfId="58"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885825</xdr:colOff>
                    <xdr:row>0</xdr:row>
                    <xdr:rowOff>0</xdr:rowOff>
                  </from>
                  <to>
                    <xdr:col>16</xdr:col>
                    <xdr:colOff>419100</xdr:colOff>
                    <xdr:row>0</xdr:row>
                    <xdr:rowOff>333375</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838200</xdr:colOff>
                    <xdr:row>0</xdr:row>
                    <xdr:rowOff>0</xdr:rowOff>
                  </from>
                  <to>
                    <xdr:col>17</xdr:col>
                    <xdr:colOff>381000</xdr:colOff>
                    <xdr:row>0</xdr:row>
                    <xdr:rowOff>333375</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914400</xdr:colOff>
                    <xdr:row>0</xdr:row>
                    <xdr:rowOff>0</xdr:rowOff>
                  </from>
                  <to>
                    <xdr:col>18</xdr:col>
                    <xdr:colOff>238125</xdr:colOff>
                    <xdr:row>1</xdr:row>
                    <xdr:rowOff>19050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AB40C-3409-46A1-8278-0768890627B2}">
  <sheetPr codeName="Sheet28"/>
  <dimension ref="A1:AO47"/>
  <sheetViews>
    <sheetView workbookViewId="0">
      <pane xSplit="2" ySplit="2" topLeftCell="C17" activePane="bottomRight" state="frozen"/>
      <selection pane="topRight" activeCell="C1" sqref="C1"/>
      <selection pane="bottomLeft" activeCell="A3" sqref="A3"/>
      <selection pane="bottomRight" activeCell="B4" sqref="B4"/>
    </sheetView>
  </sheetViews>
  <sheetFormatPr defaultRowHeight="15" x14ac:dyDescent="0.25"/>
  <cols>
    <col min="1" max="1" width="23.85546875" style="30" bestFit="1" customWidth="1"/>
    <col min="2" max="2" width="53.140625" style="25" customWidth="1"/>
    <col min="3" max="9" width="11.28515625" customWidth="1"/>
    <col min="10" max="10" width="23.85546875" bestFit="1" customWidth="1"/>
    <col min="11" max="12" width="11.28515625" customWidth="1"/>
    <col min="13" max="14" width="17.7109375" customWidth="1"/>
    <col min="15" max="15" width="16.85546875" bestFit="1" customWidth="1"/>
    <col min="16" max="19" width="17.7109375" customWidth="1"/>
    <col min="20" max="20" width="11.28515625" customWidth="1"/>
    <col min="21" max="22" width="13.140625" bestFit="1" customWidth="1"/>
    <col min="23" max="24" width="18.140625" bestFit="1" customWidth="1"/>
    <col min="25" max="27" width="11.28515625" customWidth="1"/>
    <col min="28" max="28" width="11.7109375" bestFit="1" customWidth="1"/>
    <col min="29" max="29" width="12.85546875" bestFit="1" customWidth="1"/>
    <col min="30" max="31" width="14.28515625" bestFit="1" customWidth="1"/>
    <col min="32" max="36" width="11.28515625" customWidth="1"/>
    <col min="37" max="37" width="39.5703125" bestFit="1" customWidth="1"/>
    <col min="38" max="38" width="39.5703125" customWidth="1"/>
    <col min="39" max="39" width="29.28515625" bestFit="1" customWidth="1"/>
    <col min="40" max="41" width="17.85546875" bestFit="1" customWidth="1"/>
  </cols>
  <sheetData>
    <row r="1" spans="1:41" s="3" customFormat="1" ht="15.75" thickBot="1" x14ac:dyDescent="0.3">
      <c r="A1" s="30"/>
      <c r="B1" s="32"/>
      <c r="D1" s="3" t="s">
        <v>743</v>
      </c>
      <c r="E1" s="3" t="s">
        <v>746</v>
      </c>
      <c r="F1" s="3" t="s">
        <v>744</v>
      </c>
      <c r="G1" s="3" t="s">
        <v>747</v>
      </c>
      <c r="H1" s="3" t="s">
        <v>735</v>
      </c>
      <c r="I1" s="505" t="s">
        <v>834</v>
      </c>
      <c r="J1" s="506" t="s">
        <v>835</v>
      </c>
      <c r="K1" s="506" t="s">
        <v>836</v>
      </c>
      <c r="L1" s="507" t="s">
        <v>837</v>
      </c>
      <c r="M1" s="506" t="s">
        <v>838</v>
      </c>
      <c r="N1" s="503" t="s">
        <v>833</v>
      </c>
      <c r="O1" s="503" t="s">
        <v>839</v>
      </c>
      <c r="P1" s="506" t="s">
        <v>840</v>
      </c>
      <c r="Q1" s="506" t="s">
        <v>28</v>
      </c>
      <c r="R1" s="507" t="s">
        <v>659</v>
      </c>
      <c r="S1" s="503" t="s">
        <v>745</v>
      </c>
      <c r="T1" s="506" t="s">
        <v>751</v>
      </c>
      <c r="U1" s="506" t="s">
        <v>831</v>
      </c>
      <c r="V1" s="506" t="s">
        <v>830</v>
      </c>
      <c r="W1" s="506" t="s">
        <v>813</v>
      </c>
      <c r="X1" s="506" t="s">
        <v>812</v>
      </c>
      <c r="Y1" s="507" t="s">
        <v>814</v>
      </c>
      <c r="Z1" s="507" t="s">
        <v>815</v>
      </c>
      <c r="AA1" s="30" t="s">
        <v>779</v>
      </c>
      <c r="AB1" s="3" t="s">
        <v>820</v>
      </c>
      <c r="AC1" s="3" t="s">
        <v>821</v>
      </c>
      <c r="AD1" s="3" t="s">
        <v>818</v>
      </c>
      <c r="AE1" s="3" t="s">
        <v>819</v>
      </c>
      <c r="AF1" s="3" t="s">
        <v>748</v>
      </c>
      <c r="AG1" s="3" t="s">
        <v>749</v>
      </c>
      <c r="AH1" s="3" t="s">
        <v>696</v>
      </c>
      <c r="AI1" s="3" t="s">
        <v>750</v>
      </c>
      <c r="AJ1" s="3" t="s">
        <v>775</v>
      </c>
      <c r="AK1" s="30" t="s">
        <v>781</v>
      </c>
      <c r="AL1" s="30" t="s">
        <v>828</v>
      </c>
      <c r="AM1" s="30" t="s">
        <v>782</v>
      </c>
      <c r="AN1" s="30" t="s">
        <v>784</v>
      </c>
      <c r="AO1" s="30" t="s">
        <v>785</v>
      </c>
    </row>
    <row r="2" spans="1:41" x14ac:dyDescent="0.25">
      <c r="D2" t="str">
        <f>+B6</f>
        <v>Buy Your Home, LLC</v>
      </c>
      <c r="E2" t="str">
        <f>+B7</f>
        <v>Thomas Shorb</v>
      </c>
      <c r="F2" t="str">
        <f>+B8</f>
        <v>2325 Cool Springs Rd</v>
      </c>
      <c r="G2" t="str">
        <f>+B9</f>
        <v>Sanford, NC 27330</v>
      </c>
      <c r="H2" t="str">
        <f>+B10</f>
        <v>Lee</v>
      </c>
      <c r="I2">
        <f>+B11</f>
        <v>100</v>
      </c>
      <c r="J2" s="490">
        <f>+B12</f>
        <v>19900</v>
      </c>
      <c r="K2" s="14">
        <f>+B13</f>
        <v>275948.79999999999</v>
      </c>
      <c r="L2" s="490">
        <f>+B14</f>
        <v>295948.79999999999</v>
      </c>
      <c r="M2">
        <f>+B15</f>
        <v>2262.6000000000004</v>
      </c>
      <c r="N2" s="491">
        <f>+B28</f>
        <v>1746.44</v>
      </c>
      <c r="O2" s="491">
        <f>+B24</f>
        <v>1216.1400000000001</v>
      </c>
      <c r="P2" s="287">
        <f>+B16</f>
        <v>188.55</v>
      </c>
      <c r="Q2" s="287">
        <f>+B17</f>
        <v>134.16999999999999</v>
      </c>
      <c r="R2">
        <f>+B18</f>
        <v>0</v>
      </c>
      <c r="S2" s="341">
        <f>+B29</f>
        <v>2069.16</v>
      </c>
      <c r="T2" s="491" t="str">
        <f>+B19</f>
        <v>3.000%</v>
      </c>
      <c r="U2" s="491" t="str">
        <f>+B20</f>
        <v>3.350%</v>
      </c>
      <c r="V2" s="491" t="str">
        <f>+B21</f>
        <v>7.000%</v>
      </c>
      <c r="W2" s="341">
        <f>+B23</f>
        <v>1538.8600000000001</v>
      </c>
      <c r="X2" s="341">
        <f>+B29</f>
        <v>2069.16</v>
      </c>
      <c r="Y2">
        <f>+B30</f>
        <v>30</v>
      </c>
      <c r="Z2">
        <f>+B32</f>
        <v>300</v>
      </c>
      <c r="AA2">
        <f>+B31</f>
        <v>360</v>
      </c>
      <c r="AB2" s="492">
        <f>+B33</f>
        <v>45748</v>
      </c>
      <c r="AC2" s="492">
        <f>+B34</f>
        <v>47543</v>
      </c>
      <c r="AD2" s="492">
        <f>+B35</f>
        <v>47574</v>
      </c>
      <c r="AE2" s="492">
        <f>+B36</f>
        <v>56674</v>
      </c>
      <c r="AF2" t="str">
        <f>+B37</f>
        <v>2325 Cool Springs Rd Real Estate Trust dated Sept 5, 2024</v>
      </c>
      <c r="AG2" s="136" t="str">
        <f>+B38</f>
        <v>Sept 5,</v>
      </c>
      <c r="AH2">
        <f>+B39</f>
        <v>24</v>
      </c>
      <c r="AI2" t="str">
        <f>+B40</f>
        <v>Wes Browning</v>
      </c>
      <c r="AJ2">
        <f ca="1">+B41</f>
        <v>2026</v>
      </c>
      <c r="AK2" t="str">
        <f>+B43</f>
        <v>There is an existing Deed of Trust representing a lien on title recorded at Book 1643, Page 609, Lee County Register of Deeds from Evelyn Gonzalez to John F. Wible, PA, Trustee for Ameris Bank. This Deed of Trust was subject to pending foreclosure and has been reinstated.</v>
      </c>
      <c r="AL2" t="str">
        <f>+B45</f>
        <v>9634-60-6913-00</v>
      </c>
      <c r="AM2" t="str">
        <f>+B44</f>
        <v>0.469 Acres Cool Springs Rd Wst</v>
      </c>
      <c r="AN2" t="str">
        <f>+B46</f>
        <v>2901 Kendale Dr.</v>
      </c>
      <c r="AO2" t="str">
        <f>+B47</f>
        <v>Sanford, NC 27330</v>
      </c>
    </row>
    <row r="3" spans="1:41" x14ac:dyDescent="0.25">
      <c r="AI3" s="22"/>
      <c r="AJ3" s="15"/>
      <c r="AK3" s="22"/>
      <c r="AL3" s="22"/>
    </row>
    <row r="4" spans="1:41" x14ac:dyDescent="0.25">
      <c r="U4" s="491"/>
      <c r="V4" s="491"/>
      <c r="W4" s="491"/>
      <c r="AI4" s="22"/>
      <c r="AJ4" s="15"/>
    </row>
    <row r="5" spans="1:41" x14ac:dyDescent="0.25">
      <c r="AH5" s="22"/>
      <c r="AI5" s="15"/>
    </row>
    <row r="6" spans="1:41" x14ac:dyDescent="0.25">
      <c r="A6" s="30" t="s">
        <v>743</v>
      </c>
      <c r="B6" s="25" t="str">
        <f>+Profit!E1 &amp; " "&amp;Profit!F1</f>
        <v>Buy Your Home, LLC</v>
      </c>
      <c r="AH6" s="22"/>
      <c r="AI6" s="15"/>
    </row>
    <row r="7" spans="1:41" x14ac:dyDescent="0.25">
      <c r="A7" s="30" t="s">
        <v>746</v>
      </c>
      <c r="B7" s="25" t="str">
        <f>MOG!$B$3 &amp; " " &amp; MOG!$C$3 &amp; IF(+MOG!$C$4="",""," and " &amp; +MOG!$B$4 &amp; " " &amp;MOG!$C$4)</f>
        <v>Thomas Shorb</v>
      </c>
      <c r="AH7" s="22"/>
      <c r="AI7" s="15"/>
    </row>
    <row r="8" spans="1:41" x14ac:dyDescent="0.25">
      <c r="A8" s="30" t="s">
        <v>744</v>
      </c>
      <c r="B8" s="25" t="str">
        <f>+Profit!$B$2</f>
        <v>2325 Cool Springs Rd</v>
      </c>
      <c r="AH8" s="22"/>
      <c r="AI8" s="15"/>
    </row>
    <row r="9" spans="1:41" x14ac:dyDescent="0.25">
      <c r="A9" s="30" t="s">
        <v>747</v>
      </c>
      <c r="B9" s="25" t="str">
        <f>+Profit!$E$2</f>
        <v>Sanford, NC 27330</v>
      </c>
      <c r="AH9" s="22"/>
      <c r="AI9" s="15"/>
    </row>
    <row r="10" spans="1:41" ht="15.75" thickBot="1" x14ac:dyDescent="0.3">
      <c r="A10" s="30" t="s">
        <v>735</v>
      </c>
      <c r="B10" s="25" t="str">
        <f>+Profit!$G$2</f>
        <v>Lee</v>
      </c>
      <c r="AH10" s="22"/>
      <c r="AI10" s="15"/>
    </row>
    <row r="11" spans="1:41" x14ac:dyDescent="0.25">
      <c r="A11" s="502" t="s">
        <v>736</v>
      </c>
      <c r="B11" s="28">
        <v>100</v>
      </c>
      <c r="AI11" s="22"/>
      <c r="AJ11" s="15"/>
    </row>
    <row r="12" spans="1:41" x14ac:dyDescent="0.25">
      <c r="A12" s="503" t="s">
        <v>737</v>
      </c>
      <c r="B12" s="495">
        <f>+Amortization!$O$4-B11</f>
        <v>19900</v>
      </c>
      <c r="AI12" s="22"/>
      <c r="AJ12" s="15"/>
    </row>
    <row r="13" spans="1:41" x14ac:dyDescent="0.25">
      <c r="A13" s="503" t="s">
        <v>667</v>
      </c>
      <c r="B13" s="496">
        <f>+B14-SUM(B11:B12)</f>
        <v>275948.79999999999</v>
      </c>
      <c r="AI13" s="22"/>
      <c r="AJ13" s="15"/>
      <c r="AL13" s="30"/>
    </row>
    <row r="14" spans="1:41" ht="15.75" thickBot="1" x14ac:dyDescent="0.3">
      <c r="A14" s="504" t="s">
        <v>738</v>
      </c>
      <c r="B14" s="495">
        <f>+Amortization!AA3</f>
        <v>295948.79999999999</v>
      </c>
      <c r="AI14" s="22"/>
      <c r="AJ14" s="15"/>
    </row>
    <row r="15" spans="1:41" x14ac:dyDescent="0.25">
      <c r="A15" s="503" t="s">
        <v>739</v>
      </c>
      <c r="B15" s="25">
        <f>+B16*12</f>
        <v>2262.6000000000004</v>
      </c>
      <c r="AI15" s="22"/>
      <c r="AJ15" s="15"/>
    </row>
    <row r="16" spans="1:41" x14ac:dyDescent="0.25">
      <c r="A16" s="503" t="s">
        <v>740</v>
      </c>
      <c r="B16" s="497">
        <f>+Amortization!$T$9</f>
        <v>188.55</v>
      </c>
      <c r="AI16" s="22"/>
      <c r="AJ16" s="15"/>
    </row>
    <row r="17" spans="1:36" x14ac:dyDescent="0.25">
      <c r="A17" s="503" t="s">
        <v>741</v>
      </c>
      <c r="B17" s="497">
        <f>+Amortization!$T$8</f>
        <v>134.16999999999999</v>
      </c>
      <c r="AI17" s="22"/>
      <c r="AJ17" s="15"/>
    </row>
    <row r="18" spans="1:36" ht="15.75" thickBot="1" x14ac:dyDescent="0.3">
      <c r="A18" s="504" t="s">
        <v>742</v>
      </c>
      <c r="B18" s="25">
        <v>0</v>
      </c>
      <c r="AI18" s="22"/>
      <c r="AJ18" s="15"/>
    </row>
    <row r="19" spans="1:36" x14ac:dyDescent="0.25">
      <c r="A19" s="503" t="s">
        <v>751</v>
      </c>
      <c r="B19" s="498" t="str">
        <f>TEXT(Amortization!$C$3,"0.000%")</f>
        <v>3.000%</v>
      </c>
      <c r="AI19" s="22"/>
      <c r="AJ19" s="15"/>
    </row>
    <row r="20" spans="1:36" x14ac:dyDescent="0.25">
      <c r="A20" s="503" t="s">
        <v>831</v>
      </c>
      <c r="B20" s="498" t="str">
        <f>TEXT(+Amortization!AA8,"0.000%")</f>
        <v>3.350%</v>
      </c>
      <c r="AI20" s="22"/>
      <c r="AJ20" s="15"/>
    </row>
    <row r="21" spans="1:36" x14ac:dyDescent="0.25">
      <c r="A21" s="503" t="s">
        <v>830</v>
      </c>
      <c r="B21" s="498" t="str">
        <f>TEXT(Amortization!$O$6,"0.000%")</f>
        <v>7.000%</v>
      </c>
      <c r="AI21" s="22"/>
      <c r="AJ21" s="15"/>
    </row>
    <row r="22" spans="1:36" x14ac:dyDescent="0.25">
      <c r="A22" s="503" t="s">
        <v>739</v>
      </c>
      <c r="B22" s="25">
        <f>+B25*12</f>
        <v>2262.6000000000004</v>
      </c>
      <c r="AI22" s="22"/>
      <c r="AJ22" s="15"/>
    </row>
    <row r="23" spans="1:36" x14ac:dyDescent="0.25">
      <c r="A23" s="503" t="s">
        <v>813</v>
      </c>
      <c r="B23" s="499">
        <f>SUM(B24:B27)</f>
        <v>1538.8600000000001</v>
      </c>
      <c r="AI23" s="22"/>
      <c r="AJ23" s="15"/>
    </row>
    <row r="24" spans="1:36" x14ac:dyDescent="0.25">
      <c r="A24" s="503" t="s">
        <v>777</v>
      </c>
      <c r="B24" s="498">
        <f>+Amortization!Z8</f>
        <v>1216.1400000000001</v>
      </c>
      <c r="AI24" s="22"/>
      <c r="AJ24" s="15"/>
    </row>
    <row r="25" spans="1:36" x14ac:dyDescent="0.25">
      <c r="A25" s="503" t="s">
        <v>740</v>
      </c>
      <c r="B25" s="497">
        <f>+Amortization!$T$9</f>
        <v>188.55</v>
      </c>
      <c r="AI25" s="22"/>
      <c r="AJ25" s="15"/>
    </row>
    <row r="26" spans="1:36" x14ac:dyDescent="0.25">
      <c r="A26" s="503" t="s">
        <v>741</v>
      </c>
      <c r="B26" s="497">
        <f>+Amortization!$T$8</f>
        <v>134.16999999999999</v>
      </c>
      <c r="AI26" s="22"/>
      <c r="AJ26" s="15"/>
    </row>
    <row r="27" spans="1:36" x14ac:dyDescent="0.25">
      <c r="A27" s="503" t="s">
        <v>742</v>
      </c>
      <c r="B27" s="25">
        <v>0</v>
      </c>
      <c r="AI27" s="22"/>
      <c r="AJ27" s="15"/>
    </row>
    <row r="28" spans="1:36" ht="15.75" thickBot="1" x14ac:dyDescent="0.3">
      <c r="A28" s="504" t="s">
        <v>811</v>
      </c>
      <c r="B28" s="498">
        <f>+Amortization!Z9</f>
        <v>1746.44</v>
      </c>
      <c r="AI28" s="22"/>
      <c r="AJ28" s="15"/>
    </row>
    <row r="29" spans="1:36" x14ac:dyDescent="0.25">
      <c r="A29" s="503" t="s">
        <v>812</v>
      </c>
      <c r="B29" s="499">
        <f>SUM(B25:B28)</f>
        <v>2069.16</v>
      </c>
      <c r="AI29" s="22"/>
      <c r="AJ29" s="15"/>
    </row>
    <row r="30" spans="1:36" ht="15.75" thickBot="1" x14ac:dyDescent="0.3">
      <c r="A30" s="504" t="s">
        <v>778</v>
      </c>
      <c r="B30" s="28">
        <v>30</v>
      </c>
      <c r="AI30" s="22"/>
      <c r="AJ30" s="15"/>
    </row>
    <row r="31" spans="1:36" x14ac:dyDescent="0.25">
      <c r="A31" s="30" t="s">
        <v>817</v>
      </c>
      <c r="B31" s="28">
        <f>+B30*12</f>
        <v>360</v>
      </c>
      <c r="AI31" s="22"/>
      <c r="AJ31" s="15"/>
    </row>
    <row r="32" spans="1:36" x14ac:dyDescent="0.25">
      <c r="A32" s="30" t="s">
        <v>816</v>
      </c>
      <c r="B32" s="28">
        <f>+B31-60</f>
        <v>300</v>
      </c>
      <c r="AI32" s="22"/>
      <c r="AJ32" s="15"/>
    </row>
    <row r="33" spans="1:36" x14ac:dyDescent="0.25">
      <c r="A33" s="30" t="s">
        <v>820</v>
      </c>
      <c r="B33" s="508">
        <v>45748</v>
      </c>
      <c r="AI33" s="22"/>
      <c r="AJ33" s="15"/>
    </row>
    <row r="34" spans="1:36" x14ac:dyDescent="0.25">
      <c r="A34" s="30" t="s">
        <v>821</v>
      </c>
      <c r="B34" s="500">
        <f>+$B$33+(5*365)-DAY(+$B$33+(5*365))+1</f>
        <v>47543</v>
      </c>
      <c r="AI34" s="22"/>
      <c r="AJ34" s="15"/>
    </row>
    <row r="35" spans="1:36" x14ac:dyDescent="0.25">
      <c r="A35" s="30" t="s">
        <v>818</v>
      </c>
      <c r="B35" s="500">
        <f>+$B$33+(5*365)-DAY(+$B$33+(5*365))+32</f>
        <v>47574</v>
      </c>
      <c r="AI35" s="22"/>
      <c r="AJ35" s="15"/>
    </row>
    <row r="36" spans="1:36" x14ac:dyDescent="0.25">
      <c r="A36" s="30" t="s">
        <v>819</v>
      </c>
      <c r="B36" s="500">
        <f>+$B$33+($B$30*365)-DAY(+$B$33+($B$30*365))+1</f>
        <v>56674</v>
      </c>
      <c r="AI36" s="22"/>
      <c r="AJ36" s="15"/>
    </row>
    <row r="37" spans="1:36" x14ac:dyDescent="0.25">
      <c r="A37" s="30" t="s">
        <v>748</v>
      </c>
      <c r="B37" s="25" t="str">
        <f>+ B8 &amp; " Real Estate Trust dated " &amp; B38 &amp; " 20" &amp; B39</f>
        <v>2325 Cool Springs Rd Real Estate Trust dated Sept 5, 2024</v>
      </c>
      <c r="AI37" s="22"/>
      <c r="AJ37" s="15"/>
    </row>
    <row r="38" spans="1:36" x14ac:dyDescent="0.25">
      <c r="A38" s="30" t="s">
        <v>749</v>
      </c>
      <c r="B38" s="501" t="s">
        <v>774</v>
      </c>
    </row>
    <row r="39" spans="1:36" x14ac:dyDescent="0.25">
      <c r="A39" s="30" t="s">
        <v>696</v>
      </c>
      <c r="B39" s="25">
        <v>24</v>
      </c>
    </row>
    <row r="40" spans="1:36" x14ac:dyDescent="0.25">
      <c r="A40" s="30" t="s">
        <v>750</v>
      </c>
      <c r="B40" s="28" t="s">
        <v>773</v>
      </c>
    </row>
    <row r="41" spans="1:36" x14ac:dyDescent="0.25">
      <c r="A41" s="30" t="s">
        <v>775</v>
      </c>
      <c r="B41" s="32">
        <f ca="1">YEAR(NOW())</f>
        <v>2026</v>
      </c>
    </row>
    <row r="42" spans="1:36" x14ac:dyDescent="0.25">
      <c r="A42" s="30" t="s">
        <v>827</v>
      </c>
      <c r="B42" s="32"/>
    </row>
    <row r="43" spans="1:36" ht="15.75" x14ac:dyDescent="0.25">
      <c r="A43" s="30" t="s">
        <v>781</v>
      </c>
      <c r="B43" s="509" t="s">
        <v>780</v>
      </c>
    </row>
    <row r="44" spans="1:36" ht="15.75" x14ac:dyDescent="0.25">
      <c r="A44" s="30" t="s">
        <v>782</v>
      </c>
      <c r="B44" s="509" t="s">
        <v>783</v>
      </c>
    </row>
    <row r="45" spans="1:36" ht="15.75" x14ac:dyDescent="0.25">
      <c r="A45" s="30" t="s">
        <v>828</v>
      </c>
      <c r="B45" s="509" t="s">
        <v>829</v>
      </c>
    </row>
    <row r="46" spans="1:36" ht="15.75" x14ac:dyDescent="0.25">
      <c r="A46" s="30" t="s">
        <v>784</v>
      </c>
      <c r="B46" s="509" t="s">
        <v>786</v>
      </c>
    </row>
    <row r="47" spans="1:36" ht="15.75" x14ac:dyDescent="0.25">
      <c r="A47" s="30" t="s">
        <v>785</v>
      </c>
      <c r="B47" s="509" t="s">
        <v>768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C4" sqref="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18" t="s">
        <v>82</v>
      </c>
      <c r="D1" s="719"/>
      <c r="E1" s="687"/>
      <c r="I1" s="712"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20" t="s">
        <v>83</v>
      </c>
      <c r="K1" s="712" t="str">
        <f>+I1&amp;IF(N14="X",O14,"")&amp;"
"&amp; IF(H15="X",I15,"") &amp;"
"&amp; IF(H16="X",I16,"") &amp;"
"&amp; IF(H20="X",I20,"") &amp;"
"&amp; IF(H26="X",I26,"") &amp;"
"&amp; IF(H33="X",I33,"") &amp; "
"&amp; IF(H42="X",I42,"") &amp; "
"&amp; IF(H52="X",I52,"") &amp; "
"&amp; IF(H61="X",I61,"") &amp; "
"&amp; IF(H74="X",I74,"") &amp; "
"&amp; IF(H81="X",I81,"") &amp; "
"&amp; IF(H82="X",I82,"") &amp; "
"&amp; ""</f>
        <v xml:space="preserve">Hi Thomas,
Thank you for the opportunity to make an offer on your property at 2325 Cool Springs Rd.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$10,000.00
                                Total Value:                      $10,000.00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
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87"/>
      <c r="J2" s="720"/>
      <c r="K2" s="712"/>
    </row>
    <row r="3" spans="1:11" ht="16.5" customHeight="1" x14ac:dyDescent="0.25">
      <c r="A3" t="s">
        <v>84</v>
      </c>
      <c r="B3" s="239" t="s">
        <v>770</v>
      </c>
      <c r="C3" s="238" t="s">
        <v>771</v>
      </c>
      <c r="D3" s="22"/>
      <c r="I3" s="687"/>
      <c r="J3" s="232"/>
      <c r="K3" s="712"/>
    </row>
    <row r="4" spans="1:11" x14ac:dyDescent="0.25">
      <c r="A4" t="s">
        <v>85</v>
      </c>
      <c r="B4" s="237"/>
      <c r="C4" s="240"/>
      <c r="D4" s="22"/>
      <c r="I4" s="687"/>
      <c r="K4" s="712"/>
    </row>
    <row r="5" spans="1:11" ht="16.5" x14ac:dyDescent="0.3">
      <c r="A5" t="s">
        <v>86</v>
      </c>
      <c r="B5" s="227"/>
      <c r="C5" s="228"/>
      <c r="D5" s="22"/>
      <c r="I5" s="687"/>
      <c r="K5" s="712"/>
    </row>
    <row r="6" spans="1:11" ht="15" customHeight="1" thickBot="1" x14ac:dyDescent="0.3">
      <c r="A6" t="s">
        <v>87</v>
      </c>
      <c r="B6" s="229"/>
      <c r="C6" s="230"/>
      <c r="D6" s="22"/>
      <c r="I6" s="687"/>
      <c r="K6" s="712"/>
    </row>
    <row r="7" spans="1:11" x14ac:dyDescent="0.25">
      <c r="I7" s="687"/>
      <c r="K7" s="712"/>
    </row>
    <row r="8" spans="1:11" x14ac:dyDescent="0.25">
      <c r="I8" s="687"/>
      <c r="K8" s="712"/>
    </row>
    <row r="9" spans="1:11" x14ac:dyDescent="0.25">
      <c r="A9" s="15" t="s">
        <v>88</v>
      </c>
      <c r="B9" s="15" t="s">
        <v>89</v>
      </c>
      <c r="C9" s="15"/>
      <c r="I9" s="687"/>
      <c r="K9" s="712"/>
    </row>
    <row r="10" spans="1:11" x14ac:dyDescent="0.25">
      <c r="B10" s="721" t="s">
        <v>90</v>
      </c>
      <c r="C10" s="722"/>
      <c r="D10" s="722"/>
      <c r="E10" s="722"/>
      <c r="F10" s="722"/>
      <c r="G10" s="722"/>
      <c r="I10" s="687"/>
      <c r="K10" s="712"/>
    </row>
    <row r="11" spans="1:11" x14ac:dyDescent="0.25">
      <c r="B11" s="687"/>
      <c r="C11" s="687"/>
      <c r="D11" s="687"/>
      <c r="E11" s="687"/>
      <c r="F11" s="687"/>
      <c r="G11" s="687"/>
      <c r="I11" s="687"/>
      <c r="K11" s="712"/>
    </row>
    <row r="12" spans="1:11" x14ac:dyDescent="0.25">
      <c r="F12" s="711" t="s">
        <v>91</v>
      </c>
      <c r="I12" s="687"/>
      <c r="K12" s="712"/>
    </row>
    <row r="13" spans="1:11" ht="15.75" thickBot="1" x14ac:dyDescent="0.3">
      <c r="B13" s="31" t="s">
        <v>92</v>
      </c>
      <c r="C13" s="225" t="s">
        <v>93</v>
      </c>
      <c r="D13" s="31" t="s">
        <v>94</v>
      </c>
      <c r="E13" s="31"/>
      <c r="F13" s="559"/>
      <c r="G13" s="31" t="s">
        <v>95</v>
      </c>
      <c r="I13" s="687"/>
      <c r="K13" s="712"/>
    </row>
    <row r="14" spans="1:11" ht="16.5" thickTop="1" thickBot="1" x14ac:dyDescent="0.3">
      <c r="B14" s="236">
        <f>+D14+F14</f>
        <v>203823.02</v>
      </c>
      <c r="C14" s="1">
        <f>+Profit!B4</f>
        <v>239000</v>
      </c>
      <c r="D14" s="1">
        <f>+Profit!K47-Profit!C20</f>
        <v>194823.02</v>
      </c>
      <c r="F14" s="235">
        <f>+B24-(B24*F16)</f>
        <v>9000</v>
      </c>
      <c r="G14" s="201">
        <f ca="1">+C14-D14-F14+Profit!D54+Profit!C20</f>
        <v>-203737.44944301067</v>
      </c>
      <c r="I14" s="687"/>
      <c r="K14" s="712"/>
    </row>
    <row r="15" spans="1:11" ht="16.5" thickTop="1" thickBot="1" x14ac:dyDescent="0.3">
      <c r="C15" s="196"/>
      <c r="D15" s="197" t="s">
        <v>96</v>
      </c>
      <c r="E15" s="198">
        <f ca="1">+Profit!$K$49</f>
        <v>49655.429443010667</v>
      </c>
      <c r="H15" s="226"/>
      <c r="K15" s="712"/>
    </row>
    <row r="16" spans="1:11" ht="16.5" thickTop="1" thickBot="1" x14ac:dyDescent="0.3">
      <c r="C16" s="196"/>
      <c r="D16" s="199" t="s">
        <v>97</v>
      </c>
      <c r="E16" s="200">
        <f ca="1">+G14/E15</f>
        <v>-4.1030246184224284</v>
      </c>
      <c r="F16" s="234">
        <v>0.1</v>
      </c>
      <c r="H16" s="226" t="s">
        <v>98</v>
      </c>
      <c r="I16" s="712"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12"/>
    </row>
    <row r="17" spans="1:13" ht="15.75" thickTop="1" x14ac:dyDescent="0.25">
      <c r="C17" s="196"/>
      <c r="D17" s="199" t="s">
        <v>99</v>
      </c>
      <c r="E17" s="200">
        <f ca="1">+G14/(F14+G14)</f>
        <v>1.0462160720793143</v>
      </c>
      <c r="F17" t="s">
        <v>100</v>
      </c>
      <c r="I17" s="712"/>
      <c r="K17" s="712"/>
    </row>
    <row r="18" spans="1:13" x14ac:dyDescent="0.25">
      <c r="I18" s="712"/>
      <c r="K18" s="712"/>
    </row>
    <row r="19" spans="1:13" ht="15.75" thickBot="1" x14ac:dyDescent="0.3">
      <c r="A19" s="15" t="s">
        <v>101</v>
      </c>
      <c r="B19" s="15" t="s">
        <v>102</v>
      </c>
      <c r="D19" s="15" t="s">
        <v>103</v>
      </c>
      <c r="H19">
        <f>IF(H20="X",1,0)</f>
        <v>0</v>
      </c>
      <c r="K19" s="712"/>
    </row>
    <row r="20" spans="1:13" ht="15" customHeight="1" thickTop="1" thickBot="1" x14ac:dyDescent="0.3">
      <c r="B20" t="s">
        <v>104</v>
      </c>
      <c r="H20" s="226"/>
      <c r="I20" s="712"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$203,823.02
                                Total Value:                     $9,000.00</v>
      </c>
      <c r="K20" s="712"/>
    </row>
    <row r="21" spans="1:13" ht="15.75" thickTop="1" x14ac:dyDescent="0.25">
      <c r="B21" t="s">
        <v>105</v>
      </c>
      <c r="I21" s="712"/>
      <c r="J21" s="223"/>
      <c r="K21" s="712"/>
      <c r="L21" s="222"/>
      <c r="M21" s="222"/>
    </row>
    <row r="22" spans="1:13" ht="30" x14ac:dyDescent="0.25">
      <c r="F22" s="62" t="s">
        <v>106</v>
      </c>
      <c r="I22" s="712"/>
      <c r="J22" s="222"/>
      <c r="K22" s="712"/>
      <c r="L22" s="222"/>
      <c r="M22" s="222"/>
    </row>
    <row r="23" spans="1:13" ht="15.75" thickBot="1" x14ac:dyDescent="0.3">
      <c r="B23" s="31" t="s">
        <v>107</v>
      </c>
      <c r="C23" s="714"/>
      <c r="D23" s="715"/>
      <c r="E23" s="715"/>
      <c r="F23" s="715"/>
      <c r="G23" s="31" t="s">
        <v>95</v>
      </c>
      <c r="I23" s="713"/>
      <c r="J23" s="222"/>
      <c r="K23" s="712"/>
      <c r="L23" s="222"/>
      <c r="M23" s="222"/>
    </row>
    <row r="24" spans="1:13" ht="16.5" thickTop="1" thickBot="1" x14ac:dyDescent="0.3">
      <c r="B24" s="233">
        <f>+SUM(Profit!C19:'Profit'!C20)</f>
        <v>10000</v>
      </c>
      <c r="C24" s="716" t="s">
        <v>108</v>
      </c>
      <c r="D24" s="717"/>
      <c r="E24" s="717"/>
      <c r="F24" s="10">
        <f>+B24</f>
        <v>10000</v>
      </c>
      <c r="G24" s="201">
        <f ca="1">+Profit!K62</f>
        <v>68361.07707344096</v>
      </c>
      <c r="I24" s="687"/>
      <c r="K24" s="712"/>
    </row>
    <row r="25" spans="1:13" ht="15.4" customHeight="1" thickTop="1" thickBot="1" x14ac:dyDescent="0.3">
      <c r="C25" s="196"/>
      <c r="D25" s="197" t="s">
        <v>96</v>
      </c>
      <c r="E25" s="198">
        <f ca="1">+Profit!$K$49</f>
        <v>49655.429443010667</v>
      </c>
      <c r="H25">
        <f>IF(H26="X",1+H19,H19)</f>
        <v>1</v>
      </c>
      <c r="K25" s="712"/>
    </row>
    <row r="26" spans="1:13" ht="15" customHeight="1" thickTop="1" thickBot="1" x14ac:dyDescent="0.3">
      <c r="C26" s="196"/>
      <c r="D26" s="199" t="s">
        <v>97</v>
      </c>
      <c r="E26" s="200">
        <f ca="1">+G24/E25</f>
        <v>1.3767090092715579</v>
      </c>
      <c r="H26" s="226" t="s">
        <v>109</v>
      </c>
      <c r="I26" s="712"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$10,000.00
                                Total Value:                      $10,000.00</v>
      </c>
      <c r="K26" s="712"/>
    </row>
    <row r="27" spans="1:13" ht="15" customHeight="1" thickTop="1" x14ac:dyDescent="0.25">
      <c r="C27" s="196"/>
      <c r="D27" s="199" t="s">
        <v>99</v>
      </c>
      <c r="E27" s="200">
        <f ca="1">+G24/(F24+G24)</f>
        <v>0.8723856234055094</v>
      </c>
      <c r="I27" s="712"/>
      <c r="K27" s="712"/>
    </row>
    <row r="28" spans="1:13" ht="15" customHeight="1" x14ac:dyDescent="0.25">
      <c r="I28" s="712"/>
      <c r="K28" s="712"/>
    </row>
    <row r="29" spans="1:13" x14ac:dyDescent="0.25">
      <c r="A29" s="15"/>
      <c r="B29" s="15"/>
      <c r="I29" s="713"/>
      <c r="K29" s="712"/>
    </row>
    <row r="30" spans="1:13" x14ac:dyDescent="0.25">
      <c r="A30" s="15" t="s">
        <v>110</v>
      </c>
      <c r="B30" s="15" t="s">
        <v>111</v>
      </c>
      <c r="D30" t="s">
        <v>112</v>
      </c>
      <c r="I30" s="687"/>
      <c r="K30" s="712"/>
    </row>
    <row r="31" spans="1:13" ht="25.5" x14ac:dyDescent="0.25">
      <c r="B31" t="s">
        <v>104</v>
      </c>
      <c r="I31" s="223"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12"/>
    </row>
    <row r="32" spans="1:13" ht="15.75" thickBot="1" x14ac:dyDescent="0.3">
      <c r="B32" t="s">
        <v>105</v>
      </c>
      <c r="H32">
        <f>IF(H33="X",H25+1,H25)</f>
        <v>2</v>
      </c>
      <c r="K32" s="712"/>
    </row>
    <row r="33" spans="1:13" ht="15" customHeight="1" thickTop="1" thickBot="1" x14ac:dyDescent="0.3">
      <c r="H33" s="226" t="s">
        <v>109</v>
      </c>
      <c r="I33" s="712"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$3,400.00
                        12 Month Note:                        $17,000.00
                         Interest Earned:                         $3,400.00            $56.67 per month
                                Total Value:                    $23,800.00</v>
      </c>
      <c r="K33" s="712"/>
    </row>
    <row r="34" spans="1:13" ht="16.5" thickTop="1" thickBot="1" x14ac:dyDescent="0.3">
      <c r="C34" s="2" t="s">
        <v>113</v>
      </c>
      <c r="D34" s="3" t="s">
        <v>114</v>
      </c>
      <c r="F34" s="3" t="s">
        <v>115</v>
      </c>
      <c r="I34" s="712"/>
      <c r="K34" s="712"/>
    </row>
    <row r="35" spans="1:13" ht="16.5" thickTop="1" thickBot="1" x14ac:dyDescent="0.3">
      <c r="B35" s="231" t="s">
        <v>116</v>
      </c>
      <c r="C35" s="204">
        <v>10400</v>
      </c>
      <c r="D35" s="195">
        <v>60</v>
      </c>
      <c r="F35" s="711" t="s">
        <v>106</v>
      </c>
      <c r="I35" s="712"/>
      <c r="K35" s="712"/>
    </row>
    <row r="36" spans="1:13" ht="16.5" thickTop="1" thickBot="1" x14ac:dyDescent="0.3">
      <c r="B36" s="31" t="s">
        <v>117</v>
      </c>
      <c r="C36" s="31" t="s">
        <v>118</v>
      </c>
      <c r="D36" s="31" t="s">
        <v>119</v>
      </c>
      <c r="E36" s="31" t="s">
        <v>120</v>
      </c>
      <c r="F36" s="559"/>
      <c r="G36" s="31" t="s">
        <v>95</v>
      </c>
      <c r="I36" s="712"/>
      <c r="K36" s="712"/>
    </row>
    <row r="37" spans="1:13" ht="16.5" thickTop="1" thickBot="1" x14ac:dyDescent="0.3">
      <c r="B37" s="10">
        <f>+SUM(Profit!C19:'Profit'!C20)*B38</f>
        <v>3400.0000000000005</v>
      </c>
      <c r="C37" s="10">
        <f>+SUM(Profit!C19:'Profit'!C20)-B37+C35</f>
        <v>17000</v>
      </c>
      <c r="D37" s="10">
        <f>+C37*D35/12*E37</f>
        <v>3400</v>
      </c>
      <c r="E37" s="206">
        <v>0.04</v>
      </c>
      <c r="F37" s="10">
        <f>+SUM(B37:D37)</f>
        <v>23800</v>
      </c>
      <c r="G37" s="201">
        <f ca="1">+Profit!$K$62-D37-C35</f>
        <v>54561.07707344096</v>
      </c>
      <c r="I37" s="712"/>
      <c r="K37" s="712"/>
    </row>
    <row r="38" spans="1:13" ht="16.5" thickTop="1" thickBot="1" x14ac:dyDescent="0.3">
      <c r="B38" s="206">
        <v>0.34</v>
      </c>
      <c r="C38" s="221">
        <f>1-B38</f>
        <v>0.65999999999999992</v>
      </c>
      <c r="D38" s="10"/>
      <c r="E38" s="37"/>
      <c r="F38" s="10"/>
      <c r="G38" s="10"/>
      <c r="I38" s="712"/>
      <c r="K38" s="712"/>
    </row>
    <row r="39" spans="1:13" ht="15.4" customHeight="1" thickTop="1" x14ac:dyDescent="0.25">
      <c r="B39" s="10"/>
      <c r="C39" s="201"/>
      <c r="D39" s="197" t="s">
        <v>96</v>
      </c>
      <c r="E39" s="198">
        <f ca="1">+Profit!$K$49-C37+C35</f>
        <v>43055.429443010667</v>
      </c>
      <c r="F39" s="10"/>
      <c r="G39" s="10"/>
      <c r="I39" s="712"/>
      <c r="K39" s="712"/>
    </row>
    <row r="40" spans="1:13" x14ac:dyDescent="0.25">
      <c r="C40" s="196"/>
      <c r="D40" s="199" t="s">
        <v>97</v>
      </c>
      <c r="E40" s="200">
        <f ca="1">+G37/E39</f>
        <v>1.2672287276952952</v>
      </c>
      <c r="I40" s="712"/>
      <c r="K40" s="712"/>
    </row>
    <row r="41" spans="1:13" ht="15" customHeight="1" thickBot="1" x14ac:dyDescent="0.3">
      <c r="C41" s="196"/>
      <c r="D41" s="199" t="s">
        <v>99</v>
      </c>
      <c r="E41" s="200">
        <f ca="1">+G37/(F37+G37)</f>
        <v>0.69627778370511229</v>
      </c>
      <c r="H41">
        <f>IF(H42="X",H32+1,H32)</f>
        <v>2</v>
      </c>
      <c r="K41" s="712"/>
    </row>
    <row r="42" spans="1:13" ht="16.5" thickTop="1" thickBot="1" x14ac:dyDescent="0.3">
      <c r="A42" s="15" t="s">
        <v>121</v>
      </c>
      <c r="B42" s="15" t="s">
        <v>122</v>
      </c>
      <c r="H42" s="226"/>
      <c r="I42" s="712" t="str">
        <f ca="1">"Option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$62,909.75   *    Expected 3% appreciation per year
                          Expected Value:                    $72,909.75    ** After 60 months.</v>
      </c>
      <c r="K42" s="712"/>
    </row>
    <row r="43" spans="1:13" ht="15.75" thickTop="1" x14ac:dyDescent="0.25">
      <c r="B43" t="s">
        <v>104</v>
      </c>
      <c r="I43" s="712"/>
      <c r="K43" s="687"/>
      <c r="M43" s="208"/>
    </row>
    <row r="44" spans="1:13" x14ac:dyDescent="0.25">
      <c r="B44" t="s">
        <v>105</v>
      </c>
      <c r="I44" s="712"/>
      <c r="K44" s="687"/>
    </row>
    <row r="45" spans="1:13" ht="15" customHeight="1" x14ac:dyDescent="0.25">
      <c r="B45" t="s">
        <v>123</v>
      </c>
      <c r="I45" s="712"/>
      <c r="K45" s="687"/>
    </row>
    <row r="46" spans="1:13" x14ac:dyDescent="0.25">
      <c r="B46" t="s">
        <v>124</v>
      </c>
      <c r="I46" s="712"/>
      <c r="K46" s="687"/>
    </row>
    <row r="47" spans="1:13" x14ac:dyDescent="0.25">
      <c r="F47" s="3" t="s">
        <v>125</v>
      </c>
      <c r="I47" s="712"/>
      <c r="K47" s="687"/>
    </row>
    <row r="48" spans="1:13" x14ac:dyDescent="0.25">
      <c r="C48" s="711" t="s">
        <v>126</v>
      </c>
      <c r="D48" s="711" t="s">
        <v>127</v>
      </c>
      <c r="E48" s="711" t="s">
        <v>128</v>
      </c>
      <c r="F48" s="711" t="s">
        <v>106</v>
      </c>
      <c r="I48" s="712"/>
      <c r="K48" s="687"/>
    </row>
    <row r="49" spans="1:11" ht="15.75" thickBot="1" x14ac:dyDescent="0.3">
      <c r="B49" s="3" t="s">
        <v>117</v>
      </c>
      <c r="C49" s="559" t="s">
        <v>126</v>
      </c>
      <c r="D49" s="559" t="s">
        <v>127</v>
      </c>
      <c r="E49" s="559" t="s">
        <v>129</v>
      </c>
      <c r="F49" s="559"/>
      <c r="G49" s="31" t="s">
        <v>95</v>
      </c>
      <c r="I49" s="712"/>
      <c r="K49" s="687"/>
    </row>
    <row r="50" spans="1:11" ht="16.5" thickTop="1" thickBot="1" x14ac:dyDescent="0.3">
      <c r="B50" s="204">
        <v>10000</v>
      </c>
      <c r="C50" s="8">
        <f ca="1">+Profit!$K$62+Profit!C20-B50+(Profit!K7*Profit!C50/12*Profit!B4)</f>
        <v>89871.07707344096</v>
      </c>
      <c r="D50" s="194">
        <v>0.7</v>
      </c>
      <c r="E50" s="10">
        <f ca="1">+D50*C50</f>
        <v>62909.753951408667</v>
      </c>
      <c r="F50" s="10">
        <f ca="1">+B50+E50</f>
        <v>72909.753951408667</v>
      </c>
      <c r="G50" s="201">
        <f ca="1">(1-D50)*C50</f>
        <v>26961.323122032292</v>
      </c>
      <c r="I50" s="712"/>
      <c r="K50" s="687"/>
    </row>
    <row r="51" spans="1:11" ht="15.75" thickTop="1" x14ac:dyDescent="0.25">
      <c r="D51" s="15" t="s">
        <v>130</v>
      </c>
      <c r="I51" s="224"/>
      <c r="K51" s="687"/>
    </row>
    <row r="52" spans="1:11" x14ac:dyDescent="0.25">
      <c r="C52" s="196"/>
      <c r="D52" s="197" t="s">
        <v>96</v>
      </c>
      <c r="E52" s="198">
        <f ca="1">+Profit!$K$49-B24+B50</f>
        <v>49655.429443010667</v>
      </c>
      <c r="H52" t="s">
        <v>98</v>
      </c>
      <c r="I52" s="712"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Thomas,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87"/>
    </row>
    <row r="53" spans="1:11" ht="15" customHeight="1" x14ac:dyDescent="0.25">
      <c r="C53" s="196"/>
      <c r="D53" s="199" t="s">
        <v>97</v>
      </c>
      <c r="E53" s="200">
        <f ca="1">+G50/E52</f>
        <v>0.54296828009464082</v>
      </c>
      <c r="I53" s="687"/>
      <c r="K53" s="687"/>
    </row>
    <row r="54" spans="1:11" x14ac:dyDescent="0.25">
      <c r="C54" s="196"/>
      <c r="D54" s="199" t="s">
        <v>99</v>
      </c>
      <c r="E54" s="200">
        <f ca="1">+G50/(F50+G50)</f>
        <v>0.26996127319430108</v>
      </c>
      <c r="I54" s="687"/>
      <c r="K54" s="687"/>
    </row>
    <row r="55" spans="1:11" ht="15" customHeight="1" x14ac:dyDescent="0.25">
      <c r="I55" s="687"/>
      <c r="K55" s="687"/>
    </row>
    <row r="56" spans="1:11" ht="15.75" thickBot="1" x14ac:dyDescent="0.3">
      <c r="B56" s="15" t="s">
        <v>131</v>
      </c>
      <c r="D56" t="s">
        <v>132</v>
      </c>
      <c r="I56" s="687"/>
      <c r="K56" s="687"/>
    </row>
    <row r="57" spans="1:11" x14ac:dyDescent="0.25">
      <c r="A57" s="702"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03"/>
      <c r="C57" s="703"/>
      <c r="D57" s="703"/>
      <c r="E57" s="703"/>
      <c r="F57" s="703"/>
      <c r="G57" s="704"/>
      <c r="I57" s="687"/>
      <c r="K57" s="687"/>
    </row>
    <row r="58" spans="1:11" x14ac:dyDescent="0.25">
      <c r="A58" s="705"/>
      <c r="B58" s="706"/>
      <c r="C58" s="706"/>
      <c r="D58" s="706"/>
      <c r="E58" s="706"/>
      <c r="F58" s="706"/>
      <c r="G58" s="707"/>
      <c r="I58" s="687"/>
      <c r="K58" s="687"/>
    </row>
    <row r="59" spans="1:11" x14ac:dyDescent="0.25">
      <c r="A59" s="705"/>
      <c r="B59" s="706"/>
      <c r="C59" s="706"/>
      <c r="D59" s="706"/>
      <c r="E59" s="706"/>
      <c r="F59" s="706"/>
      <c r="G59" s="707"/>
      <c r="K59" s="687"/>
    </row>
    <row r="60" spans="1:11" x14ac:dyDescent="0.25">
      <c r="A60" s="705"/>
      <c r="B60" s="706"/>
      <c r="C60" s="706"/>
      <c r="D60" s="706"/>
      <c r="E60" s="706"/>
      <c r="F60" s="706"/>
      <c r="G60" s="707"/>
      <c r="K60" s="687"/>
    </row>
    <row r="61" spans="1:11" x14ac:dyDescent="0.25">
      <c r="A61" s="705"/>
      <c r="B61" s="706"/>
      <c r="C61" s="706"/>
      <c r="D61" s="706"/>
      <c r="E61" s="706"/>
      <c r="F61" s="706"/>
      <c r="G61" s="707"/>
      <c r="H61" t="s">
        <v>98</v>
      </c>
      <c r="I61" s="712" t="str">
        <f>A57</f>
        <v xml:space="preserve">This offer is based on Zillow's Zestimate of $239,000.00.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87"/>
    </row>
    <row r="62" spans="1:11" x14ac:dyDescent="0.25">
      <c r="A62" s="705"/>
      <c r="B62" s="706"/>
      <c r="C62" s="706"/>
      <c r="D62" s="706"/>
      <c r="E62" s="706"/>
      <c r="F62" s="706"/>
      <c r="G62" s="707"/>
      <c r="I62" s="687"/>
      <c r="K62" s="687"/>
    </row>
    <row r="63" spans="1:11" x14ac:dyDescent="0.25">
      <c r="A63" s="705"/>
      <c r="B63" s="706"/>
      <c r="C63" s="706"/>
      <c r="D63" s="706"/>
      <c r="E63" s="706"/>
      <c r="F63" s="706"/>
      <c r="G63" s="707"/>
      <c r="I63" s="687"/>
      <c r="K63" s="687"/>
    </row>
    <row r="64" spans="1:11" x14ac:dyDescent="0.25">
      <c r="A64" s="705"/>
      <c r="B64" s="706"/>
      <c r="C64" s="706"/>
      <c r="D64" s="706"/>
      <c r="E64" s="706"/>
      <c r="F64" s="706"/>
      <c r="G64" s="707"/>
      <c r="I64" s="687"/>
      <c r="K64" s="687"/>
    </row>
    <row r="65" spans="1:11" x14ac:dyDescent="0.25">
      <c r="A65" s="705"/>
      <c r="B65" s="706"/>
      <c r="C65" s="706"/>
      <c r="D65" s="706"/>
      <c r="E65" s="706"/>
      <c r="F65" s="706"/>
      <c r="G65" s="707"/>
      <c r="I65" s="687"/>
      <c r="K65" s="687"/>
    </row>
    <row r="66" spans="1:11" x14ac:dyDescent="0.25">
      <c r="A66" s="705"/>
      <c r="B66" s="706"/>
      <c r="C66" s="706"/>
      <c r="D66" s="706"/>
      <c r="E66" s="706"/>
      <c r="F66" s="706"/>
      <c r="G66" s="707"/>
      <c r="I66" s="687"/>
      <c r="K66" s="687"/>
    </row>
    <row r="67" spans="1:11" x14ac:dyDescent="0.25">
      <c r="A67" s="705"/>
      <c r="B67" s="706"/>
      <c r="C67" s="706"/>
      <c r="D67" s="706"/>
      <c r="E67" s="706"/>
      <c r="F67" s="706"/>
      <c r="G67" s="707"/>
      <c r="I67" s="687"/>
      <c r="K67" s="687"/>
    </row>
    <row r="68" spans="1:11" x14ac:dyDescent="0.25">
      <c r="A68" s="705"/>
      <c r="B68" s="706"/>
      <c r="C68" s="706"/>
      <c r="D68" s="706"/>
      <c r="E68" s="706"/>
      <c r="F68" s="706"/>
      <c r="G68" s="707"/>
      <c r="I68" s="687"/>
    </row>
    <row r="69" spans="1:11" x14ac:dyDescent="0.25">
      <c r="A69" s="705"/>
      <c r="B69" s="706"/>
      <c r="C69" s="706"/>
      <c r="D69" s="706"/>
      <c r="E69" s="706"/>
      <c r="F69" s="706"/>
      <c r="G69" s="707"/>
      <c r="I69" s="687"/>
    </row>
    <row r="70" spans="1:11" x14ac:dyDescent="0.25">
      <c r="A70" s="705"/>
      <c r="B70" s="706"/>
      <c r="C70" s="706"/>
      <c r="D70" s="706"/>
      <c r="E70" s="706"/>
      <c r="F70" s="706"/>
      <c r="G70" s="707"/>
      <c r="I70" s="687"/>
    </row>
    <row r="71" spans="1:11" x14ac:dyDescent="0.25">
      <c r="A71" s="705"/>
      <c r="B71" s="706"/>
      <c r="C71" s="706"/>
      <c r="D71" s="706"/>
      <c r="E71" s="706"/>
      <c r="F71" s="706"/>
      <c r="G71" s="707"/>
      <c r="I71" s="687"/>
    </row>
    <row r="72" spans="1:11" x14ac:dyDescent="0.25">
      <c r="A72" s="705"/>
      <c r="B72" s="706"/>
      <c r="C72" s="706"/>
      <c r="D72" s="706"/>
      <c r="E72" s="706"/>
      <c r="F72" s="706"/>
      <c r="G72" s="707"/>
      <c r="I72" s="687"/>
    </row>
    <row r="73" spans="1:11" x14ac:dyDescent="0.25">
      <c r="A73" s="705"/>
      <c r="B73" s="706"/>
      <c r="C73" s="706"/>
      <c r="D73" s="706"/>
      <c r="E73" s="706"/>
      <c r="F73" s="706"/>
      <c r="G73" s="707"/>
    </row>
    <row r="74" spans="1:11" x14ac:dyDescent="0.25">
      <c r="A74" s="705"/>
      <c r="B74" s="706"/>
      <c r="C74" s="706"/>
      <c r="D74" s="706"/>
      <c r="E74" s="706"/>
      <c r="F74" s="706"/>
      <c r="G74" s="707"/>
      <c r="H74" t="s">
        <v>98</v>
      </c>
      <c r="I74" s="207" t="str">
        <f>"Sincerely,
Wes Browning"</f>
        <v>Sincerely,
Wes Browning</v>
      </c>
    </row>
    <row r="75" spans="1:11" ht="15" customHeight="1" x14ac:dyDescent="0.25">
      <c r="A75" s="705"/>
      <c r="B75" s="706"/>
      <c r="C75" s="706"/>
      <c r="D75" s="706"/>
      <c r="E75" s="706"/>
      <c r="F75" s="706"/>
      <c r="G75" s="707"/>
      <c r="I75" s="207"/>
    </row>
    <row r="76" spans="1:11" x14ac:dyDescent="0.25">
      <c r="A76" s="705"/>
      <c r="B76" s="706"/>
      <c r="C76" s="706"/>
      <c r="D76" s="706"/>
      <c r="E76" s="706"/>
      <c r="F76" s="706"/>
      <c r="G76" s="707"/>
      <c r="I76" s="207"/>
    </row>
    <row r="77" spans="1:11" x14ac:dyDescent="0.25">
      <c r="A77" s="705"/>
      <c r="B77" s="706"/>
      <c r="C77" s="706"/>
      <c r="D77" s="706"/>
      <c r="E77" s="706"/>
      <c r="F77" s="706"/>
      <c r="G77" s="707"/>
    </row>
    <row r="78" spans="1:11" x14ac:dyDescent="0.25">
      <c r="A78" s="705"/>
      <c r="B78" s="706"/>
      <c r="C78" s="706"/>
      <c r="D78" s="706"/>
      <c r="E78" s="706"/>
      <c r="F78" s="706"/>
      <c r="G78" s="707"/>
    </row>
    <row r="79" spans="1:11" ht="15.75" thickBot="1" x14ac:dyDescent="0.3">
      <c r="A79" s="708"/>
      <c r="B79" s="709"/>
      <c r="C79" s="709"/>
      <c r="D79" s="709"/>
      <c r="E79" s="709"/>
      <c r="F79" s="709"/>
      <c r="G79" s="710"/>
    </row>
    <row r="80" spans="1:11" x14ac:dyDescent="0.25">
      <c r="A80" s="207"/>
      <c r="B80" s="207"/>
      <c r="C80" s="207"/>
      <c r="D80" s="207"/>
      <c r="E80" s="207"/>
      <c r="F80" s="207"/>
      <c r="G80" s="207"/>
    </row>
    <row r="81" spans="1:9" x14ac:dyDescent="0.25">
      <c r="A81" s="207"/>
      <c r="B81" s="207"/>
      <c r="C81" s="207"/>
      <c r="D81" s="207"/>
      <c r="E81" s="207"/>
      <c r="F81" s="207"/>
      <c r="G81" s="2" t="s">
        <v>133</v>
      </c>
      <c r="I81" s="207" t="s">
        <v>134</v>
      </c>
    </row>
    <row r="82" spans="1:9" x14ac:dyDescent="0.25">
      <c r="G82" s="2" t="s">
        <v>135</v>
      </c>
      <c r="H82" t="s">
        <v>98</v>
      </c>
      <c r="I82" s="207" t="s">
        <v>136</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42"/>
  <sheetViews>
    <sheetView workbookViewId="0">
      <pane ySplit="1" topLeftCell="A2" activePane="bottomLeft" state="frozen"/>
      <selection activeCell="C1" sqref="C1:E1"/>
      <selection pane="bottomLeft" activeCell="D7" sqref="D7"/>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163</v>
      </c>
      <c r="B1" s="3" t="s">
        <v>164</v>
      </c>
      <c r="C1" s="32" t="s">
        <v>165</v>
      </c>
      <c r="D1" s="30" t="s">
        <v>166</v>
      </c>
      <c r="E1" s="32" t="s">
        <v>167</v>
      </c>
      <c r="F1" s="3" t="s">
        <v>168</v>
      </c>
    </row>
    <row r="2" spans="1:9" x14ac:dyDescent="0.25">
      <c r="A2" s="25" t="s">
        <v>169</v>
      </c>
      <c r="E2" s="27"/>
    </row>
    <row r="3" spans="1:9" x14ac:dyDescent="0.25">
      <c r="C3" s="28"/>
    </row>
    <row r="4" spans="1:9" ht="16.5" x14ac:dyDescent="0.3">
      <c r="A4" s="2" t="s">
        <v>752</v>
      </c>
      <c r="B4" s="336" t="s">
        <v>664</v>
      </c>
      <c r="C4" s="28"/>
      <c r="D4" s="25" t="s">
        <v>753</v>
      </c>
      <c r="E4" s="12"/>
    </row>
    <row r="5" spans="1:9" x14ac:dyDescent="0.25">
      <c r="B5" s="44"/>
      <c r="D5" s="25"/>
      <c r="E5" s="27"/>
    </row>
    <row r="6" spans="1:9" x14ac:dyDescent="0.25">
      <c r="A6" s="25" t="s">
        <v>170</v>
      </c>
      <c r="B6" s="44"/>
      <c r="E6" s="250"/>
    </row>
    <row r="7" spans="1:9" x14ac:dyDescent="0.25">
      <c r="A7" s="45" t="s">
        <v>754</v>
      </c>
      <c r="B7" s="46" t="s">
        <v>755</v>
      </c>
      <c r="D7" s="47" t="s">
        <v>756</v>
      </c>
      <c r="E7" s="27" t="s">
        <v>757</v>
      </c>
      <c r="F7" s="19" t="s">
        <v>758</v>
      </c>
    </row>
    <row r="8" spans="1:9" x14ac:dyDescent="0.25">
      <c r="A8" s="45"/>
      <c r="B8" s="46"/>
      <c r="D8" s="47"/>
      <c r="E8" s="27" t="s">
        <v>759</v>
      </c>
      <c r="F8" s="19" t="s">
        <v>760</v>
      </c>
      <c r="G8" t="s">
        <v>761</v>
      </c>
    </row>
    <row r="9" spans="1:9" x14ac:dyDescent="0.25">
      <c r="A9" s="45"/>
      <c r="B9" s="318"/>
      <c r="D9" s="47" t="s">
        <v>762</v>
      </c>
      <c r="E9" s="27" t="s">
        <v>763</v>
      </c>
      <c r="F9" s="19" t="s">
        <v>764</v>
      </c>
      <c r="G9" t="s">
        <v>842</v>
      </c>
      <c r="H9" s="19" t="s">
        <v>765</v>
      </c>
    </row>
    <row r="10" spans="1:9" x14ac:dyDescent="0.25">
      <c r="A10" s="2" t="s">
        <v>766</v>
      </c>
      <c r="C10" s="25" t="s">
        <v>767</v>
      </c>
      <c r="E10" t="s">
        <v>841</v>
      </c>
      <c r="F10" s="2"/>
    </row>
    <row r="11" spans="1:9" x14ac:dyDescent="0.25">
      <c r="E11" s="27"/>
    </row>
    <row r="12" spans="1:9" x14ac:dyDescent="0.25">
      <c r="E12" t="s">
        <v>514</v>
      </c>
    </row>
    <row r="13" spans="1:9" x14ac:dyDescent="0.25">
      <c r="E13"/>
      <c r="F13" s="27"/>
      <c r="I13" s="300"/>
    </row>
    <row r="14" spans="1:9" x14ac:dyDescent="0.25">
      <c r="E14"/>
      <c r="I14" s="25"/>
    </row>
    <row r="16" spans="1:9" x14ac:dyDescent="0.25">
      <c r="A16" s="2" t="s">
        <v>171</v>
      </c>
      <c r="B16" s="33" t="s">
        <v>172</v>
      </c>
      <c r="E16" s="19"/>
    </row>
    <row r="18" spans="1:25" x14ac:dyDescent="0.25">
      <c r="V18" t="s">
        <v>173</v>
      </c>
      <c r="W18" t="s">
        <v>174</v>
      </c>
      <c r="X18" t="s">
        <v>175</v>
      </c>
      <c r="Y18" t="s">
        <v>176</v>
      </c>
    </row>
    <row r="19" spans="1:25" x14ac:dyDescent="0.25">
      <c r="E19" s="27"/>
      <c r="F19" s="19"/>
      <c r="V19" t="s">
        <v>177</v>
      </c>
      <c r="W19" s="211">
        <v>0.4458333333333333</v>
      </c>
      <c r="X19" t="s">
        <v>178</v>
      </c>
    </row>
    <row r="22" spans="1:25" x14ac:dyDescent="0.25">
      <c r="A22" s="2" t="s">
        <v>179</v>
      </c>
    </row>
    <row r="23" spans="1:25" x14ac:dyDescent="0.25">
      <c r="A23" s="212" t="s">
        <v>180</v>
      </c>
      <c r="B23" s="2" t="s">
        <v>181</v>
      </c>
      <c r="C23" s="27" t="s">
        <v>182</v>
      </c>
    </row>
    <row r="24" spans="1:25" x14ac:dyDescent="0.25">
      <c r="A24" s="213" t="s">
        <v>183</v>
      </c>
    </row>
    <row r="25" spans="1:25" x14ac:dyDescent="0.25">
      <c r="A25" s="214" t="s">
        <v>184</v>
      </c>
    </row>
    <row r="26" spans="1:25" x14ac:dyDescent="0.25">
      <c r="A26" s="215" t="s">
        <v>185</v>
      </c>
    </row>
    <row r="27" spans="1:25" x14ac:dyDescent="0.25">
      <c r="A27" s="216" t="s">
        <v>186</v>
      </c>
      <c r="B27" s="2" t="s">
        <v>187</v>
      </c>
      <c r="C27" s="27" t="s">
        <v>188</v>
      </c>
    </row>
    <row r="28" spans="1:25" x14ac:dyDescent="0.25">
      <c r="A28" s="217" t="s">
        <v>189</v>
      </c>
    </row>
    <row r="29" spans="1:25" x14ac:dyDescent="0.25">
      <c r="A29" s="218" t="s">
        <v>184</v>
      </c>
    </row>
    <row r="30" spans="1:25" x14ac:dyDescent="0.25">
      <c r="A30" s="219" t="s">
        <v>190</v>
      </c>
    </row>
    <row r="32" spans="1:25" x14ac:dyDescent="0.25">
      <c r="A32" s="2" t="s">
        <v>541</v>
      </c>
      <c r="B32" s="2" t="s">
        <v>532</v>
      </c>
      <c r="E32" s="25" t="s">
        <v>533</v>
      </c>
      <c r="I32" t="s">
        <v>540</v>
      </c>
    </row>
    <row r="34" spans="1:9" x14ac:dyDescent="0.25">
      <c r="A34" s="2" t="s">
        <v>534</v>
      </c>
      <c r="B34" s="2" t="s">
        <v>535</v>
      </c>
    </row>
    <row r="36" spans="1:9" x14ac:dyDescent="0.25">
      <c r="A36" s="2" t="s">
        <v>536</v>
      </c>
      <c r="B36" s="2" t="s">
        <v>537</v>
      </c>
    </row>
    <row r="38" spans="1:9" x14ac:dyDescent="0.25">
      <c r="A38" s="2" t="s">
        <v>538</v>
      </c>
      <c r="B38" s="2" t="s">
        <v>539</v>
      </c>
    </row>
    <row r="40" spans="1:9" x14ac:dyDescent="0.25">
      <c r="A40" s="2" t="s">
        <v>542</v>
      </c>
      <c r="B40" s="2" t="s">
        <v>543</v>
      </c>
      <c r="E40" s="25" t="s">
        <v>544</v>
      </c>
    </row>
    <row r="42" spans="1:9" x14ac:dyDescent="0.25">
      <c r="A42" s="2" t="s">
        <v>579</v>
      </c>
      <c r="B42" s="2" t="s">
        <v>581</v>
      </c>
      <c r="I42" t="s">
        <v>580</v>
      </c>
    </row>
  </sheetData>
  <hyperlinks>
    <hyperlink ref="A26" r:id="rId1" display="https://insurancehub.com/" xr:uid="{BB28BE1F-F276-4F2B-BE68-1FB7424223AB}"/>
    <hyperlink ref="C23" r:id="rId2" xr:uid="{E62FE15F-C0E6-4336-AEF8-E221E0CD3D60}"/>
    <hyperlink ref="A30" r:id="rId3" display="https://insurancehub.com/" xr:uid="{D53D7F4E-D2FD-41D2-A85A-D5A39F5AA2DB}"/>
    <hyperlink ref="C27" r:id="rId4" xr:uid="{76B65E13-61A9-4A89-9EA8-A0A64207EC9D}"/>
    <hyperlink ref="E7" r:id="rId5" xr:uid="{F54B3285-80C9-422C-967C-F1856A66E364}"/>
    <hyperlink ref="H9" r:id="rId6" location="/login" xr:uid="{EAA1022F-DA7B-4D50-B2CC-537CDE2979D5}"/>
  </hyperlinks>
  <pageMargins left="0.7" right="0.7" top="0.75" bottom="0.75" header="0.3" footer="0.3"/>
  <pageSetup orientation="portrait"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5"/>
  <sheetViews>
    <sheetView workbookViewId="0">
      <selection sqref="A1:C1"/>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723" t="s">
        <v>843</v>
      </c>
      <c r="B1" s="724"/>
      <c r="C1" s="725"/>
      <c r="D1" s="723" t="s">
        <v>518</v>
      </c>
      <c r="E1" s="724"/>
      <c r="F1" s="725"/>
      <c r="G1" s="723" t="s">
        <v>660</v>
      </c>
      <c r="H1" s="724"/>
      <c r="I1" s="725"/>
      <c r="J1" s="723" t="s">
        <v>844</v>
      </c>
      <c r="K1" s="724"/>
      <c r="L1" s="725"/>
      <c r="M1" s="723" t="s">
        <v>519</v>
      </c>
      <c r="N1" s="724"/>
      <c r="O1" s="725"/>
      <c r="P1" s="723" t="s">
        <v>845</v>
      </c>
      <c r="Q1" s="724"/>
      <c r="R1" s="725"/>
      <c r="S1" s="723" t="s">
        <v>846</v>
      </c>
      <c r="T1" s="724"/>
      <c r="U1" s="725"/>
      <c r="V1" s="723" t="s">
        <v>659</v>
      </c>
      <c r="W1" s="724"/>
      <c r="X1" s="725"/>
      <c r="Y1" s="723" t="s">
        <v>727</v>
      </c>
      <c r="Z1" s="724"/>
      <c r="AA1" s="725"/>
      <c r="AB1" s="723" t="s">
        <v>847</v>
      </c>
      <c r="AC1" s="724"/>
      <c r="AD1" s="725"/>
      <c r="AE1" s="723" t="s">
        <v>848</v>
      </c>
      <c r="AF1" s="724"/>
      <c r="AG1" s="725"/>
      <c r="AH1" s="62"/>
      <c r="AI1" s="726"/>
      <c r="AJ1" s="719"/>
      <c r="AK1" s="719"/>
      <c r="AL1" s="719"/>
      <c r="AM1" s="719"/>
      <c r="AN1" s="719"/>
      <c r="AO1" s="719"/>
      <c r="AP1" s="719"/>
      <c r="AQ1" s="719"/>
      <c r="AR1" s="719"/>
      <c r="AS1" s="719"/>
    </row>
    <row r="2" spans="1:45" ht="15" customHeight="1" x14ac:dyDescent="0.25">
      <c r="C2" s="323"/>
      <c r="F2" s="323"/>
      <c r="I2" s="323"/>
      <c r="L2" s="323"/>
      <c r="O2" s="323"/>
      <c r="R2" s="323"/>
      <c r="U2" s="323"/>
      <c r="X2" s="323"/>
      <c r="AA2" s="729" t="s">
        <v>995</v>
      </c>
      <c r="AD2" s="323"/>
      <c r="AG2" s="323"/>
      <c r="AI2" t="s">
        <v>849</v>
      </c>
      <c r="AJ2" t="s">
        <v>850</v>
      </c>
      <c r="AK2" t="s">
        <v>271</v>
      </c>
      <c r="AL2" t="s">
        <v>163</v>
      </c>
      <c r="AM2" t="s">
        <v>226</v>
      </c>
      <c r="AN2" t="s">
        <v>851</v>
      </c>
      <c r="AO2" t="s">
        <v>852</v>
      </c>
      <c r="AP2" t="s">
        <v>853</v>
      </c>
      <c r="AQ2" t="s">
        <v>854</v>
      </c>
      <c r="AR2" t="s">
        <v>855</v>
      </c>
      <c r="AS2" t="s">
        <v>137</v>
      </c>
    </row>
    <row r="3" spans="1:45" ht="15" customHeight="1" x14ac:dyDescent="0.25">
      <c r="A3" s="3" t="s">
        <v>271</v>
      </c>
      <c r="B3" s="13" t="s">
        <v>851</v>
      </c>
      <c r="C3" s="325"/>
      <c r="D3" s="3" t="s">
        <v>271</v>
      </c>
      <c r="E3" s="13" t="s">
        <v>994</v>
      </c>
      <c r="F3" s="325"/>
      <c r="G3" s="3" t="s">
        <v>271</v>
      </c>
      <c r="H3" s="13" t="s">
        <v>994</v>
      </c>
      <c r="I3" s="325"/>
      <c r="J3" s="3" t="s">
        <v>271</v>
      </c>
      <c r="K3" s="13" t="s">
        <v>994</v>
      </c>
      <c r="L3" s="323"/>
      <c r="M3" s="3" t="s">
        <v>271</v>
      </c>
      <c r="N3" s="13" t="s">
        <v>994</v>
      </c>
      <c r="O3" s="323"/>
      <c r="P3" s="3" t="s">
        <v>271</v>
      </c>
      <c r="Q3" s="13" t="s">
        <v>994</v>
      </c>
      <c r="R3" s="323"/>
      <c r="S3" s="3" t="s">
        <v>271</v>
      </c>
      <c r="T3" s="13" t="s">
        <v>994</v>
      </c>
      <c r="U3" s="323"/>
      <c r="V3" t="s">
        <v>271</v>
      </c>
      <c r="W3" t="s">
        <v>994</v>
      </c>
      <c r="X3" s="323"/>
      <c r="Y3" t="s">
        <v>271</v>
      </c>
      <c r="Z3" t="s">
        <v>994</v>
      </c>
      <c r="AA3" s="730"/>
      <c r="AB3" s="3" t="s">
        <v>271</v>
      </c>
      <c r="AC3" s="13" t="s">
        <v>994</v>
      </c>
      <c r="AD3" s="323"/>
      <c r="AE3" s="3" t="s">
        <v>271</v>
      </c>
      <c r="AF3" s="13" t="s">
        <v>994</v>
      </c>
      <c r="AG3" s="323"/>
      <c r="AI3" t="s">
        <v>3</v>
      </c>
      <c r="AJ3" t="s">
        <v>843</v>
      </c>
      <c r="AK3" s="12">
        <v>45509</v>
      </c>
      <c r="AM3" t="s">
        <v>859</v>
      </c>
      <c r="AN3" s="5"/>
      <c r="AO3" t="s">
        <v>856</v>
      </c>
      <c r="AP3" s="136" t="s">
        <v>263</v>
      </c>
      <c r="AQ3" t="s">
        <v>860</v>
      </c>
      <c r="AR3" t="s">
        <v>857</v>
      </c>
      <c r="AS3" t="s">
        <v>861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45509</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0</v>
      </c>
      <c r="C4" s="326"/>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45509</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0</v>
      </c>
      <c r="F4" s="535"/>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45509</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6"/>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3"/>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45509</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100</v>
      </c>
      <c r="O4" s="323"/>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45509</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20</v>
      </c>
      <c r="R4" s="323"/>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3"/>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45509</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10</v>
      </c>
      <c r="X4" s="323"/>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6">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3"/>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35"/>
      <c r="AH4" s="536"/>
      <c r="AI4" t="s">
        <v>3</v>
      </c>
      <c r="AJ4" t="s">
        <v>843</v>
      </c>
      <c r="AK4" s="12">
        <v>45539</v>
      </c>
      <c r="AM4" t="s">
        <v>859</v>
      </c>
      <c r="AN4" s="5"/>
      <c r="AO4" t="s">
        <v>856</v>
      </c>
      <c r="AP4" s="136" t="s">
        <v>263</v>
      </c>
      <c r="AQ4" t="s">
        <v>860</v>
      </c>
      <c r="AR4" t="s">
        <v>857</v>
      </c>
      <c r="AS4" t="s">
        <v>862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45539</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0</v>
      </c>
      <c r="C5" s="326"/>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45539</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0</v>
      </c>
      <c r="F5" s="535"/>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45539</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6"/>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3"/>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45539</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100</v>
      </c>
      <c r="O5" s="323"/>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45539</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20</v>
      </c>
      <c r="R5" s="323"/>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3"/>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45539</v>
      </c>
      <c r="W5" s="5"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10</v>
      </c>
      <c r="X5" s="323"/>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6">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3"/>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35"/>
      <c r="AH5" s="536"/>
      <c r="AI5" t="s">
        <v>3</v>
      </c>
      <c r="AJ5" t="s">
        <v>843</v>
      </c>
      <c r="AK5" s="12">
        <v>45569</v>
      </c>
      <c r="AM5" t="s">
        <v>859</v>
      </c>
      <c r="AN5" s="5"/>
      <c r="AO5" t="s">
        <v>856</v>
      </c>
      <c r="AP5" s="136" t="s">
        <v>263</v>
      </c>
      <c r="AQ5" t="s">
        <v>860</v>
      </c>
      <c r="AR5" t="s">
        <v>857</v>
      </c>
      <c r="AS5" t="s">
        <v>863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45569</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0</v>
      </c>
      <c r="C6" s="326"/>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45569</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0</v>
      </c>
      <c r="F6" s="535"/>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45569</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6"/>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3"/>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45569</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145.4</v>
      </c>
      <c r="O6" s="323"/>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45569</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20</v>
      </c>
      <c r="R6" s="323"/>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3"/>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45569</v>
      </c>
      <c r="W6" s="5"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10</v>
      </c>
      <c r="X6" s="323"/>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2453</v>
      </c>
      <c r="AA6" s="326">
        <f t="shared" si="0"/>
        <v>-2453</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3"/>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35"/>
      <c r="AH6" s="536"/>
      <c r="AI6" t="s">
        <v>3</v>
      </c>
      <c r="AJ6" t="s">
        <v>843</v>
      </c>
      <c r="AK6" s="12">
        <v>45599</v>
      </c>
      <c r="AM6" t="s">
        <v>859</v>
      </c>
      <c r="AN6" s="5"/>
      <c r="AO6" t="s">
        <v>856</v>
      </c>
      <c r="AP6" s="136" t="s">
        <v>263</v>
      </c>
      <c r="AQ6" t="s">
        <v>860</v>
      </c>
      <c r="AR6" t="s">
        <v>857</v>
      </c>
      <c r="AS6" t="s">
        <v>864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45599</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6"/>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45599</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1382.3</v>
      </c>
      <c r="F7" s="535"/>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45599</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6"/>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3"/>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45599</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145.4</v>
      </c>
      <c r="O7" s="323"/>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45599</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20</v>
      </c>
      <c r="R7" s="323"/>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3"/>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45599</v>
      </c>
      <c r="W7" s="5"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10</v>
      </c>
      <c r="X7" s="323"/>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6">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3"/>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35"/>
      <c r="AH7" s="536"/>
      <c r="AI7" t="s">
        <v>3</v>
      </c>
      <c r="AJ7" t="s">
        <v>843</v>
      </c>
      <c r="AK7" s="12">
        <v>45629</v>
      </c>
      <c r="AM7" t="s">
        <v>859</v>
      </c>
      <c r="AN7" s="5">
        <v>21.66</v>
      </c>
      <c r="AO7" t="s">
        <v>856</v>
      </c>
      <c r="AP7" s="136" t="s">
        <v>263</v>
      </c>
      <c r="AQ7" t="s">
        <v>860</v>
      </c>
      <c r="AR7" t="s">
        <v>857</v>
      </c>
      <c r="AS7" t="s">
        <v>865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45629</v>
      </c>
      <c r="B8" s="5"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21.66</v>
      </c>
      <c r="C8" s="326"/>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45629</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1382.3</v>
      </c>
      <c r="F8" s="535"/>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45629</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0</v>
      </c>
      <c r="I8" s="326"/>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3"/>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45629</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145.4</v>
      </c>
      <c r="O8" s="323"/>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45629</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20</v>
      </c>
      <c r="R8" s="323"/>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3"/>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45629</v>
      </c>
      <c r="W8" s="5"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10</v>
      </c>
      <c r="X8" s="323"/>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6">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3"/>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35"/>
      <c r="AH8" s="536"/>
      <c r="AI8" t="s">
        <v>3</v>
      </c>
      <c r="AJ8" t="s">
        <v>843</v>
      </c>
      <c r="AK8" s="12">
        <v>45659</v>
      </c>
      <c r="AM8" t="s">
        <v>859</v>
      </c>
      <c r="AN8" s="5">
        <v>26.28</v>
      </c>
      <c r="AO8" t="s">
        <v>856</v>
      </c>
      <c r="AP8" s="136" t="s">
        <v>263</v>
      </c>
      <c r="AQ8" t="s">
        <v>860</v>
      </c>
      <c r="AR8" t="s">
        <v>857</v>
      </c>
      <c r="AS8" t="s">
        <v>866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45659</v>
      </c>
      <c r="B9" s="5"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26.28</v>
      </c>
      <c r="C9" s="326"/>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45659</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1358.46</v>
      </c>
      <c r="F9" s="535"/>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45659</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0</v>
      </c>
      <c r="I9" s="326"/>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3"/>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45659</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145.4</v>
      </c>
      <c r="O9" s="323"/>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45659</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20</v>
      </c>
      <c r="R9" s="323"/>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3"/>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45659</v>
      </c>
      <c r="W9" s="5"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10</v>
      </c>
      <c r="X9" s="323"/>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6">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3"/>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35"/>
      <c r="AH9" s="536"/>
      <c r="AI9" t="s">
        <v>3</v>
      </c>
      <c r="AJ9" t="s">
        <v>843</v>
      </c>
      <c r="AK9" s="12">
        <v>45689</v>
      </c>
      <c r="AM9" t="s">
        <v>859</v>
      </c>
      <c r="AN9" s="5">
        <v>27.45</v>
      </c>
      <c r="AO9" t="s">
        <v>856</v>
      </c>
      <c r="AP9" s="136" t="s">
        <v>263</v>
      </c>
      <c r="AQ9" t="s">
        <v>860</v>
      </c>
      <c r="AR9" t="s">
        <v>857</v>
      </c>
      <c r="AS9" t="s">
        <v>867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45689</v>
      </c>
      <c r="B10" s="5"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27.45</v>
      </c>
      <c r="C10" s="326"/>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45689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1358.46</v>
      </c>
      <c r="F10" s="535"/>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45689</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6"/>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3"/>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45689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145.4</v>
      </c>
      <c r="O10" s="323"/>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45689</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20</v>
      </c>
      <c r="R10" s="323"/>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3"/>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45689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10</v>
      </c>
      <c r="X10" s="323"/>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6">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3"/>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35"/>
      <c r="AH10" s="536"/>
      <c r="AI10" t="s">
        <v>3</v>
      </c>
      <c r="AJ10" t="s">
        <v>843</v>
      </c>
      <c r="AK10" s="12">
        <v>45719</v>
      </c>
      <c r="AM10" t="s">
        <v>859</v>
      </c>
      <c r="AN10" s="5">
        <v>27.45</v>
      </c>
      <c r="AO10" t="s">
        <v>856</v>
      </c>
      <c r="AP10" s="136" t="s">
        <v>263</v>
      </c>
      <c r="AQ10" t="s">
        <v>860</v>
      </c>
      <c r="AR10" t="s">
        <v>857</v>
      </c>
      <c r="AS10" t="s">
        <v>868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45719</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27.45</v>
      </c>
      <c r="C11" s="326"/>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45719</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1389.92</v>
      </c>
      <c r="F11" s="535"/>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45719</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6"/>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3"/>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45719</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145.4</v>
      </c>
      <c r="O11" s="323"/>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45719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20</v>
      </c>
      <c r="R11" s="323"/>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3"/>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45719</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10</v>
      </c>
      <c r="X11" s="323"/>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6">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3"/>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35"/>
      <c r="AH11" s="536"/>
      <c r="AI11" t="s">
        <v>3</v>
      </c>
      <c r="AJ11" t="s">
        <v>843</v>
      </c>
      <c r="AK11" s="12">
        <v>45749</v>
      </c>
      <c r="AM11" t="s">
        <v>859</v>
      </c>
      <c r="AN11" s="5">
        <v>27.45</v>
      </c>
      <c r="AO11" t="s">
        <v>856</v>
      </c>
      <c r="AP11" s="136" t="s">
        <v>263</v>
      </c>
      <c r="AQ11" t="s">
        <v>860</v>
      </c>
      <c r="AR11" t="s">
        <v>857</v>
      </c>
      <c r="AS11" t="s">
        <v>869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45749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27.45</v>
      </c>
      <c r="C12" s="326"/>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45749</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1389.92</v>
      </c>
      <c r="F12" s="535"/>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45749</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6"/>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3"/>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45749</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145.4</v>
      </c>
      <c r="O12" s="323"/>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45749</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20</v>
      </c>
      <c r="R12" s="323"/>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3"/>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45749</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10</v>
      </c>
      <c r="X12" s="323"/>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6">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3"/>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35"/>
      <c r="AH12" s="536"/>
      <c r="AI12" t="s">
        <v>3</v>
      </c>
      <c r="AJ12" t="s">
        <v>843</v>
      </c>
      <c r="AK12" s="12">
        <v>45779</v>
      </c>
      <c r="AM12" t="s">
        <v>859</v>
      </c>
      <c r="AN12" s="5">
        <v>27.45</v>
      </c>
      <c r="AO12" t="s">
        <v>856</v>
      </c>
      <c r="AP12" s="136" t="s">
        <v>263</v>
      </c>
      <c r="AQ12" t="s">
        <v>860</v>
      </c>
      <c r="AR12" t="s">
        <v>857</v>
      </c>
      <c r="AS12" t="s">
        <v>870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45779</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27.45</v>
      </c>
      <c r="C13" s="326"/>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45779</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1389.92</v>
      </c>
      <c r="F13" s="535"/>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45779</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6"/>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3"/>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45779</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145.4</v>
      </c>
      <c r="O13" s="323"/>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45779</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20</v>
      </c>
      <c r="R13" s="323"/>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3"/>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45779</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10</v>
      </c>
      <c r="X13" s="323"/>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6">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3"/>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35"/>
      <c r="AH13" s="536"/>
      <c r="AI13" t="s">
        <v>3</v>
      </c>
      <c r="AJ13" t="s">
        <v>843</v>
      </c>
      <c r="AK13" s="12">
        <v>45809</v>
      </c>
      <c r="AM13" t="s">
        <v>859</v>
      </c>
      <c r="AN13" s="5">
        <v>27.45</v>
      </c>
      <c r="AO13" t="s">
        <v>856</v>
      </c>
      <c r="AP13" s="136" t="s">
        <v>263</v>
      </c>
      <c r="AQ13" t="s">
        <v>860</v>
      </c>
      <c r="AR13" t="s">
        <v>857</v>
      </c>
      <c r="AS13" t="s">
        <v>871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45809</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27.45</v>
      </c>
      <c r="C14" s="326"/>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45809</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1389.92</v>
      </c>
      <c r="F14" s="535"/>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45809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6"/>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3"/>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45809</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145.4</v>
      </c>
      <c r="O14" s="323"/>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45809</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20</v>
      </c>
      <c r="R14" s="323"/>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3"/>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45809</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10</v>
      </c>
      <c r="X14" s="323"/>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6">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3"/>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35"/>
      <c r="AH14" s="536"/>
      <c r="AI14" t="s">
        <v>3</v>
      </c>
      <c r="AJ14" t="s">
        <v>843</v>
      </c>
      <c r="AK14" s="12">
        <v>45839</v>
      </c>
      <c r="AM14" t="s">
        <v>859</v>
      </c>
      <c r="AN14" s="5">
        <v>27.45</v>
      </c>
      <c r="AO14" t="s">
        <v>856</v>
      </c>
      <c r="AP14" s="136" t="s">
        <v>263</v>
      </c>
      <c r="AQ14" t="s">
        <v>860</v>
      </c>
      <c r="AR14" t="s">
        <v>857</v>
      </c>
      <c r="AS14" t="s">
        <v>872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45839</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27.45</v>
      </c>
      <c r="C15" s="323"/>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45839</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1389.92</v>
      </c>
      <c r="F15" s="535"/>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45839</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3"/>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3"/>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45839</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145.4</v>
      </c>
      <c r="O15" s="323"/>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45839</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20</v>
      </c>
      <c r="R15" s="323"/>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3"/>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45839</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10</v>
      </c>
      <c r="X15" s="323"/>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6">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3"/>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35"/>
      <c r="AH15" s="536"/>
      <c r="AI15" t="s">
        <v>3</v>
      </c>
      <c r="AJ15" t="s">
        <v>843</v>
      </c>
      <c r="AK15" s="12">
        <v>45869</v>
      </c>
      <c r="AM15" t="s">
        <v>859</v>
      </c>
      <c r="AN15" s="5">
        <v>27.45</v>
      </c>
      <c r="AO15" t="s">
        <v>856</v>
      </c>
      <c r="AP15" s="136" t="s">
        <v>263</v>
      </c>
      <c r="AQ15" t="s">
        <v>860</v>
      </c>
      <c r="AR15" t="s">
        <v>857</v>
      </c>
      <c r="AS15" t="s">
        <v>873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45869</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27.45</v>
      </c>
      <c r="C16" s="323"/>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45869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1389.92</v>
      </c>
      <c r="F16" s="535"/>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45869</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3"/>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3"/>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45869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145.4</v>
      </c>
      <c r="O16" s="323"/>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45869</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20</v>
      </c>
      <c r="R16" s="323"/>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3"/>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45869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10</v>
      </c>
      <c r="X16" s="323"/>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6">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3"/>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35"/>
      <c r="AH16" s="536"/>
      <c r="AI16" t="s">
        <v>3</v>
      </c>
      <c r="AJ16" t="s">
        <v>843</v>
      </c>
      <c r="AK16" s="12">
        <v>45899</v>
      </c>
      <c r="AM16" t="s">
        <v>859</v>
      </c>
      <c r="AN16" s="5">
        <v>27.45</v>
      </c>
      <c r="AO16" t="s">
        <v>856</v>
      </c>
      <c r="AP16" s="136" t="s">
        <v>263</v>
      </c>
      <c r="AQ16" t="s">
        <v>860</v>
      </c>
      <c r="AR16" t="s">
        <v>857</v>
      </c>
      <c r="AS16" t="s">
        <v>874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45899</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27.45</v>
      </c>
      <c r="C17" s="323"/>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45899</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1389.92</v>
      </c>
      <c r="F17" s="535"/>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45899</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3"/>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3"/>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45899</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145.4</v>
      </c>
      <c r="O17" s="323"/>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45899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20</v>
      </c>
      <c r="R17" s="323"/>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3"/>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45899</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10</v>
      </c>
      <c r="X17" s="323"/>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6">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3"/>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35"/>
      <c r="AH17" s="536"/>
      <c r="AI17" t="s">
        <v>3</v>
      </c>
      <c r="AJ17" t="s">
        <v>843</v>
      </c>
      <c r="AK17" s="12">
        <v>45929</v>
      </c>
      <c r="AM17" t="s">
        <v>859</v>
      </c>
      <c r="AN17" s="5">
        <v>27.45</v>
      </c>
      <c r="AO17" t="s">
        <v>856</v>
      </c>
      <c r="AP17" s="136" t="s">
        <v>263</v>
      </c>
      <c r="AQ17" t="s">
        <v>860</v>
      </c>
      <c r="AR17" t="s">
        <v>857</v>
      </c>
      <c r="AS17" t="s">
        <v>875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45929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27.45</v>
      </c>
      <c r="C18" s="323"/>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45929</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1389.92</v>
      </c>
      <c r="F18" s="535"/>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45929</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3"/>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3"/>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45929</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145.4</v>
      </c>
      <c r="O18" s="323"/>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45929</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20</v>
      </c>
      <c r="R18" s="323"/>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3"/>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45929</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10</v>
      </c>
      <c r="X18" s="323"/>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6">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3"/>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35"/>
      <c r="AH18" s="536"/>
      <c r="AI18" t="s">
        <v>3</v>
      </c>
      <c r="AJ18" t="s">
        <v>843</v>
      </c>
      <c r="AK18" s="12">
        <v>45959</v>
      </c>
      <c r="AM18" t="s">
        <v>859</v>
      </c>
      <c r="AN18" s="5">
        <v>27.45</v>
      </c>
      <c r="AO18" t="s">
        <v>856</v>
      </c>
      <c r="AP18" s="136" t="s">
        <v>263</v>
      </c>
      <c r="AQ18" t="s">
        <v>860</v>
      </c>
      <c r="AR18" t="s">
        <v>857</v>
      </c>
      <c r="AS18" t="s">
        <v>876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45959</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27.45</v>
      </c>
      <c r="C19" s="323"/>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45959</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1389.92</v>
      </c>
      <c r="F19" s="535"/>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45959</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3"/>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3"/>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45959</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145.4</v>
      </c>
      <c r="O19" s="323"/>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45959</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20</v>
      </c>
      <c r="R19" s="323"/>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3"/>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45959</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10</v>
      </c>
      <c r="X19" s="323"/>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6">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3"/>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35"/>
      <c r="AH19" s="536"/>
      <c r="AI19" t="s">
        <v>3</v>
      </c>
      <c r="AJ19" t="s">
        <v>843</v>
      </c>
      <c r="AK19" s="12">
        <v>45989</v>
      </c>
      <c r="AM19" t="s">
        <v>859</v>
      </c>
      <c r="AN19" s="5">
        <v>27.45</v>
      </c>
      <c r="AO19" t="s">
        <v>856</v>
      </c>
      <c r="AP19" s="136" t="s">
        <v>263</v>
      </c>
      <c r="AQ19" t="s">
        <v>860</v>
      </c>
      <c r="AR19" t="s">
        <v>857</v>
      </c>
      <c r="AS19" t="s">
        <v>877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45989</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27.45</v>
      </c>
      <c r="C20" s="323"/>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45989</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1389.92</v>
      </c>
      <c r="F20" s="535"/>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45989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3"/>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3"/>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45989</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145.4</v>
      </c>
      <c r="O20" s="323"/>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45989</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20</v>
      </c>
      <c r="R20" s="323"/>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3"/>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45989</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10</v>
      </c>
      <c r="X20" s="323"/>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6">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3"/>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35"/>
      <c r="AH20" s="536"/>
      <c r="AI20" t="s">
        <v>3</v>
      </c>
      <c r="AJ20" t="s">
        <v>843</v>
      </c>
      <c r="AK20" s="12">
        <v>46019</v>
      </c>
      <c r="AM20" t="s">
        <v>859</v>
      </c>
      <c r="AN20" s="5">
        <v>27.45</v>
      </c>
      <c r="AO20" t="s">
        <v>856</v>
      </c>
      <c r="AP20" s="136" t="s">
        <v>263</v>
      </c>
      <c r="AQ20" t="s">
        <v>860</v>
      </c>
      <c r="AR20" t="s">
        <v>857</v>
      </c>
      <c r="AS20" t="s">
        <v>878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46019</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27.45</v>
      </c>
      <c r="C21" s="323"/>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46019</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1389.92</v>
      </c>
      <c r="F21" s="535"/>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46019</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3"/>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3"/>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46019</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145.4</v>
      </c>
      <c r="O21" s="323"/>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46019</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20</v>
      </c>
      <c r="R21" s="323"/>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3"/>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46019</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10</v>
      </c>
      <c r="X21" s="323"/>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6">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3"/>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35"/>
      <c r="AH21" s="536"/>
      <c r="AI21" t="s">
        <v>3</v>
      </c>
      <c r="AJ21" t="s">
        <v>843</v>
      </c>
      <c r="AK21" s="12">
        <v>46049</v>
      </c>
      <c r="AM21" t="s">
        <v>859</v>
      </c>
      <c r="AN21" s="5">
        <v>27.45</v>
      </c>
      <c r="AO21" t="s">
        <v>856</v>
      </c>
      <c r="AP21" s="136" t="s">
        <v>263</v>
      </c>
      <c r="AQ21" t="s">
        <v>860</v>
      </c>
      <c r="AR21" t="s">
        <v>857</v>
      </c>
      <c r="AS21" t="s">
        <v>879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46049</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27.45</v>
      </c>
      <c r="C22" s="323"/>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46049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1389.92</v>
      </c>
      <c r="F22" s="535"/>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46049</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3"/>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3"/>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46049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145.4</v>
      </c>
      <c r="O22" s="323"/>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46049</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20</v>
      </c>
      <c r="R22" s="323"/>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3"/>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46049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10</v>
      </c>
      <c r="X22" s="323"/>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6">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3"/>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35"/>
      <c r="AH22" s="536"/>
      <c r="AI22" t="s">
        <v>3</v>
      </c>
      <c r="AJ22" t="s">
        <v>858</v>
      </c>
      <c r="AK22" s="12">
        <v>45509</v>
      </c>
      <c r="AM22" t="s">
        <v>859</v>
      </c>
      <c r="AN22" s="5"/>
      <c r="AO22" t="s">
        <v>856</v>
      </c>
      <c r="AP22" s="136" t="s">
        <v>263</v>
      </c>
      <c r="AQ22" t="s">
        <v>860</v>
      </c>
      <c r="AR22" t="s">
        <v>857</v>
      </c>
      <c r="AS22" t="s">
        <v>880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3"/>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35"/>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3"/>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3"/>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3"/>
      <c r="P23" s="12" t="str"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
      </c>
      <c r="Q23" s="5" t="str"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
      </c>
      <c r="R23" s="323"/>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3"/>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3"/>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6"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3"/>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35"/>
      <c r="AH23" s="536"/>
      <c r="AI23" t="s">
        <v>3</v>
      </c>
      <c r="AJ23" t="s">
        <v>858</v>
      </c>
      <c r="AK23" s="12">
        <v>45539</v>
      </c>
      <c r="AM23" t="s">
        <v>859</v>
      </c>
      <c r="AN23" s="5"/>
      <c r="AO23" t="s">
        <v>856</v>
      </c>
      <c r="AP23" s="136" t="s">
        <v>263</v>
      </c>
      <c r="AQ23" t="s">
        <v>860</v>
      </c>
      <c r="AR23" t="s">
        <v>857</v>
      </c>
      <c r="AS23" t="s">
        <v>881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3"/>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37"/>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4"/>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4"/>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4"/>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4"/>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4"/>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4"/>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4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4"/>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37"/>
      <c r="AH24" s="536"/>
      <c r="AI24" t="s">
        <v>3</v>
      </c>
      <c r="AJ24" t="s">
        <v>858</v>
      </c>
      <c r="AK24" s="12">
        <v>45569</v>
      </c>
      <c r="AM24" t="s">
        <v>859</v>
      </c>
      <c r="AN24" s="5"/>
      <c r="AO24" t="s">
        <v>856</v>
      </c>
      <c r="AP24" s="136" t="s">
        <v>263</v>
      </c>
      <c r="AQ24" t="s">
        <v>860</v>
      </c>
      <c r="AR24" t="s">
        <v>857</v>
      </c>
      <c r="AS24" t="s">
        <v>882</v>
      </c>
    </row>
    <row r="25" spans="1:45" ht="15.75" customHeight="1" thickBot="1" x14ac:dyDescent="0.3">
      <c r="A25" s="23"/>
      <c r="B25" s="727">
        <f>SUMIFS(tblCarryingExpenses[Amount],tblCarryingExpenses[Category],IF(A1="Mortgage Payment paid after Reinstatement","Mortgage Payment",A1),tblCarryingExpenses[Include],"Yes")</f>
        <v>404.78999999999991</v>
      </c>
      <c r="C25" s="728"/>
      <c r="D25" s="23"/>
      <c r="E25" s="727">
        <f>SUMIFS(tblCarryingExpenses[Amount],tblCarryingExpenses[Category],IF(D1="Mortgage Payment paid after Reinstatement","Mortgage Payment",D1),tblCarryingExpenses[Include],"Yes")</f>
        <v>22160.559999999998</v>
      </c>
      <c r="F25" s="731"/>
      <c r="G25" s="538"/>
      <c r="H25" s="727">
        <f>SUMIFS(tblCarryingExpenses[Amount],tblCarryingExpenses[Category],IF(G1="Mortgage Payment paid after Reinstatement","Mortgage Payment",G1),tblCarryingExpenses[Include],"Yes")</f>
        <v>0</v>
      </c>
      <c r="I25" s="728"/>
      <c r="J25" s="538"/>
      <c r="K25" s="727">
        <f>SUMIFS(tblCarryingExpenses[Amount],tblCarryingExpenses[Category],IF(J1="Mortgage Payment paid after Reinstatement","Mortgage Payment",J1),tblCarryingExpenses[Include],"Yes")</f>
        <v>0</v>
      </c>
      <c r="L25" s="728"/>
      <c r="M25" s="538"/>
      <c r="N25" s="727">
        <f>SUMIFS(tblCarryingExpenses[Amount],tblCarryingExpenses[Category],IF(M1="Mortgage Payment paid after Reinstatement","Mortgage Payment",M1),tblCarryingExpenses[Include],"Yes")</f>
        <v>2671.8000000000006</v>
      </c>
      <c r="O25" s="728"/>
      <c r="P25" s="538"/>
      <c r="Q25" s="727">
        <f>SUMIFS(tblCarryingExpenses[Amount],tblCarryingExpenses[Category],IF(P1="Mortgage Payment paid after Reinstatement","Mortgage Payment",P1),tblCarryingExpenses[Include],"Yes")</f>
        <v>380</v>
      </c>
      <c r="R25" s="728"/>
      <c r="S25" s="538"/>
      <c r="T25" s="727">
        <f>SUMIFS(tblCarryingExpenses[Amount],tblCarryingExpenses[Category],IF(S1="Mortgage Payment paid after Reinstatement","Mortgage Payment",S1),tblCarryingExpenses[Include],"Yes")</f>
        <v>0</v>
      </c>
      <c r="U25" s="728"/>
      <c r="V25" s="538"/>
      <c r="W25" s="727">
        <f>SUMIFS(tblCarryingExpenses[Amount],tblCarryingExpenses[Category],IF(V1="Mortgage Payment paid after Reinstatement","Mortgage Payment",V1),tblCarryingExpenses[Include],"Yes")</f>
        <v>190</v>
      </c>
      <c r="X25" s="728"/>
      <c r="Y25" s="538"/>
      <c r="Z25" s="727">
        <f>SUM(Z4:AA23)</f>
        <v>0</v>
      </c>
      <c r="AA25" s="728"/>
      <c r="AB25" s="538"/>
      <c r="AC25" s="727">
        <f>SUMIFS(tblCarryingExpenses[Amount],tblCarryingExpenses[Category],IF(AB1="Mortgage Payment paid after Reinstatement","Mortgage Payment",AB1),tblCarryingExpenses[Include],"Yes")</f>
        <v>0</v>
      </c>
      <c r="AD25" s="728"/>
      <c r="AE25" s="538"/>
      <c r="AF25" s="727">
        <f>SUMIFS(tblCarryingExpenses[Amount],tblCarryingExpenses[Category],IF(AE1="Mortgage Payment paid after Reinstatement","Mortgage Payment",AE1),tblCarryingExpenses[Include],"Yes")</f>
        <v>0</v>
      </c>
      <c r="AG25" s="728"/>
      <c r="AH25" s="5"/>
      <c r="AI25" t="s">
        <v>3</v>
      </c>
      <c r="AJ25" t="s">
        <v>858</v>
      </c>
      <c r="AK25" s="12">
        <v>45599</v>
      </c>
      <c r="AM25" t="s">
        <v>859</v>
      </c>
      <c r="AN25" s="5">
        <v>1382.3</v>
      </c>
      <c r="AO25" t="s">
        <v>856</v>
      </c>
      <c r="AP25" s="136" t="s">
        <v>263</v>
      </c>
      <c r="AQ25" t="s">
        <v>860</v>
      </c>
      <c r="AR25" t="s">
        <v>857</v>
      </c>
      <c r="AS25" t="s">
        <v>883</v>
      </c>
    </row>
    <row r="26" spans="1:45" ht="15" customHeight="1" x14ac:dyDescent="0.25">
      <c r="AI26" t="s">
        <v>3</v>
      </c>
      <c r="AJ26" t="s">
        <v>858</v>
      </c>
      <c r="AK26" s="12">
        <v>45629</v>
      </c>
      <c r="AM26" t="s">
        <v>859</v>
      </c>
      <c r="AN26" s="5">
        <v>1382.3</v>
      </c>
      <c r="AO26" t="s">
        <v>856</v>
      </c>
      <c r="AP26" s="136" t="s">
        <v>263</v>
      </c>
      <c r="AQ26" t="s">
        <v>860</v>
      </c>
      <c r="AR26" t="s">
        <v>857</v>
      </c>
      <c r="AS26" t="s">
        <v>884</v>
      </c>
    </row>
    <row r="27" spans="1:45" ht="15" customHeight="1" x14ac:dyDescent="0.25">
      <c r="AI27" t="s">
        <v>3</v>
      </c>
      <c r="AJ27" t="s">
        <v>858</v>
      </c>
      <c r="AK27" s="12">
        <v>45659</v>
      </c>
      <c r="AM27" t="s">
        <v>859</v>
      </c>
      <c r="AN27" s="5">
        <v>1358.46</v>
      </c>
      <c r="AO27" t="s">
        <v>856</v>
      </c>
      <c r="AP27" s="136" t="s">
        <v>263</v>
      </c>
      <c r="AQ27" t="s">
        <v>860</v>
      </c>
      <c r="AR27" t="s">
        <v>857</v>
      </c>
      <c r="AS27" t="s">
        <v>885</v>
      </c>
    </row>
    <row r="28" spans="1:45" ht="15" customHeight="1" x14ac:dyDescent="0.25">
      <c r="AI28" t="s">
        <v>3</v>
      </c>
      <c r="AJ28" t="s">
        <v>858</v>
      </c>
      <c r="AK28" s="12">
        <v>45689</v>
      </c>
      <c r="AM28" t="s">
        <v>859</v>
      </c>
      <c r="AN28" s="5">
        <v>1358.46</v>
      </c>
      <c r="AO28" t="s">
        <v>856</v>
      </c>
      <c r="AP28" s="136" t="s">
        <v>263</v>
      </c>
      <c r="AQ28" t="s">
        <v>860</v>
      </c>
      <c r="AR28" t="s">
        <v>857</v>
      </c>
      <c r="AS28" t="s">
        <v>886</v>
      </c>
    </row>
    <row r="29" spans="1:45" ht="15" customHeight="1" x14ac:dyDescent="0.25">
      <c r="AI29" t="s">
        <v>3</v>
      </c>
      <c r="AJ29" t="s">
        <v>858</v>
      </c>
      <c r="AK29" s="12">
        <v>45719</v>
      </c>
      <c r="AM29" t="s">
        <v>859</v>
      </c>
      <c r="AN29" s="5">
        <v>1389.92</v>
      </c>
      <c r="AO29" t="s">
        <v>856</v>
      </c>
      <c r="AP29" s="136" t="s">
        <v>263</v>
      </c>
      <c r="AQ29" t="s">
        <v>860</v>
      </c>
      <c r="AR29" t="s">
        <v>857</v>
      </c>
      <c r="AS29" t="s">
        <v>887</v>
      </c>
    </row>
    <row r="30" spans="1:45" ht="15" customHeight="1" x14ac:dyDescent="0.25">
      <c r="AI30" t="s">
        <v>3</v>
      </c>
      <c r="AJ30" t="s">
        <v>858</v>
      </c>
      <c r="AK30" s="12">
        <v>45749</v>
      </c>
      <c r="AM30" t="s">
        <v>859</v>
      </c>
      <c r="AN30" s="5">
        <v>1389.92</v>
      </c>
      <c r="AO30" t="s">
        <v>856</v>
      </c>
      <c r="AP30" s="136" t="s">
        <v>263</v>
      </c>
      <c r="AQ30" t="s">
        <v>860</v>
      </c>
      <c r="AR30" t="s">
        <v>857</v>
      </c>
      <c r="AS30" t="s">
        <v>888</v>
      </c>
    </row>
    <row r="31" spans="1:45" ht="15" customHeight="1" x14ac:dyDescent="0.25">
      <c r="AI31" t="s">
        <v>3</v>
      </c>
      <c r="AJ31" t="s">
        <v>858</v>
      </c>
      <c r="AK31" s="12">
        <v>45779</v>
      </c>
      <c r="AM31" t="s">
        <v>859</v>
      </c>
      <c r="AN31" s="5">
        <v>1389.92</v>
      </c>
      <c r="AO31" t="s">
        <v>856</v>
      </c>
      <c r="AP31" s="136" t="s">
        <v>263</v>
      </c>
      <c r="AQ31" t="s">
        <v>860</v>
      </c>
      <c r="AR31" t="s">
        <v>857</v>
      </c>
      <c r="AS31" t="s">
        <v>889</v>
      </c>
    </row>
    <row r="32" spans="1:45" ht="15" customHeight="1" x14ac:dyDescent="0.25">
      <c r="AI32" t="s">
        <v>3</v>
      </c>
      <c r="AJ32" t="s">
        <v>858</v>
      </c>
      <c r="AK32" s="12">
        <v>45809</v>
      </c>
      <c r="AM32" t="s">
        <v>859</v>
      </c>
      <c r="AN32" s="5">
        <v>1389.92</v>
      </c>
      <c r="AO32" t="s">
        <v>856</v>
      </c>
      <c r="AP32" s="136" t="s">
        <v>263</v>
      </c>
      <c r="AQ32" t="s">
        <v>860</v>
      </c>
      <c r="AR32" t="s">
        <v>857</v>
      </c>
      <c r="AS32" t="s">
        <v>890</v>
      </c>
    </row>
    <row r="33" spans="35:45" ht="15" customHeight="1" x14ac:dyDescent="0.25">
      <c r="AI33" t="s">
        <v>3</v>
      </c>
      <c r="AJ33" t="s">
        <v>858</v>
      </c>
      <c r="AK33" s="12">
        <v>45839</v>
      </c>
      <c r="AM33" t="s">
        <v>859</v>
      </c>
      <c r="AN33" s="5">
        <v>1389.92</v>
      </c>
      <c r="AO33" t="s">
        <v>856</v>
      </c>
      <c r="AP33" s="136" t="s">
        <v>263</v>
      </c>
      <c r="AQ33" t="s">
        <v>860</v>
      </c>
      <c r="AR33" t="s">
        <v>857</v>
      </c>
      <c r="AS33" t="s">
        <v>891</v>
      </c>
    </row>
    <row r="34" spans="35:45" ht="15" customHeight="1" x14ac:dyDescent="0.25">
      <c r="AI34" t="s">
        <v>3</v>
      </c>
      <c r="AJ34" t="s">
        <v>858</v>
      </c>
      <c r="AK34" s="12">
        <v>45869</v>
      </c>
      <c r="AM34" t="s">
        <v>859</v>
      </c>
      <c r="AN34" s="5">
        <v>1389.92</v>
      </c>
      <c r="AO34" t="s">
        <v>856</v>
      </c>
      <c r="AP34" s="136" t="s">
        <v>263</v>
      </c>
      <c r="AQ34" t="s">
        <v>860</v>
      </c>
      <c r="AR34" t="s">
        <v>857</v>
      </c>
      <c r="AS34" t="s">
        <v>892</v>
      </c>
    </row>
    <row r="35" spans="35:45" ht="15" customHeight="1" x14ac:dyDescent="0.25">
      <c r="AI35" t="s">
        <v>3</v>
      </c>
      <c r="AJ35" t="s">
        <v>858</v>
      </c>
      <c r="AK35" s="12">
        <v>45899</v>
      </c>
      <c r="AM35" t="s">
        <v>859</v>
      </c>
      <c r="AN35" s="5">
        <v>1389.92</v>
      </c>
      <c r="AO35" t="s">
        <v>856</v>
      </c>
      <c r="AP35" s="136" t="s">
        <v>263</v>
      </c>
      <c r="AQ35" t="s">
        <v>860</v>
      </c>
      <c r="AR35" t="s">
        <v>857</v>
      </c>
      <c r="AS35" t="s">
        <v>893</v>
      </c>
    </row>
    <row r="36" spans="35:45" ht="15" customHeight="1" x14ac:dyDescent="0.25">
      <c r="AI36" t="s">
        <v>3</v>
      </c>
      <c r="AJ36" t="s">
        <v>858</v>
      </c>
      <c r="AK36" s="12">
        <v>45929</v>
      </c>
      <c r="AM36" t="s">
        <v>859</v>
      </c>
      <c r="AN36" s="5">
        <v>1389.92</v>
      </c>
      <c r="AO36" t="s">
        <v>856</v>
      </c>
      <c r="AP36" s="136" t="s">
        <v>263</v>
      </c>
      <c r="AQ36" t="s">
        <v>860</v>
      </c>
      <c r="AR36" t="s">
        <v>857</v>
      </c>
      <c r="AS36" t="s">
        <v>894</v>
      </c>
    </row>
    <row r="37" spans="35:45" ht="15" customHeight="1" x14ac:dyDescent="0.25">
      <c r="AI37" t="s">
        <v>3</v>
      </c>
      <c r="AJ37" t="s">
        <v>858</v>
      </c>
      <c r="AK37" s="12">
        <v>45959</v>
      </c>
      <c r="AM37" t="s">
        <v>859</v>
      </c>
      <c r="AN37" s="5">
        <v>1389.92</v>
      </c>
      <c r="AO37" t="s">
        <v>856</v>
      </c>
      <c r="AP37" s="136" t="s">
        <v>263</v>
      </c>
      <c r="AQ37" t="s">
        <v>860</v>
      </c>
      <c r="AR37" t="s">
        <v>857</v>
      </c>
      <c r="AS37" t="s">
        <v>895</v>
      </c>
    </row>
    <row r="38" spans="35:45" ht="15" customHeight="1" x14ac:dyDescent="0.25">
      <c r="AI38" t="s">
        <v>3</v>
      </c>
      <c r="AJ38" t="s">
        <v>858</v>
      </c>
      <c r="AK38" s="12">
        <v>45989</v>
      </c>
      <c r="AM38" t="s">
        <v>859</v>
      </c>
      <c r="AN38" s="5">
        <v>1389.92</v>
      </c>
      <c r="AO38" t="s">
        <v>856</v>
      </c>
      <c r="AP38" s="136" t="s">
        <v>263</v>
      </c>
      <c r="AQ38" t="s">
        <v>860</v>
      </c>
      <c r="AR38" t="s">
        <v>857</v>
      </c>
      <c r="AS38" t="s">
        <v>896</v>
      </c>
    </row>
    <row r="39" spans="35:45" ht="15" customHeight="1" x14ac:dyDescent="0.25">
      <c r="AI39" t="s">
        <v>3</v>
      </c>
      <c r="AJ39" t="s">
        <v>858</v>
      </c>
      <c r="AK39" s="12">
        <v>46019</v>
      </c>
      <c r="AM39" t="s">
        <v>859</v>
      </c>
      <c r="AN39" s="5">
        <v>1389.92</v>
      </c>
      <c r="AO39" t="s">
        <v>856</v>
      </c>
      <c r="AP39" s="136" t="s">
        <v>263</v>
      </c>
      <c r="AQ39" t="s">
        <v>860</v>
      </c>
      <c r="AR39" t="s">
        <v>857</v>
      </c>
      <c r="AS39" t="s">
        <v>897</v>
      </c>
    </row>
    <row r="40" spans="35:45" ht="15" customHeight="1" x14ac:dyDescent="0.25">
      <c r="AI40" t="s">
        <v>3</v>
      </c>
      <c r="AJ40" t="s">
        <v>858</v>
      </c>
      <c r="AK40" s="12">
        <v>46049</v>
      </c>
      <c r="AM40" t="s">
        <v>859</v>
      </c>
      <c r="AN40" s="5">
        <v>1389.92</v>
      </c>
      <c r="AO40" t="s">
        <v>856</v>
      </c>
      <c r="AP40" s="136" t="s">
        <v>263</v>
      </c>
      <c r="AQ40" t="s">
        <v>860</v>
      </c>
      <c r="AR40" t="s">
        <v>857</v>
      </c>
      <c r="AS40" t="s">
        <v>898</v>
      </c>
    </row>
    <row r="41" spans="35:45" ht="15" customHeight="1" x14ac:dyDescent="0.25">
      <c r="AI41" t="s">
        <v>3</v>
      </c>
      <c r="AJ41" t="s">
        <v>660</v>
      </c>
      <c r="AK41" s="12">
        <v>45509</v>
      </c>
      <c r="AM41" t="s">
        <v>859</v>
      </c>
      <c r="AN41" s="5">
        <v>0</v>
      </c>
      <c r="AO41" t="s">
        <v>856</v>
      </c>
      <c r="AP41" s="136" t="s">
        <v>263</v>
      </c>
      <c r="AQ41" t="s">
        <v>860</v>
      </c>
      <c r="AR41" t="s">
        <v>857</v>
      </c>
      <c r="AS41" t="s">
        <v>899</v>
      </c>
    </row>
    <row r="42" spans="35:45" ht="15" customHeight="1" x14ac:dyDescent="0.25">
      <c r="AI42" t="s">
        <v>3</v>
      </c>
      <c r="AJ42" t="s">
        <v>660</v>
      </c>
      <c r="AK42" s="12">
        <v>45539</v>
      </c>
      <c r="AM42" t="s">
        <v>859</v>
      </c>
      <c r="AN42" s="5">
        <v>0</v>
      </c>
      <c r="AO42" t="s">
        <v>856</v>
      </c>
      <c r="AP42" s="136" t="s">
        <v>263</v>
      </c>
      <c r="AQ42" t="s">
        <v>860</v>
      </c>
      <c r="AR42" t="s">
        <v>857</v>
      </c>
      <c r="AS42" t="s">
        <v>900</v>
      </c>
    </row>
    <row r="43" spans="35:45" ht="15" customHeight="1" x14ac:dyDescent="0.25">
      <c r="AI43" t="s">
        <v>3</v>
      </c>
      <c r="AJ43" t="s">
        <v>660</v>
      </c>
      <c r="AK43" s="12">
        <v>45569</v>
      </c>
      <c r="AM43" t="s">
        <v>859</v>
      </c>
      <c r="AN43" s="5">
        <v>0</v>
      </c>
      <c r="AO43" t="s">
        <v>856</v>
      </c>
      <c r="AP43" s="136" t="s">
        <v>263</v>
      </c>
      <c r="AQ43" t="s">
        <v>860</v>
      </c>
      <c r="AR43" t="s">
        <v>857</v>
      </c>
      <c r="AS43" t="s">
        <v>901</v>
      </c>
    </row>
    <row r="44" spans="35:45" ht="15" customHeight="1" x14ac:dyDescent="0.25">
      <c r="AI44" t="s">
        <v>3</v>
      </c>
      <c r="AJ44" t="s">
        <v>660</v>
      </c>
      <c r="AK44" s="12">
        <v>45599</v>
      </c>
      <c r="AM44" t="s">
        <v>859</v>
      </c>
      <c r="AN44" s="5">
        <v>0</v>
      </c>
      <c r="AO44" t="s">
        <v>856</v>
      </c>
      <c r="AP44" s="136" t="s">
        <v>263</v>
      </c>
      <c r="AQ44" t="s">
        <v>860</v>
      </c>
      <c r="AR44" t="s">
        <v>857</v>
      </c>
      <c r="AS44" t="s">
        <v>902</v>
      </c>
    </row>
    <row r="45" spans="35:45" ht="15" customHeight="1" x14ac:dyDescent="0.25">
      <c r="AI45" t="s">
        <v>3</v>
      </c>
      <c r="AJ45" t="s">
        <v>660</v>
      </c>
      <c r="AK45" s="12">
        <v>45629</v>
      </c>
      <c r="AM45" t="s">
        <v>859</v>
      </c>
      <c r="AN45" s="5">
        <v>0</v>
      </c>
      <c r="AO45" t="s">
        <v>856</v>
      </c>
      <c r="AP45" s="136" t="s">
        <v>263</v>
      </c>
      <c r="AQ45" t="s">
        <v>860</v>
      </c>
      <c r="AR45" t="s">
        <v>857</v>
      </c>
      <c r="AS45" t="s">
        <v>903</v>
      </c>
    </row>
    <row r="46" spans="35:45" ht="15" customHeight="1" x14ac:dyDescent="0.25">
      <c r="AI46" t="s">
        <v>3</v>
      </c>
      <c r="AJ46" t="s">
        <v>660</v>
      </c>
      <c r="AK46" s="12">
        <v>45659</v>
      </c>
      <c r="AM46" t="s">
        <v>859</v>
      </c>
      <c r="AN46" s="5">
        <v>0</v>
      </c>
      <c r="AO46" t="s">
        <v>856</v>
      </c>
      <c r="AP46" s="136" t="s">
        <v>263</v>
      </c>
      <c r="AQ46" t="s">
        <v>860</v>
      </c>
      <c r="AR46" t="s">
        <v>857</v>
      </c>
      <c r="AS46" t="s">
        <v>904</v>
      </c>
    </row>
    <row r="47" spans="35:45" ht="15" customHeight="1" x14ac:dyDescent="0.25">
      <c r="AI47" t="s">
        <v>3</v>
      </c>
      <c r="AJ47" t="s">
        <v>660</v>
      </c>
      <c r="AK47" s="12">
        <v>45689</v>
      </c>
      <c r="AM47" t="s">
        <v>859</v>
      </c>
      <c r="AN47" s="5">
        <v>0</v>
      </c>
      <c r="AO47" t="s">
        <v>856</v>
      </c>
      <c r="AP47" s="136" t="s">
        <v>263</v>
      </c>
      <c r="AQ47" t="s">
        <v>860</v>
      </c>
      <c r="AR47" t="s">
        <v>857</v>
      </c>
      <c r="AS47" t="s">
        <v>905</v>
      </c>
    </row>
    <row r="48" spans="35:45" ht="15" customHeight="1" x14ac:dyDescent="0.25">
      <c r="AI48" t="s">
        <v>3</v>
      </c>
      <c r="AJ48" t="s">
        <v>660</v>
      </c>
      <c r="AK48" s="12">
        <v>45719</v>
      </c>
      <c r="AM48" t="s">
        <v>859</v>
      </c>
      <c r="AN48" s="5">
        <v>0</v>
      </c>
      <c r="AO48" t="s">
        <v>856</v>
      </c>
      <c r="AP48" s="136" t="s">
        <v>263</v>
      </c>
      <c r="AQ48" t="s">
        <v>860</v>
      </c>
      <c r="AR48" t="s">
        <v>857</v>
      </c>
      <c r="AS48" t="s">
        <v>906</v>
      </c>
    </row>
    <row r="49" spans="35:45" ht="15" customHeight="1" x14ac:dyDescent="0.25">
      <c r="AI49" t="s">
        <v>3</v>
      </c>
      <c r="AJ49" t="s">
        <v>660</v>
      </c>
      <c r="AK49" s="12">
        <v>45749</v>
      </c>
      <c r="AM49" t="s">
        <v>859</v>
      </c>
      <c r="AN49" s="5">
        <v>0</v>
      </c>
      <c r="AO49" t="s">
        <v>856</v>
      </c>
      <c r="AP49" s="136" t="s">
        <v>263</v>
      </c>
      <c r="AQ49" t="s">
        <v>860</v>
      </c>
      <c r="AR49" t="s">
        <v>857</v>
      </c>
      <c r="AS49" t="s">
        <v>907</v>
      </c>
    </row>
    <row r="50" spans="35:45" ht="15" customHeight="1" x14ac:dyDescent="0.25">
      <c r="AI50" t="s">
        <v>3</v>
      </c>
      <c r="AJ50" t="s">
        <v>660</v>
      </c>
      <c r="AK50" s="12">
        <v>45779</v>
      </c>
      <c r="AM50" t="s">
        <v>859</v>
      </c>
      <c r="AN50" s="5">
        <v>0</v>
      </c>
      <c r="AO50" t="s">
        <v>856</v>
      </c>
      <c r="AP50" s="136" t="s">
        <v>263</v>
      </c>
      <c r="AQ50" t="s">
        <v>860</v>
      </c>
      <c r="AR50" t="s">
        <v>857</v>
      </c>
      <c r="AS50" t="s">
        <v>908</v>
      </c>
    </row>
    <row r="51" spans="35:45" ht="15" customHeight="1" x14ac:dyDescent="0.25">
      <c r="AI51" t="s">
        <v>3</v>
      </c>
      <c r="AJ51" t="s">
        <v>660</v>
      </c>
      <c r="AK51" s="12">
        <v>45809</v>
      </c>
      <c r="AM51" t="s">
        <v>859</v>
      </c>
      <c r="AN51" s="5">
        <v>0</v>
      </c>
      <c r="AO51" t="s">
        <v>856</v>
      </c>
      <c r="AP51" s="136" t="s">
        <v>263</v>
      </c>
      <c r="AQ51" t="s">
        <v>860</v>
      </c>
      <c r="AR51" t="s">
        <v>857</v>
      </c>
      <c r="AS51" t="s">
        <v>909</v>
      </c>
    </row>
    <row r="52" spans="35:45" ht="15" customHeight="1" x14ac:dyDescent="0.25">
      <c r="AI52" t="s">
        <v>3</v>
      </c>
      <c r="AJ52" t="s">
        <v>660</v>
      </c>
      <c r="AK52" s="12">
        <v>45839</v>
      </c>
      <c r="AM52" t="s">
        <v>859</v>
      </c>
      <c r="AN52" s="5">
        <v>0</v>
      </c>
      <c r="AO52" t="s">
        <v>856</v>
      </c>
      <c r="AP52" s="136" t="s">
        <v>263</v>
      </c>
      <c r="AQ52" t="s">
        <v>860</v>
      </c>
      <c r="AR52" t="s">
        <v>857</v>
      </c>
      <c r="AS52" t="s">
        <v>910</v>
      </c>
    </row>
    <row r="53" spans="35:45" ht="15" customHeight="1" x14ac:dyDescent="0.25">
      <c r="AI53" t="s">
        <v>3</v>
      </c>
      <c r="AJ53" t="s">
        <v>660</v>
      </c>
      <c r="AK53" s="12">
        <v>45869</v>
      </c>
      <c r="AM53" t="s">
        <v>859</v>
      </c>
      <c r="AN53" s="5">
        <v>0</v>
      </c>
      <c r="AO53" t="s">
        <v>856</v>
      </c>
      <c r="AP53" s="136" t="s">
        <v>263</v>
      </c>
      <c r="AQ53" t="s">
        <v>860</v>
      </c>
      <c r="AR53" t="s">
        <v>857</v>
      </c>
      <c r="AS53" t="s">
        <v>911</v>
      </c>
    </row>
    <row r="54" spans="35:45" ht="15" customHeight="1" x14ac:dyDescent="0.25">
      <c r="AI54" t="s">
        <v>3</v>
      </c>
      <c r="AJ54" t="s">
        <v>660</v>
      </c>
      <c r="AK54" s="12">
        <v>45899</v>
      </c>
      <c r="AM54" t="s">
        <v>859</v>
      </c>
      <c r="AN54" s="5">
        <v>0</v>
      </c>
      <c r="AO54" t="s">
        <v>856</v>
      </c>
      <c r="AP54" s="136" t="s">
        <v>263</v>
      </c>
      <c r="AQ54" t="s">
        <v>860</v>
      </c>
      <c r="AR54" t="s">
        <v>857</v>
      </c>
      <c r="AS54" t="s">
        <v>912</v>
      </c>
    </row>
    <row r="55" spans="35:45" ht="15" customHeight="1" x14ac:dyDescent="0.25">
      <c r="AI55" t="s">
        <v>3</v>
      </c>
      <c r="AJ55" t="s">
        <v>660</v>
      </c>
      <c r="AK55" s="12">
        <v>45929</v>
      </c>
      <c r="AM55" t="s">
        <v>859</v>
      </c>
      <c r="AN55" s="5">
        <v>0</v>
      </c>
      <c r="AO55" t="s">
        <v>856</v>
      </c>
      <c r="AP55" s="136" t="s">
        <v>263</v>
      </c>
      <c r="AQ55" t="s">
        <v>860</v>
      </c>
      <c r="AR55" t="s">
        <v>857</v>
      </c>
      <c r="AS55" t="s">
        <v>913</v>
      </c>
    </row>
    <row r="56" spans="35:45" ht="15" customHeight="1" x14ac:dyDescent="0.25">
      <c r="AI56" t="s">
        <v>3</v>
      </c>
      <c r="AJ56" t="s">
        <v>660</v>
      </c>
      <c r="AK56" s="12">
        <v>45959</v>
      </c>
      <c r="AM56" t="s">
        <v>859</v>
      </c>
      <c r="AN56" s="5">
        <v>0</v>
      </c>
      <c r="AO56" t="s">
        <v>856</v>
      </c>
      <c r="AP56" s="136" t="s">
        <v>263</v>
      </c>
      <c r="AQ56" t="s">
        <v>860</v>
      </c>
      <c r="AR56" t="s">
        <v>857</v>
      </c>
      <c r="AS56" t="s">
        <v>914</v>
      </c>
    </row>
    <row r="57" spans="35:45" ht="15" customHeight="1" x14ac:dyDescent="0.25">
      <c r="AI57" t="s">
        <v>3</v>
      </c>
      <c r="AJ57" t="s">
        <v>660</v>
      </c>
      <c r="AK57" s="12">
        <v>45989</v>
      </c>
      <c r="AM57" t="s">
        <v>859</v>
      </c>
      <c r="AN57" s="5">
        <v>0</v>
      </c>
      <c r="AO57" t="s">
        <v>856</v>
      </c>
      <c r="AP57" s="136" t="s">
        <v>263</v>
      </c>
      <c r="AQ57" t="s">
        <v>860</v>
      </c>
      <c r="AR57" t="s">
        <v>857</v>
      </c>
      <c r="AS57" t="s">
        <v>915</v>
      </c>
    </row>
    <row r="58" spans="35:45" ht="15" customHeight="1" x14ac:dyDescent="0.25">
      <c r="AI58" t="s">
        <v>3</v>
      </c>
      <c r="AJ58" t="s">
        <v>660</v>
      </c>
      <c r="AK58" s="12">
        <v>46019</v>
      </c>
      <c r="AM58" t="s">
        <v>859</v>
      </c>
      <c r="AN58" s="5">
        <v>0</v>
      </c>
      <c r="AO58" t="s">
        <v>856</v>
      </c>
      <c r="AP58" s="136" t="s">
        <v>263</v>
      </c>
      <c r="AQ58" t="s">
        <v>860</v>
      </c>
      <c r="AR58" t="s">
        <v>857</v>
      </c>
      <c r="AS58" t="s">
        <v>916</v>
      </c>
    </row>
    <row r="59" spans="35:45" ht="15" customHeight="1" x14ac:dyDescent="0.25">
      <c r="AI59" t="s">
        <v>3</v>
      </c>
      <c r="AJ59" t="s">
        <v>660</v>
      </c>
      <c r="AK59" s="12">
        <v>46049</v>
      </c>
      <c r="AM59" t="s">
        <v>859</v>
      </c>
      <c r="AN59" s="5">
        <v>0</v>
      </c>
      <c r="AO59" t="s">
        <v>856</v>
      </c>
      <c r="AP59" s="136" t="s">
        <v>263</v>
      </c>
      <c r="AQ59" t="s">
        <v>860</v>
      </c>
      <c r="AR59" t="s">
        <v>857</v>
      </c>
      <c r="AS59" t="s">
        <v>917</v>
      </c>
    </row>
    <row r="60" spans="35:45" ht="15" customHeight="1" x14ac:dyDescent="0.25">
      <c r="AI60" t="s">
        <v>3</v>
      </c>
      <c r="AJ60" t="s">
        <v>519</v>
      </c>
      <c r="AK60" s="12">
        <v>45509</v>
      </c>
      <c r="AM60" t="s">
        <v>859</v>
      </c>
      <c r="AN60" s="5">
        <v>100</v>
      </c>
      <c r="AO60" t="s">
        <v>856</v>
      </c>
      <c r="AP60" s="136" t="s">
        <v>263</v>
      </c>
      <c r="AQ60" t="s">
        <v>860</v>
      </c>
      <c r="AR60" t="s">
        <v>857</v>
      </c>
      <c r="AS60" t="s">
        <v>918</v>
      </c>
    </row>
    <row r="61" spans="35:45" ht="15" customHeight="1" x14ac:dyDescent="0.25">
      <c r="AI61" t="s">
        <v>3</v>
      </c>
      <c r="AJ61" t="s">
        <v>519</v>
      </c>
      <c r="AK61" s="12">
        <v>45539</v>
      </c>
      <c r="AM61" t="s">
        <v>859</v>
      </c>
      <c r="AN61" s="5">
        <v>100</v>
      </c>
      <c r="AO61" t="s">
        <v>856</v>
      </c>
      <c r="AP61" s="136" t="s">
        <v>263</v>
      </c>
      <c r="AQ61" t="s">
        <v>860</v>
      </c>
      <c r="AR61" t="s">
        <v>857</v>
      </c>
      <c r="AS61" t="s">
        <v>919</v>
      </c>
    </row>
    <row r="62" spans="35:45" ht="15" customHeight="1" x14ac:dyDescent="0.25">
      <c r="AI62" t="s">
        <v>3</v>
      </c>
      <c r="AJ62" t="s">
        <v>519</v>
      </c>
      <c r="AK62" s="12">
        <v>45569</v>
      </c>
      <c r="AM62" t="s">
        <v>859</v>
      </c>
      <c r="AN62" s="5">
        <v>145.4</v>
      </c>
      <c r="AO62" t="s">
        <v>856</v>
      </c>
      <c r="AP62" s="136" t="s">
        <v>263</v>
      </c>
      <c r="AQ62" t="s">
        <v>860</v>
      </c>
      <c r="AR62" t="s">
        <v>857</v>
      </c>
      <c r="AS62" t="s">
        <v>920</v>
      </c>
    </row>
    <row r="63" spans="35:45" ht="15" customHeight="1" x14ac:dyDescent="0.25">
      <c r="AI63" t="s">
        <v>3</v>
      </c>
      <c r="AJ63" t="s">
        <v>519</v>
      </c>
      <c r="AK63" s="12">
        <v>45599</v>
      </c>
      <c r="AM63" t="s">
        <v>859</v>
      </c>
      <c r="AN63" s="5">
        <v>145.4</v>
      </c>
      <c r="AO63" t="s">
        <v>856</v>
      </c>
      <c r="AP63" s="136" t="s">
        <v>263</v>
      </c>
      <c r="AQ63" t="s">
        <v>860</v>
      </c>
      <c r="AR63" t="s">
        <v>857</v>
      </c>
      <c r="AS63" t="s">
        <v>921</v>
      </c>
    </row>
    <row r="64" spans="35:45" ht="15" customHeight="1" x14ac:dyDescent="0.25">
      <c r="AI64" t="s">
        <v>3</v>
      </c>
      <c r="AJ64" t="s">
        <v>519</v>
      </c>
      <c r="AK64" s="12">
        <v>45629</v>
      </c>
      <c r="AM64" t="s">
        <v>859</v>
      </c>
      <c r="AN64" s="5">
        <v>145.4</v>
      </c>
      <c r="AO64" t="s">
        <v>856</v>
      </c>
      <c r="AP64" s="136" t="s">
        <v>263</v>
      </c>
      <c r="AQ64" t="s">
        <v>860</v>
      </c>
      <c r="AR64" t="s">
        <v>857</v>
      </c>
      <c r="AS64" t="s">
        <v>922</v>
      </c>
    </row>
    <row r="65" spans="35:45" ht="15" customHeight="1" x14ac:dyDescent="0.25">
      <c r="AI65" t="s">
        <v>3</v>
      </c>
      <c r="AJ65" t="s">
        <v>519</v>
      </c>
      <c r="AK65" s="12">
        <v>45659</v>
      </c>
      <c r="AM65" t="s">
        <v>859</v>
      </c>
      <c r="AN65" s="5">
        <v>145.4</v>
      </c>
      <c r="AO65" t="s">
        <v>856</v>
      </c>
      <c r="AP65" s="136" t="s">
        <v>263</v>
      </c>
      <c r="AQ65" t="s">
        <v>860</v>
      </c>
      <c r="AR65" t="s">
        <v>857</v>
      </c>
      <c r="AS65" t="s">
        <v>923</v>
      </c>
    </row>
    <row r="66" spans="35:45" ht="15" customHeight="1" x14ac:dyDescent="0.25">
      <c r="AI66" t="s">
        <v>3</v>
      </c>
      <c r="AJ66" t="s">
        <v>519</v>
      </c>
      <c r="AK66" s="12">
        <v>45689</v>
      </c>
      <c r="AM66" t="s">
        <v>859</v>
      </c>
      <c r="AN66" s="5">
        <v>145.4</v>
      </c>
      <c r="AO66" t="s">
        <v>856</v>
      </c>
      <c r="AP66" s="136" t="s">
        <v>263</v>
      </c>
      <c r="AQ66" t="s">
        <v>860</v>
      </c>
      <c r="AR66" t="s">
        <v>857</v>
      </c>
      <c r="AS66" t="s">
        <v>924</v>
      </c>
    </row>
    <row r="67" spans="35:45" ht="15" customHeight="1" x14ac:dyDescent="0.25">
      <c r="AI67" t="s">
        <v>3</v>
      </c>
      <c r="AJ67" t="s">
        <v>519</v>
      </c>
      <c r="AK67" s="12">
        <v>45719</v>
      </c>
      <c r="AM67" t="s">
        <v>859</v>
      </c>
      <c r="AN67" s="5">
        <v>145.4</v>
      </c>
      <c r="AO67" t="s">
        <v>856</v>
      </c>
      <c r="AP67" s="136" t="s">
        <v>263</v>
      </c>
      <c r="AQ67" t="s">
        <v>860</v>
      </c>
      <c r="AR67" t="s">
        <v>857</v>
      </c>
      <c r="AS67" t="s">
        <v>925</v>
      </c>
    </row>
    <row r="68" spans="35:45" ht="15" customHeight="1" x14ac:dyDescent="0.25">
      <c r="AI68" t="s">
        <v>3</v>
      </c>
      <c r="AJ68" t="s">
        <v>519</v>
      </c>
      <c r="AK68" s="12">
        <v>45749</v>
      </c>
      <c r="AM68" t="s">
        <v>859</v>
      </c>
      <c r="AN68" s="5">
        <v>145.4</v>
      </c>
      <c r="AO68" t="s">
        <v>856</v>
      </c>
      <c r="AP68" s="136" t="s">
        <v>263</v>
      </c>
      <c r="AQ68" t="s">
        <v>860</v>
      </c>
      <c r="AR68" t="s">
        <v>857</v>
      </c>
      <c r="AS68" t="s">
        <v>926</v>
      </c>
    </row>
    <row r="69" spans="35:45" ht="15" customHeight="1" x14ac:dyDescent="0.25">
      <c r="AI69" t="s">
        <v>3</v>
      </c>
      <c r="AJ69" t="s">
        <v>519</v>
      </c>
      <c r="AK69" s="12">
        <v>45779</v>
      </c>
      <c r="AM69" t="s">
        <v>859</v>
      </c>
      <c r="AN69" s="5">
        <v>145.4</v>
      </c>
      <c r="AO69" t="s">
        <v>856</v>
      </c>
      <c r="AP69" s="136" t="s">
        <v>263</v>
      </c>
      <c r="AQ69" t="s">
        <v>860</v>
      </c>
      <c r="AR69" t="s">
        <v>857</v>
      </c>
      <c r="AS69" t="s">
        <v>927</v>
      </c>
    </row>
    <row r="70" spans="35:45" ht="15" customHeight="1" x14ac:dyDescent="0.25">
      <c r="AI70" t="s">
        <v>3</v>
      </c>
      <c r="AJ70" t="s">
        <v>519</v>
      </c>
      <c r="AK70" s="12">
        <v>45809</v>
      </c>
      <c r="AM70" t="s">
        <v>859</v>
      </c>
      <c r="AN70" s="5">
        <v>145.4</v>
      </c>
      <c r="AO70" t="s">
        <v>856</v>
      </c>
      <c r="AP70" s="136" t="s">
        <v>263</v>
      </c>
      <c r="AQ70" t="s">
        <v>860</v>
      </c>
      <c r="AR70" t="s">
        <v>857</v>
      </c>
      <c r="AS70" t="s">
        <v>928</v>
      </c>
    </row>
    <row r="71" spans="35:45" ht="15" customHeight="1" x14ac:dyDescent="0.25">
      <c r="AI71" t="s">
        <v>3</v>
      </c>
      <c r="AJ71" t="s">
        <v>519</v>
      </c>
      <c r="AK71" s="12">
        <v>45839</v>
      </c>
      <c r="AM71" t="s">
        <v>859</v>
      </c>
      <c r="AN71" s="5">
        <v>145.4</v>
      </c>
      <c r="AO71" t="s">
        <v>856</v>
      </c>
      <c r="AP71" s="136" t="s">
        <v>263</v>
      </c>
      <c r="AQ71" t="s">
        <v>860</v>
      </c>
      <c r="AR71" t="s">
        <v>857</v>
      </c>
      <c r="AS71" t="s">
        <v>929</v>
      </c>
    </row>
    <row r="72" spans="35:45" ht="15" customHeight="1" x14ac:dyDescent="0.25">
      <c r="AI72" t="s">
        <v>3</v>
      </c>
      <c r="AJ72" t="s">
        <v>519</v>
      </c>
      <c r="AK72" s="12">
        <v>45869</v>
      </c>
      <c r="AM72" t="s">
        <v>859</v>
      </c>
      <c r="AN72" s="5">
        <v>145.4</v>
      </c>
      <c r="AO72" t="s">
        <v>856</v>
      </c>
      <c r="AP72" s="136" t="s">
        <v>263</v>
      </c>
      <c r="AQ72" t="s">
        <v>860</v>
      </c>
      <c r="AR72" t="s">
        <v>857</v>
      </c>
      <c r="AS72" t="s">
        <v>930</v>
      </c>
    </row>
    <row r="73" spans="35:45" ht="15" customHeight="1" x14ac:dyDescent="0.25">
      <c r="AI73" t="s">
        <v>3</v>
      </c>
      <c r="AJ73" t="s">
        <v>519</v>
      </c>
      <c r="AK73" s="12">
        <v>45899</v>
      </c>
      <c r="AM73" t="s">
        <v>859</v>
      </c>
      <c r="AN73" s="5">
        <v>145.4</v>
      </c>
      <c r="AO73" t="s">
        <v>856</v>
      </c>
      <c r="AP73" s="136" t="s">
        <v>263</v>
      </c>
      <c r="AQ73" t="s">
        <v>860</v>
      </c>
      <c r="AR73" t="s">
        <v>857</v>
      </c>
      <c r="AS73" t="s">
        <v>931</v>
      </c>
    </row>
    <row r="74" spans="35:45" ht="15" customHeight="1" x14ac:dyDescent="0.25">
      <c r="AI74" t="s">
        <v>3</v>
      </c>
      <c r="AJ74" t="s">
        <v>519</v>
      </c>
      <c r="AK74" s="12">
        <v>45929</v>
      </c>
      <c r="AM74" t="s">
        <v>859</v>
      </c>
      <c r="AN74" s="5">
        <v>145.4</v>
      </c>
      <c r="AO74" t="s">
        <v>856</v>
      </c>
      <c r="AP74" s="136" t="s">
        <v>263</v>
      </c>
      <c r="AQ74" t="s">
        <v>860</v>
      </c>
      <c r="AR74" t="s">
        <v>857</v>
      </c>
      <c r="AS74" t="s">
        <v>932</v>
      </c>
    </row>
    <row r="75" spans="35:45" ht="15" customHeight="1" x14ac:dyDescent="0.25">
      <c r="AI75" t="s">
        <v>3</v>
      </c>
      <c r="AJ75" t="s">
        <v>519</v>
      </c>
      <c r="AK75" s="12">
        <v>45959</v>
      </c>
      <c r="AM75" t="s">
        <v>859</v>
      </c>
      <c r="AN75" s="5">
        <v>145.4</v>
      </c>
      <c r="AO75" t="s">
        <v>856</v>
      </c>
      <c r="AP75" s="136" t="s">
        <v>263</v>
      </c>
      <c r="AQ75" t="s">
        <v>860</v>
      </c>
      <c r="AR75" t="s">
        <v>857</v>
      </c>
      <c r="AS75" t="s">
        <v>933</v>
      </c>
    </row>
    <row r="76" spans="35:45" ht="15" customHeight="1" x14ac:dyDescent="0.25">
      <c r="AI76" t="s">
        <v>3</v>
      </c>
      <c r="AJ76" t="s">
        <v>519</v>
      </c>
      <c r="AK76" s="12">
        <v>45989</v>
      </c>
      <c r="AM76" t="s">
        <v>859</v>
      </c>
      <c r="AN76" s="5">
        <v>145.4</v>
      </c>
      <c r="AO76" t="s">
        <v>856</v>
      </c>
      <c r="AP76" s="136" t="s">
        <v>263</v>
      </c>
      <c r="AQ76" t="s">
        <v>860</v>
      </c>
      <c r="AR76" t="s">
        <v>857</v>
      </c>
      <c r="AS76" t="s">
        <v>934</v>
      </c>
    </row>
    <row r="77" spans="35:45" ht="15" customHeight="1" x14ac:dyDescent="0.25">
      <c r="AI77" t="s">
        <v>3</v>
      </c>
      <c r="AJ77" t="s">
        <v>519</v>
      </c>
      <c r="AK77" s="12">
        <v>46019</v>
      </c>
      <c r="AM77" t="s">
        <v>859</v>
      </c>
      <c r="AN77" s="5">
        <v>145.4</v>
      </c>
      <c r="AO77" t="s">
        <v>856</v>
      </c>
      <c r="AP77" s="136" t="s">
        <v>263</v>
      </c>
      <c r="AQ77" t="s">
        <v>860</v>
      </c>
      <c r="AR77" t="s">
        <v>857</v>
      </c>
      <c r="AS77" t="s">
        <v>935</v>
      </c>
    </row>
    <row r="78" spans="35:45" ht="15" customHeight="1" x14ac:dyDescent="0.25">
      <c r="AI78" t="s">
        <v>3</v>
      </c>
      <c r="AJ78" t="s">
        <v>519</v>
      </c>
      <c r="AK78" s="12">
        <v>46049</v>
      </c>
      <c r="AM78" t="s">
        <v>859</v>
      </c>
      <c r="AN78" s="5">
        <v>145.4</v>
      </c>
      <c r="AO78" t="s">
        <v>856</v>
      </c>
      <c r="AP78" s="136" t="s">
        <v>263</v>
      </c>
      <c r="AQ78" t="s">
        <v>860</v>
      </c>
      <c r="AR78" t="s">
        <v>857</v>
      </c>
      <c r="AS78" t="s">
        <v>936</v>
      </c>
    </row>
    <row r="79" spans="35:45" ht="15" customHeight="1" x14ac:dyDescent="0.25">
      <c r="AI79" t="s">
        <v>3</v>
      </c>
      <c r="AJ79" t="s">
        <v>845</v>
      </c>
      <c r="AK79" s="12">
        <v>45509</v>
      </c>
      <c r="AM79" t="s">
        <v>859</v>
      </c>
      <c r="AN79" s="5">
        <v>20</v>
      </c>
      <c r="AO79" t="s">
        <v>856</v>
      </c>
      <c r="AP79" s="136" t="s">
        <v>263</v>
      </c>
      <c r="AQ79" t="s">
        <v>860</v>
      </c>
      <c r="AR79" t="s">
        <v>857</v>
      </c>
      <c r="AS79" t="s">
        <v>937</v>
      </c>
    </row>
    <row r="80" spans="35:45" ht="15" customHeight="1" x14ac:dyDescent="0.25">
      <c r="AI80" t="s">
        <v>3</v>
      </c>
      <c r="AJ80" t="s">
        <v>845</v>
      </c>
      <c r="AK80" s="12">
        <v>45539</v>
      </c>
      <c r="AM80" t="s">
        <v>859</v>
      </c>
      <c r="AN80" s="5">
        <v>20</v>
      </c>
      <c r="AO80" t="s">
        <v>856</v>
      </c>
      <c r="AP80" s="136" t="s">
        <v>263</v>
      </c>
      <c r="AQ80" t="s">
        <v>860</v>
      </c>
      <c r="AR80" t="s">
        <v>857</v>
      </c>
      <c r="AS80" t="s">
        <v>938</v>
      </c>
    </row>
    <row r="81" spans="35:45" ht="15" customHeight="1" x14ac:dyDescent="0.25">
      <c r="AI81" t="s">
        <v>3</v>
      </c>
      <c r="AJ81" t="s">
        <v>845</v>
      </c>
      <c r="AK81" s="12">
        <v>45569</v>
      </c>
      <c r="AM81" t="s">
        <v>859</v>
      </c>
      <c r="AN81" s="5">
        <v>20</v>
      </c>
      <c r="AO81" t="s">
        <v>856</v>
      </c>
      <c r="AP81" s="136" t="s">
        <v>263</v>
      </c>
      <c r="AQ81" t="s">
        <v>860</v>
      </c>
      <c r="AR81" t="s">
        <v>857</v>
      </c>
      <c r="AS81" t="s">
        <v>939</v>
      </c>
    </row>
    <row r="82" spans="35:45" ht="15" customHeight="1" x14ac:dyDescent="0.25">
      <c r="AI82" t="s">
        <v>3</v>
      </c>
      <c r="AJ82" t="s">
        <v>845</v>
      </c>
      <c r="AK82" s="12">
        <v>45599</v>
      </c>
      <c r="AM82" t="s">
        <v>859</v>
      </c>
      <c r="AN82" s="5">
        <v>20</v>
      </c>
      <c r="AO82" t="s">
        <v>856</v>
      </c>
      <c r="AP82" s="136" t="s">
        <v>263</v>
      </c>
      <c r="AQ82" t="s">
        <v>860</v>
      </c>
      <c r="AR82" t="s">
        <v>857</v>
      </c>
      <c r="AS82" t="s">
        <v>940</v>
      </c>
    </row>
    <row r="83" spans="35:45" ht="15" customHeight="1" x14ac:dyDescent="0.25">
      <c r="AI83" t="s">
        <v>3</v>
      </c>
      <c r="AJ83" t="s">
        <v>845</v>
      </c>
      <c r="AK83" s="12">
        <v>45629</v>
      </c>
      <c r="AM83" t="s">
        <v>859</v>
      </c>
      <c r="AN83" s="5">
        <v>20</v>
      </c>
      <c r="AO83" t="s">
        <v>856</v>
      </c>
      <c r="AP83" s="136" t="s">
        <v>263</v>
      </c>
      <c r="AQ83" t="s">
        <v>860</v>
      </c>
      <c r="AR83" t="s">
        <v>857</v>
      </c>
      <c r="AS83" t="s">
        <v>941</v>
      </c>
    </row>
    <row r="84" spans="35:45" ht="15" customHeight="1" x14ac:dyDescent="0.25">
      <c r="AI84" t="s">
        <v>3</v>
      </c>
      <c r="AJ84" t="s">
        <v>845</v>
      </c>
      <c r="AK84" s="12">
        <v>45659</v>
      </c>
      <c r="AM84" t="s">
        <v>859</v>
      </c>
      <c r="AN84" s="5">
        <v>20</v>
      </c>
      <c r="AO84" t="s">
        <v>856</v>
      </c>
      <c r="AP84" s="136" t="s">
        <v>263</v>
      </c>
      <c r="AQ84" t="s">
        <v>860</v>
      </c>
      <c r="AR84" t="s">
        <v>857</v>
      </c>
      <c r="AS84" t="s">
        <v>942</v>
      </c>
    </row>
    <row r="85" spans="35:45" ht="15" customHeight="1" x14ac:dyDescent="0.25">
      <c r="AI85" t="s">
        <v>3</v>
      </c>
      <c r="AJ85" t="s">
        <v>845</v>
      </c>
      <c r="AK85" s="12">
        <v>45689</v>
      </c>
      <c r="AM85" t="s">
        <v>859</v>
      </c>
      <c r="AN85" s="5">
        <v>20</v>
      </c>
      <c r="AO85" t="s">
        <v>856</v>
      </c>
      <c r="AP85" s="136" t="s">
        <v>263</v>
      </c>
      <c r="AQ85" t="s">
        <v>860</v>
      </c>
      <c r="AR85" t="s">
        <v>857</v>
      </c>
      <c r="AS85" t="s">
        <v>943</v>
      </c>
    </row>
    <row r="86" spans="35:45" ht="15" customHeight="1" x14ac:dyDescent="0.25">
      <c r="AI86" t="s">
        <v>3</v>
      </c>
      <c r="AJ86" t="s">
        <v>845</v>
      </c>
      <c r="AK86" s="12">
        <v>45719</v>
      </c>
      <c r="AM86" t="s">
        <v>859</v>
      </c>
      <c r="AN86" s="5">
        <v>20</v>
      </c>
      <c r="AO86" t="s">
        <v>856</v>
      </c>
      <c r="AP86" s="136" t="s">
        <v>263</v>
      </c>
      <c r="AQ86" t="s">
        <v>860</v>
      </c>
      <c r="AR86" t="s">
        <v>857</v>
      </c>
      <c r="AS86" t="s">
        <v>944</v>
      </c>
    </row>
    <row r="87" spans="35:45" ht="15" customHeight="1" x14ac:dyDescent="0.25">
      <c r="AI87" t="s">
        <v>3</v>
      </c>
      <c r="AJ87" t="s">
        <v>845</v>
      </c>
      <c r="AK87" s="12">
        <v>45749</v>
      </c>
      <c r="AM87" t="s">
        <v>859</v>
      </c>
      <c r="AN87" s="5">
        <v>20</v>
      </c>
      <c r="AO87" t="s">
        <v>856</v>
      </c>
      <c r="AP87" s="136" t="s">
        <v>263</v>
      </c>
      <c r="AQ87" t="s">
        <v>860</v>
      </c>
      <c r="AR87" t="s">
        <v>857</v>
      </c>
      <c r="AS87" t="s">
        <v>945</v>
      </c>
    </row>
    <row r="88" spans="35:45" ht="15" customHeight="1" x14ac:dyDescent="0.25">
      <c r="AI88" t="s">
        <v>3</v>
      </c>
      <c r="AJ88" t="s">
        <v>845</v>
      </c>
      <c r="AK88" s="12">
        <v>45779</v>
      </c>
      <c r="AM88" t="s">
        <v>859</v>
      </c>
      <c r="AN88" s="5">
        <v>20</v>
      </c>
      <c r="AO88" t="s">
        <v>856</v>
      </c>
      <c r="AP88" s="136" t="s">
        <v>263</v>
      </c>
      <c r="AQ88" t="s">
        <v>860</v>
      </c>
      <c r="AR88" t="s">
        <v>857</v>
      </c>
      <c r="AS88" t="s">
        <v>946</v>
      </c>
    </row>
    <row r="89" spans="35:45" ht="15" customHeight="1" x14ac:dyDescent="0.25">
      <c r="AI89" t="s">
        <v>3</v>
      </c>
      <c r="AJ89" t="s">
        <v>845</v>
      </c>
      <c r="AK89" s="12">
        <v>45809</v>
      </c>
      <c r="AM89" t="s">
        <v>859</v>
      </c>
      <c r="AN89" s="5">
        <v>20</v>
      </c>
      <c r="AO89" t="s">
        <v>856</v>
      </c>
      <c r="AP89" s="136" t="s">
        <v>263</v>
      </c>
      <c r="AQ89" t="s">
        <v>860</v>
      </c>
      <c r="AR89" t="s">
        <v>857</v>
      </c>
      <c r="AS89" t="s">
        <v>947</v>
      </c>
    </row>
    <row r="90" spans="35:45" ht="15" customHeight="1" x14ac:dyDescent="0.25">
      <c r="AI90" t="s">
        <v>3</v>
      </c>
      <c r="AJ90" t="s">
        <v>845</v>
      </c>
      <c r="AK90" s="12">
        <v>45839</v>
      </c>
      <c r="AM90" t="s">
        <v>859</v>
      </c>
      <c r="AN90" s="5">
        <v>20</v>
      </c>
      <c r="AO90" t="s">
        <v>856</v>
      </c>
      <c r="AP90" s="136" t="s">
        <v>263</v>
      </c>
      <c r="AQ90" t="s">
        <v>860</v>
      </c>
      <c r="AR90" t="s">
        <v>857</v>
      </c>
      <c r="AS90" t="s">
        <v>948</v>
      </c>
    </row>
    <row r="91" spans="35:45" ht="15" customHeight="1" x14ac:dyDescent="0.25">
      <c r="AI91" t="s">
        <v>3</v>
      </c>
      <c r="AJ91" t="s">
        <v>845</v>
      </c>
      <c r="AK91" s="12">
        <v>45869</v>
      </c>
      <c r="AM91" t="s">
        <v>859</v>
      </c>
      <c r="AN91" s="5">
        <v>20</v>
      </c>
      <c r="AO91" t="s">
        <v>856</v>
      </c>
      <c r="AP91" s="136" t="s">
        <v>263</v>
      </c>
      <c r="AQ91" t="s">
        <v>860</v>
      </c>
      <c r="AR91" t="s">
        <v>857</v>
      </c>
      <c r="AS91" t="s">
        <v>949</v>
      </c>
    </row>
    <row r="92" spans="35:45" ht="15" customHeight="1" x14ac:dyDescent="0.25">
      <c r="AI92" t="s">
        <v>3</v>
      </c>
      <c r="AJ92" t="s">
        <v>845</v>
      </c>
      <c r="AK92" s="12">
        <v>45899</v>
      </c>
      <c r="AM92" t="s">
        <v>859</v>
      </c>
      <c r="AN92" s="5">
        <v>20</v>
      </c>
      <c r="AO92" t="s">
        <v>856</v>
      </c>
      <c r="AP92" s="136" t="s">
        <v>263</v>
      </c>
      <c r="AQ92" t="s">
        <v>860</v>
      </c>
      <c r="AR92" t="s">
        <v>857</v>
      </c>
      <c r="AS92" t="s">
        <v>950</v>
      </c>
    </row>
    <row r="93" spans="35:45" x14ac:dyDescent="0.25">
      <c r="AI93" t="s">
        <v>3</v>
      </c>
      <c r="AJ93" t="s">
        <v>845</v>
      </c>
      <c r="AK93" s="12">
        <v>45929</v>
      </c>
      <c r="AM93" t="s">
        <v>859</v>
      </c>
      <c r="AN93" s="5">
        <v>20</v>
      </c>
      <c r="AO93" t="s">
        <v>856</v>
      </c>
      <c r="AQ93" t="s">
        <v>860</v>
      </c>
      <c r="AR93" t="s">
        <v>857</v>
      </c>
      <c r="AS93" t="s">
        <v>951</v>
      </c>
    </row>
    <row r="94" spans="35:45" x14ac:dyDescent="0.25">
      <c r="AI94" t="s">
        <v>3</v>
      </c>
      <c r="AJ94" t="s">
        <v>845</v>
      </c>
      <c r="AK94" s="12">
        <v>45959</v>
      </c>
      <c r="AM94" t="s">
        <v>859</v>
      </c>
      <c r="AN94" s="5">
        <v>20</v>
      </c>
      <c r="AO94" t="s">
        <v>856</v>
      </c>
      <c r="AQ94" t="s">
        <v>860</v>
      </c>
      <c r="AR94" t="s">
        <v>857</v>
      </c>
      <c r="AS94" t="s">
        <v>952</v>
      </c>
    </row>
    <row r="95" spans="35:45" x14ac:dyDescent="0.25">
      <c r="AI95" t="s">
        <v>3</v>
      </c>
      <c r="AJ95" t="s">
        <v>845</v>
      </c>
      <c r="AK95" s="12">
        <v>45989</v>
      </c>
      <c r="AM95" t="s">
        <v>859</v>
      </c>
      <c r="AN95" s="5">
        <v>20</v>
      </c>
      <c r="AO95" t="s">
        <v>856</v>
      </c>
      <c r="AQ95" t="s">
        <v>860</v>
      </c>
      <c r="AR95" t="s">
        <v>857</v>
      </c>
      <c r="AS95" t="s">
        <v>953</v>
      </c>
    </row>
    <row r="96" spans="35:45" x14ac:dyDescent="0.25">
      <c r="AI96" t="s">
        <v>3</v>
      </c>
      <c r="AJ96" t="s">
        <v>845</v>
      </c>
      <c r="AK96" s="12">
        <v>46019</v>
      </c>
      <c r="AM96" t="s">
        <v>859</v>
      </c>
      <c r="AN96" s="5">
        <v>20</v>
      </c>
      <c r="AO96" t="s">
        <v>856</v>
      </c>
      <c r="AQ96" t="s">
        <v>860</v>
      </c>
      <c r="AR96" t="s">
        <v>857</v>
      </c>
      <c r="AS96" t="s">
        <v>954</v>
      </c>
    </row>
    <row r="97" spans="35:45" x14ac:dyDescent="0.25">
      <c r="AI97" t="s">
        <v>3</v>
      </c>
      <c r="AJ97" t="s">
        <v>845</v>
      </c>
      <c r="AK97" s="12">
        <v>46049</v>
      </c>
      <c r="AM97" t="s">
        <v>859</v>
      </c>
      <c r="AN97" s="5">
        <v>20</v>
      </c>
      <c r="AO97" t="s">
        <v>856</v>
      </c>
      <c r="AQ97" t="s">
        <v>860</v>
      </c>
      <c r="AR97" t="s">
        <v>857</v>
      </c>
      <c r="AS97" t="s">
        <v>955</v>
      </c>
    </row>
    <row r="98" spans="35:45" x14ac:dyDescent="0.25">
      <c r="AI98" t="s">
        <v>3</v>
      </c>
      <c r="AJ98" t="s">
        <v>659</v>
      </c>
      <c r="AK98" s="12">
        <v>45509</v>
      </c>
      <c r="AM98" t="s">
        <v>859</v>
      </c>
      <c r="AN98" s="5">
        <v>10</v>
      </c>
      <c r="AO98" t="s">
        <v>856</v>
      </c>
      <c r="AQ98" t="s">
        <v>860</v>
      </c>
      <c r="AR98" t="s">
        <v>857</v>
      </c>
      <c r="AS98" t="s">
        <v>956</v>
      </c>
    </row>
    <row r="99" spans="35:45" x14ac:dyDescent="0.25">
      <c r="AI99" t="s">
        <v>3</v>
      </c>
      <c r="AJ99" t="s">
        <v>659</v>
      </c>
      <c r="AK99" s="12">
        <v>45539</v>
      </c>
      <c r="AM99" t="s">
        <v>859</v>
      </c>
      <c r="AN99" s="5">
        <v>10</v>
      </c>
      <c r="AO99" t="s">
        <v>856</v>
      </c>
      <c r="AQ99" t="s">
        <v>860</v>
      </c>
      <c r="AR99" t="s">
        <v>857</v>
      </c>
      <c r="AS99" t="s">
        <v>957</v>
      </c>
    </row>
    <row r="100" spans="35:45" x14ac:dyDescent="0.25">
      <c r="AI100" t="s">
        <v>3</v>
      </c>
      <c r="AJ100" t="s">
        <v>659</v>
      </c>
      <c r="AK100" s="12">
        <v>45569</v>
      </c>
      <c r="AM100" t="s">
        <v>859</v>
      </c>
      <c r="AN100" s="5">
        <v>10</v>
      </c>
      <c r="AO100" t="s">
        <v>856</v>
      </c>
      <c r="AQ100" t="s">
        <v>860</v>
      </c>
      <c r="AR100" t="s">
        <v>857</v>
      </c>
      <c r="AS100" t="s">
        <v>958</v>
      </c>
    </row>
    <row r="101" spans="35:45" x14ac:dyDescent="0.25">
      <c r="AI101" t="s">
        <v>3</v>
      </c>
      <c r="AJ101" t="s">
        <v>659</v>
      </c>
      <c r="AK101" s="12">
        <v>45599</v>
      </c>
      <c r="AM101" t="s">
        <v>859</v>
      </c>
      <c r="AN101" s="5">
        <v>10</v>
      </c>
      <c r="AO101" t="s">
        <v>856</v>
      </c>
      <c r="AQ101" t="s">
        <v>860</v>
      </c>
      <c r="AR101" t="s">
        <v>857</v>
      </c>
      <c r="AS101" t="s">
        <v>959</v>
      </c>
    </row>
    <row r="102" spans="35:45" x14ac:dyDescent="0.25">
      <c r="AI102" t="s">
        <v>3</v>
      </c>
      <c r="AJ102" t="s">
        <v>659</v>
      </c>
      <c r="AK102" s="12">
        <v>45629</v>
      </c>
      <c r="AM102" t="s">
        <v>859</v>
      </c>
      <c r="AN102" s="5">
        <v>10</v>
      </c>
      <c r="AO102" t="s">
        <v>856</v>
      </c>
      <c r="AQ102" t="s">
        <v>860</v>
      </c>
      <c r="AR102" t="s">
        <v>857</v>
      </c>
      <c r="AS102" t="s">
        <v>960</v>
      </c>
    </row>
    <row r="103" spans="35:45" x14ac:dyDescent="0.25">
      <c r="AI103" t="s">
        <v>3</v>
      </c>
      <c r="AJ103" t="s">
        <v>659</v>
      </c>
      <c r="AK103" s="12">
        <v>45659</v>
      </c>
      <c r="AM103" t="s">
        <v>859</v>
      </c>
      <c r="AN103" s="5">
        <v>10</v>
      </c>
      <c r="AO103" t="s">
        <v>856</v>
      </c>
      <c r="AQ103" t="s">
        <v>860</v>
      </c>
      <c r="AR103" t="s">
        <v>857</v>
      </c>
      <c r="AS103" t="s">
        <v>961</v>
      </c>
    </row>
    <row r="104" spans="35:45" x14ac:dyDescent="0.25">
      <c r="AI104" t="s">
        <v>3</v>
      </c>
      <c r="AJ104" t="s">
        <v>659</v>
      </c>
      <c r="AK104" s="12">
        <v>45689</v>
      </c>
      <c r="AM104" t="s">
        <v>859</v>
      </c>
      <c r="AN104" s="5">
        <v>10</v>
      </c>
      <c r="AO104" t="s">
        <v>856</v>
      </c>
      <c r="AQ104" t="s">
        <v>860</v>
      </c>
      <c r="AR104" t="s">
        <v>857</v>
      </c>
      <c r="AS104" t="s">
        <v>962</v>
      </c>
    </row>
    <row r="105" spans="35:45" x14ac:dyDescent="0.25">
      <c r="AI105" t="s">
        <v>3</v>
      </c>
      <c r="AJ105" t="s">
        <v>659</v>
      </c>
      <c r="AK105" s="12">
        <v>45719</v>
      </c>
      <c r="AM105" t="s">
        <v>859</v>
      </c>
      <c r="AN105" s="5">
        <v>10</v>
      </c>
      <c r="AO105" t="s">
        <v>856</v>
      </c>
      <c r="AQ105" t="s">
        <v>860</v>
      </c>
      <c r="AR105" t="s">
        <v>857</v>
      </c>
      <c r="AS105" t="s">
        <v>963</v>
      </c>
    </row>
    <row r="106" spans="35:45" x14ac:dyDescent="0.25">
      <c r="AI106" t="s">
        <v>3</v>
      </c>
      <c r="AJ106" t="s">
        <v>659</v>
      </c>
      <c r="AK106" s="12">
        <v>45749</v>
      </c>
      <c r="AM106" t="s">
        <v>859</v>
      </c>
      <c r="AN106" s="5">
        <v>10</v>
      </c>
      <c r="AO106" t="s">
        <v>856</v>
      </c>
      <c r="AQ106" t="s">
        <v>860</v>
      </c>
      <c r="AR106" t="s">
        <v>857</v>
      </c>
      <c r="AS106" t="s">
        <v>964</v>
      </c>
    </row>
    <row r="107" spans="35:45" x14ac:dyDescent="0.25">
      <c r="AI107" t="s">
        <v>3</v>
      </c>
      <c r="AJ107" t="s">
        <v>659</v>
      </c>
      <c r="AK107" s="12">
        <v>45779</v>
      </c>
      <c r="AM107" t="s">
        <v>859</v>
      </c>
      <c r="AN107" s="5">
        <v>10</v>
      </c>
      <c r="AO107" t="s">
        <v>856</v>
      </c>
      <c r="AQ107" t="s">
        <v>860</v>
      </c>
      <c r="AR107" t="s">
        <v>857</v>
      </c>
      <c r="AS107" t="s">
        <v>965</v>
      </c>
    </row>
    <row r="108" spans="35:45" x14ac:dyDescent="0.25">
      <c r="AI108" t="s">
        <v>3</v>
      </c>
      <c r="AJ108" t="s">
        <v>659</v>
      </c>
      <c r="AK108" s="12">
        <v>45809</v>
      </c>
      <c r="AM108" t="s">
        <v>859</v>
      </c>
      <c r="AN108" s="5">
        <v>10</v>
      </c>
      <c r="AO108" t="s">
        <v>856</v>
      </c>
      <c r="AQ108" t="s">
        <v>860</v>
      </c>
      <c r="AR108" t="s">
        <v>857</v>
      </c>
      <c r="AS108" t="s">
        <v>966</v>
      </c>
    </row>
    <row r="109" spans="35:45" x14ac:dyDescent="0.25">
      <c r="AI109" t="s">
        <v>3</v>
      </c>
      <c r="AJ109" t="s">
        <v>659</v>
      </c>
      <c r="AK109" s="12">
        <v>45839</v>
      </c>
      <c r="AM109" t="s">
        <v>859</v>
      </c>
      <c r="AN109" s="5">
        <v>10</v>
      </c>
      <c r="AO109" t="s">
        <v>856</v>
      </c>
      <c r="AQ109" t="s">
        <v>860</v>
      </c>
      <c r="AR109" t="s">
        <v>857</v>
      </c>
      <c r="AS109" t="s">
        <v>967</v>
      </c>
    </row>
    <row r="110" spans="35:45" x14ac:dyDescent="0.25">
      <c r="AI110" t="s">
        <v>3</v>
      </c>
      <c r="AJ110" t="s">
        <v>659</v>
      </c>
      <c r="AK110" s="12">
        <v>45869</v>
      </c>
      <c r="AM110" t="s">
        <v>859</v>
      </c>
      <c r="AN110" s="5">
        <v>10</v>
      </c>
      <c r="AO110" t="s">
        <v>856</v>
      </c>
      <c r="AQ110" t="s">
        <v>860</v>
      </c>
      <c r="AR110" t="s">
        <v>857</v>
      </c>
      <c r="AS110" t="s">
        <v>968</v>
      </c>
    </row>
    <row r="111" spans="35:45" x14ac:dyDescent="0.25">
      <c r="AI111" t="s">
        <v>3</v>
      </c>
      <c r="AJ111" t="s">
        <v>659</v>
      </c>
      <c r="AK111" s="12">
        <v>45899</v>
      </c>
      <c r="AM111" t="s">
        <v>859</v>
      </c>
      <c r="AN111" s="5">
        <v>10</v>
      </c>
      <c r="AO111" t="s">
        <v>856</v>
      </c>
      <c r="AQ111" t="s">
        <v>860</v>
      </c>
      <c r="AR111" t="s">
        <v>857</v>
      </c>
      <c r="AS111" t="s">
        <v>969</v>
      </c>
    </row>
    <row r="112" spans="35:45" x14ac:dyDescent="0.25">
      <c r="AI112" t="s">
        <v>3</v>
      </c>
      <c r="AJ112" t="s">
        <v>659</v>
      </c>
      <c r="AK112" s="12">
        <v>45929</v>
      </c>
      <c r="AM112" t="s">
        <v>859</v>
      </c>
      <c r="AN112" s="5">
        <v>10</v>
      </c>
      <c r="AO112" t="s">
        <v>856</v>
      </c>
      <c r="AQ112" t="s">
        <v>860</v>
      </c>
      <c r="AR112" t="s">
        <v>857</v>
      </c>
      <c r="AS112" t="s">
        <v>970</v>
      </c>
    </row>
    <row r="113" spans="35:45" x14ac:dyDescent="0.25">
      <c r="AI113" t="s">
        <v>3</v>
      </c>
      <c r="AJ113" t="s">
        <v>659</v>
      </c>
      <c r="AK113" s="12">
        <v>45959</v>
      </c>
      <c r="AM113" t="s">
        <v>859</v>
      </c>
      <c r="AN113" s="5">
        <v>10</v>
      </c>
      <c r="AO113" t="s">
        <v>856</v>
      </c>
      <c r="AQ113" t="s">
        <v>860</v>
      </c>
      <c r="AR113" t="s">
        <v>857</v>
      </c>
      <c r="AS113" t="s">
        <v>971</v>
      </c>
    </row>
    <row r="114" spans="35:45" x14ac:dyDescent="0.25">
      <c r="AI114" t="s">
        <v>3</v>
      </c>
      <c r="AJ114" t="s">
        <v>659</v>
      </c>
      <c r="AK114" s="12">
        <v>45989</v>
      </c>
      <c r="AM114" t="s">
        <v>859</v>
      </c>
      <c r="AN114" s="5">
        <v>10</v>
      </c>
      <c r="AO114" t="s">
        <v>856</v>
      </c>
      <c r="AQ114" t="s">
        <v>860</v>
      </c>
      <c r="AR114" t="s">
        <v>857</v>
      </c>
      <c r="AS114" t="s">
        <v>972</v>
      </c>
    </row>
    <row r="115" spans="35:45" x14ac:dyDescent="0.25">
      <c r="AI115" t="s">
        <v>3</v>
      </c>
      <c r="AJ115" t="s">
        <v>659</v>
      </c>
      <c r="AK115" s="12">
        <v>46019</v>
      </c>
      <c r="AM115" t="s">
        <v>859</v>
      </c>
      <c r="AN115" s="5">
        <v>10</v>
      </c>
      <c r="AO115" t="s">
        <v>856</v>
      </c>
      <c r="AQ115" t="s">
        <v>860</v>
      </c>
      <c r="AR115" t="s">
        <v>857</v>
      </c>
      <c r="AS115" t="s">
        <v>973</v>
      </c>
    </row>
    <row r="116" spans="35:45" x14ac:dyDescent="0.25">
      <c r="AI116" t="s">
        <v>3</v>
      </c>
      <c r="AJ116" t="s">
        <v>659</v>
      </c>
      <c r="AK116" s="12">
        <v>46049</v>
      </c>
      <c r="AM116" t="s">
        <v>859</v>
      </c>
      <c r="AN116" s="5">
        <v>10</v>
      </c>
      <c r="AO116" t="s">
        <v>856</v>
      </c>
      <c r="AQ116" t="s">
        <v>860</v>
      </c>
      <c r="AR116" t="s">
        <v>857</v>
      </c>
      <c r="AS116" t="s">
        <v>974</v>
      </c>
    </row>
    <row r="117" spans="35:45" x14ac:dyDescent="0.25">
      <c r="AI117" t="s">
        <v>3</v>
      </c>
      <c r="AJ117" t="s">
        <v>727</v>
      </c>
      <c r="AK117" s="12">
        <v>45170</v>
      </c>
      <c r="AM117" t="s">
        <v>859</v>
      </c>
      <c r="AN117" s="5">
        <v>893</v>
      </c>
      <c r="AO117" t="s">
        <v>856</v>
      </c>
      <c r="AQ117" t="s">
        <v>860</v>
      </c>
      <c r="AR117" t="s">
        <v>857</v>
      </c>
      <c r="AS117" t="s">
        <v>975</v>
      </c>
    </row>
    <row r="118" spans="35:45" x14ac:dyDescent="0.25">
      <c r="AI118" t="s">
        <v>3</v>
      </c>
      <c r="AJ118" t="s">
        <v>727</v>
      </c>
      <c r="AK118" s="12">
        <v>45536</v>
      </c>
      <c r="AM118" t="s">
        <v>859</v>
      </c>
      <c r="AN118" s="5">
        <v>2453</v>
      </c>
      <c r="AO118" t="s">
        <v>856</v>
      </c>
      <c r="AQ118" t="s">
        <v>860</v>
      </c>
      <c r="AR118" t="s">
        <v>857</v>
      </c>
      <c r="AS118" t="s">
        <v>976</v>
      </c>
    </row>
    <row r="119" spans="35:45" x14ac:dyDescent="0.25">
      <c r="AI119" t="s">
        <v>3</v>
      </c>
      <c r="AJ119" t="s">
        <v>727</v>
      </c>
      <c r="AK119" s="12">
        <v>45901</v>
      </c>
      <c r="AM119" t="s">
        <v>859</v>
      </c>
      <c r="AN119" s="5">
        <v>2453</v>
      </c>
      <c r="AO119" t="s">
        <v>856</v>
      </c>
      <c r="AQ119" t="s">
        <v>860</v>
      </c>
      <c r="AR119" t="s">
        <v>857</v>
      </c>
      <c r="AS119" t="s">
        <v>977</v>
      </c>
    </row>
    <row r="120" spans="35:45" x14ac:dyDescent="0.25">
      <c r="AI120" t="s">
        <v>3</v>
      </c>
      <c r="AJ120" t="s">
        <v>727</v>
      </c>
      <c r="AK120" s="12">
        <v>46266</v>
      </c>
      <c r="AM120" t="s">
        <v>859</v>
      </c>
      <c r="AN120" s="5">
        <v>0</v>
      </c>
      <c r="AO120" t="s">
        <v>856</v>
      </c>
      <c r="AQ120" t="s">
        <v>860</v>
      </c>
      <c r="AR120" t="s">
        <v>857</v>
      </c>
      <c r="AS120" t="s">
        <v>978</v>
      </c>
    </row>
    <row r="121" spans="35:45" x14ac:dyDescent="0.25">
      <c r="AI121" t="s">
        <v>3</v>
      </c>
      <c r="AJ121" t="s">
        <v>727</v>
      </c>
      <c r="AK121" s="12">
        <v>46631</v>
      </c>
      <c r="AM121" t="s">
        <v>859</v>
      </c>
      <c r="AN121" s="5">
        <v>0</v>
      </c>
      <c r="AO121" t="s">
        <v>856</v>
      </c>
      <c r="AQ121" t="s">
        <v>860</v>
      </c>
      <c r="AR121" t="s">
        <v>857</v>
      </c>
      <c r="AS121" t="s">
        <v>979</v>
      </c>
    </row>
    <row r="122" spans="35:45" x14ac:dyDescent="0.25">
      <c r="AI122" t="s">
        <v>3</v>
      </c>
      <c r="AJ122" t="s">
        <v>727</v>
      </c>
      <c r="AK122" s="12">
        <v>46996</v>
      </c>
      <c r="AM122" t="s">
        <v>859</v>
      </c>
      <c r="AN122" s="5">
        <v>0</v>
      </c>
      <c r="AO122" t="s">
        <v>856</v>
      </c>
      <c r="AQ122" t="s">
        <v>860</v>
      </c>
      <c r="AR122" t="s">
        <v>857</v>
      </c>
      <c r="AS122" t="s">
        <v>980</v>
      </c>
    </row>
    <row r="123" spans="35:45" x14ac:dyDescent="0.25">
      <c r="AI123" t="s">
        <v>3</v>
      </c>
      <c r="AJ123" t="s">
        <v>727</v>
      </c>
      <c r="AK123" s="12">
        <v>47361</v>
      </c>
      <c r="AM123" t="s">
        <v>859</v>
      </c>
      <c r="AN123" s="5">
        <v>0</v>
      </c>
      <c r="AO123" t="s">
        <v>856</v>
      </c>
      <c r="AQ123" t="s">
        <v>860</v>
      </c>
      <c r="AR123" t="s">
        <v>857</v>
      </c>
      <c r="AS123" t="s">
        <v>981</v>
      </c>
    </row>
    <row r="124" spans="35:45" x14ac:dyDescent="0.25">
      <c r="AI124" t="s">
        <v>3</v>
      </c>
      <c r="AJ124" t="s">
        <v>727</v>
      </c>
      <c r="AK124" s="12">
        <v>47726</v>
      </c>
      <c r="AM124" t="s">
        <v>859</v>
      </c>
      <c r="AN124" s="5">
        <v>0</v>
      </c>
      <c r="AO124" t="s">
        <v>856</v>
      </c>
      <c r="AQ124" t="s">
        <v>860</v>
      </c>
      <c r="AR124" t="s">
        <v>857</v>
      </c>
      <c r="AS124" t="s">
        <v>982</v>
      </c>
    </row>
    <row r="125" spans="35:45" x14ac:dyDescent="0.25">
      <c r="AI125" t="s">
        <v>3</v>
      </c>
      <c r="AJ125" t="s">
        <v>727</v>
      </c>
      <c r="AK125" s="12">
        <v>48091</v>
      </c>
      <c r="AM125" t="s">
        <v>859</v>
      </c>
      <c r="AN125" s="5">
        <v>0</v>
      </c>
      <c r="AO125" t="s">
        <v>856</v>
      </c>
      <c r="AQ125" t="s">
        <v>860</v>
      </c>
      <c r="AR125" t="s">
        <v>857</v>
      </c>
      <c r="AS125" t="s">
        <v>983</v>
      </c>
    </row>
    <row r="126" spans="35:45" x14ac:dyDescent="0.25">
      <c r="AI126" t="s">
        <v>3</v>
      </c>
      <c r="AJ126" t="s">
        <v>727</v>
      </c>
      <c r="AK126" s="12">
        <v>48456</v>
      </c>
      <c r="AM126" t="s">
        <v>859</v>
      </c>
      <c r="AN126" s="5">
        <v>0</v>
      </c>
      <c r="AO126" t="s">
        <v>856</v>
      </c>
      <c r="AQ126" t="s">
        <v>860</v>
      </c>
      <c r="AR126" t="s">
        <v>857</v>
      </c>
      <c r="AS126" t="s">
        <v>984</v>
      </c>
    </row>
    <row r="127" spans="35:45" x14ac:dyDescent="0.25">
      <c r="AI127" t="s">
        <v>3</v>
      </c>
      <c r="AJ127" t="s">
        <v>727</v>
      </c>
      <c r="AK127" s="12">
        <v>48821</v>
      </c>
      <c r="AM127" t="s">
        <v>859</v>
      </c>
      <c r="AN127" s="5">
        <v>0</v>
      </c>
      <c r="AO127" t="s">
        <v>856</v>
      </c>
      <c r="AQ127" t="s">
        <v>860</v>
      </c>
      <c r="AR127" t="s">
        <v>857</v>
      </c>
      <c r="AS127" t="s">
        <v>985</v>
      </c>
    </row>
    <row r="128" spans="35:45" x14ac:dyDescent="0.25">
      <c r="AI128" t="s">
        <v>3</v>
      </c>
      <c r="AJ128" t="s">
        <v>727</v>
      </c>
      <c r="AK128" s="12">
        <v>49186</v>
      </c>
      <c r="AM128" t="s">
        <v>859</v>
      </c>
      <c r="AN128" s="5">
        <v>0</v>
      </c>
      <c r="AO128" t="s">
        <v>856</v>
      </c>
      <c r="AQ128" t="s">
        <v>860</v>
      </c>
      <c r="AR128" t="s">
        <v>857</v>
      </c>
      <c r="AS128" t="s">
        <v>986</v>
      </c>
    </row>
    <row r="129" spans="35:45" x14ac:dyDescent="0.25">
      <c r="AI129" t="s">
        <v>3</v>
      </c>
      <c r="AJ129" t="s">
        <v>727</v>
      </c>
      <c r="AK129" s="12">
        <v>49551</v>
      </c>
      <c r="AM129" t="s">
        <v>859</v>
      </c>
      <c r="AN129" s="5">
        <v>0</v>
      </c>
      <c r="AO129" t="s">
        <v>856</v>
      </c>
      <c r="AQ129" t="s">
        <v>860</v>
      </c>
      <c r="AR129" t="s">
        <v>857</v>
      </c>
      <c r="AS129" t="s">
        <v>987</v>
      </c>
    </row>
    <row r="130" spans="35:45" x14ac:dyDescent="0.25">
      <c r="AI130" t="s">
        <v>3</v>
      </c>
      <c r="AJ130" t="s">
        <v>727</v>
      </c>
      <c r="AK130" s="12">
        <v>49916</v>
      </c>
      <c r="AM130" t="s">
        <v>859</v>
      </c>
      <c r="AN130" s="5">
        <v>0</v>
      </c>
      <c r="AO130" t="s">
        <v>856</v>
      </c>
      <c r="AQ130" t="s">
        <v>860</v>
      </c>
      <c r="AR130" t="s">
        <v>857</v>
      </c>
      <c r="AS130" t="s">
        <v>988</v>
      </c>
    </row>
    <row r="131" spans="35:45" x14ac:dyDescent="0.25">
      <c r="AI131" t="s">
        <v>3</v>
      </c>
      <c r="AJ131" t="s">
        <v>727</v>
      </c>
      <c r="AK131" s="12">
        <v>50281</v>
      </c>
      <c r="AM131" t="s">
        <v>859</v>
      </c>
      <c r="AN131" s="5">
        <v>0</v>
      </c>
      <c r="AO131" t="s">
        <v>856</v>
      </c>
      <c r="AQ131" t="s">
        <v>860</v>
      </c>
      <c r="AR131" t="s">
        <v>857</v>
      </c>
      <c r="AS131" t="s">
        <v>989</v>
      </c>
    </row>
    <row r="132" spans="35:45" x14ac:dyDescent="0.25">
      <c r="AI132" t="s">
        <v>3</v>
      </c>
      <c r="AJ132" t="s">
        <v>727</v>
      </c>
      <c r="AK132" s="12">
        <v>50646</v>
      </c>
      <c r="AM132" t="s">
        <v>859</v>
      </c>
      <c r="AN132" s="5">
        <v>0</v>
      </c>
      <c r="AO132" t="s">
        <v>856</v>
      </c>
      <c r="AQ132" t="s">
        <v>860</v>
      </c>
      <c r="AR132" t="s">
        <v>857</v>
      </c>
      <c r="AS132" t="s">
        <v>990</v>
      </c>
    </row>
    <row r="133" spans="35:45" x14ac:dyDescent="0.25">
      <c r="AI133" t="s">
        <v>3</v>
      </c>
      <c r="AJ133" t="s">
        <v>727</v>
      </c>
      <c r="AK133" s="12">
        <v>51011</v>
      </c>
      <c r="AM133" t="s">
        <v>859</v>
      </c>
      <c r="AN133" s="5">
        <v>0</v>
      </c>
      <c r="AO133" t="s">
        <v>856</v>
      </c>
      <c r="AQ133" t="s">
        <v>860</v>
      </c>
      <c r="AR133" t="s">
        <v>857</v>
      </c>
      <c r="AS133" t="s">
        <v>991</v>
      </c>
    </row>
    <row r="134" spans="35:45" x14ac:dyDescent="0.25">
      <c r="AI134" t="s">
        <v>3</v>
      </c>
      <c r="AJ134" t="s">
        <v>727</v>
      </c>
      <c r="AK134" s="12">
        <v>51376</v>
      </c>
      <c r="AM134" t="s">
        <v>859</v>
      </c>
      <c r="AN134" s="5">
        <v>0</v>
      </c>
      <c r="AO134" t="s">
        <v>856</v>
      </c>
      <c r="AQ134" t="s">
        <v>860</v>
      </c>
      <c r="AR134" t="s">
        <v>857</v>
      </c>
      <c r="AS134" t="s">
        <v>992</v>
      </c>
    </row>
    <row r="135" spans="35:45" x14ac:dyDescent="0.25">
      <c r="AI135" t="s">
        <v>3</v>
      </c>
      <c r="AJ135" t="s">
        <v>727</v>
      </c>
      <c r="AK135" s="12">
        <v>51741</v>
      </c>
      <c r="AM135" t="s">
        <v>859</v>
      </c>
      <c r="AN135" s="5">
        <v>0</v>
      </c>
      <c r="AO135" t="s">
        <v>856</v>
      </c>
      <c r="AQ135" t="s">
        <v>860</v>
      </c>
      <c r="AR135" t="s">
        <v>857</v>
      </c>
      <c r="AS135" t="s">
        <v>993</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topLeftCell="J1" zoomScaleNormal="100" workbookViewId="0">
      <pane ySplit="11" topLeftCell="A23" activePane="bottomLeft" state="frozen"/>
      <selection activeCell="H28" sqref="H28"/>
      <selection pane="bottomLeft" activeCell="E60" sqref="E60"/>
    </sheetView>
  </sheetViews>
  <sheetFormatPr defaultRowHeight="15" x14ac:dyDescent="0.25"/>
  <cols>
    <col min="1" max="1" width="21.42578125" style="55" bestFit="1" customWidth="1"/>
    <col min="2" max="2" width="20.5703125" style="55" bestFit="1" customWidth="1"/>
    <col min="3" max="3" width="97.85546875" style="55" bestFit="1" customWidth="1"/>
    <col min="4" max="4" width="7.5703125" style="56" customWidth="1"/>
    <col min="5" max="5" width="14.140625" style="57" customWidth="1"/>
    <col min="6" max="6" width="9.140625" style="55"/>
    <col min="7" max="7" width="18.7109375" style="55" bestFit="1" customWidth="1"/>
    <col min="8" max="8" width="27.7109375" style="55" bestFit="1" customWidth="1"/>
    <col min="9" max="9" width="81.140625" style="55" bestFit="1" customWidth="1"/>
    <col min="10" max="10" width="6.28515625" style="55" bestFit="1" customWidth="1"/>
    <col min="11" max="12" width="12" style="55" bestFit="1" customWidth="1"/>
    <col min="13" max="254" width="9.140625" style="55"/>
    <col min="255" max="255" width="21.85546875" style="55" customWidth="1"/>
    <col min="256" max="256" width="35.85546875" style="55" customWidth="1"/>
    <col min="257" max="257" width="97.7109375" style="55" customWidth="1"/>
    <col min="258" max="258" width="31.7109375" style="55" customWidth="1"/>
    <col min="259" max="259" width="13.7109375" style="55" bestFit="1" customWidth="1"/>
    <col min="260" max="510" width="9.140625" style="55"/>
    <col min="511" max="511" width="21.85546875" style="55" customWidth="1"/>
    <col min="512" max="512" width="35.85546875" style="55" customWidth="1"/>
    <col min="513" max="513" width="97.7109375" style="55" customWidth="1"/>
    <col min="514" max="514" width="31.7109375" style="55" customWidth="1"/>
    <col min="515" max="515" width="13.7109375" style="55" bestFit="1" customWidth="1"/>
    <col min="516" max="766" width="9.140625" style="55"/>
    <col min="767" max="767" width="21.85546875" style="55" customWidth="1"/>
    <col min="768" max="768" width="35.85546875" style="55" customWidth="1"/>
    <col min="769" max="769" width="97.7109375" style="55" customWidth="1"/>
    <col min="770" max="770" width="31.7109375" style="55" customWidth="1"/>
    <col min="771" max="771" width="13.7109375" style="55" bestFit="1" customWidth="1"/>
    <col min="772" max="1022" width="9.140625" style="55"/>
    <col min="1023" max="1023" width="21.85546875" style="55" customWidth="1"/>
    <col min="1024" max="1024" width="35.85546875" style="55" customWidth="1"/>
    <col min="1025" max="1025" width="97.7109375" style="55" customWidth="1"/>
    <col min="1026" max="1026" width="31.7109375" style="55" customWidth="1"/>
    <col min="1027" max="1027" width="13.7109375" style="55" bestFit="1" customWidth="1"/>
    <col min="1028" max="1278" width="9.140625" style="55"/>
    <col min="1279" max="1279" width="21.85546875" style="55" customWidth="1"/>
    <col min="1280" max="1280" width="35.85546875" style="55" customWidth="1"/>
    <col min="1281" max="1281" width="97.7109375" style="55" customWidth="1"/>
    <col min="1282" max="1282" width="31.7109375" style="55" customWidth="1"/>
    <col min="1283" max="1283" width="13.7109375" style="55" bestFit="1" customWidth="1"/>
    <col min="1284" max="1534" width="9.140625" style="55"/>
    <col min="1535" max="1535" width="21.85546875" style="55" customWidth="1"/>
    <col min="1536" max="1536" width="35.85546875" style="55" customWidth="1"/>
    <col min="1537" max="1537" width="97.7109375" style="55" customWidth="1"/>
    <col min="1538" max="1538" width="31.7109375" style="55" customWidth="1"/>
    <col min="1539" max="1539" width="13.7109375" style="55" bestFit="1" customWidth="1"/>
    <col min="1540" max="1790" width="9.140625" style="55"/>
    <col min="1791" max="1791" width="21.85546875" style="55" customWidth="1"/>
    <col min="1792" max="1792" width="35.85546875" style="55" customWidth="1"/>
    <col min="1793" max="1793" width="97.7109375" style="55" customWidth="1"/>
    <col min="1794" max="1794" width="31.7109375" style="55" customWidth="1"/>
    <col min="1795" max="1795" width="13.7109375" style="55" bestFit="1" customWidth="1"/>
    <col min="1796" max="2046" width="9.140625" style="55"/>
    <col min="2047" max="2047" width="21.85546875" style="55" customWidth="1"/>
    <col min="2048" max="2048" width="35.85546875" style="55" customWidth="1"/>
    <col min="2049" max="2049" width="97.7109375" style="55" customWidth="1"/>
    <col min="2050" max="2050" width="31.7109375" style="55" customWidth="1"/>
    <col min="2051" max="2051" width="13.7109375" style="55" bestFit="1" customWidth="1"/>
    <col min="2052" max="2302" width="9.140625" style="55"/>
    <col min="2303" max="2303" width="21.85546875" style="55" customWidth="1"/>
    <col min="2304" max="2304" width="35.85546875" style="55" customWidth="1"/>
    <col min="2305" max="2305" width="97.7109375" style="55" customWidth="1"/>
    <col min="2306" max="2306" width="31.7109375" style="55" customWidth="1"/>
    <col min="2307" max="2307" width="13.7109375" style="55" bestFit="1" customWidth="1"/>
    <col min="2308" max="2558" width="9.140625" style="55"/>
    <col min="2559" max="2559" width="21.85546875" style="55" customWidth="1"/>
    <col min="2560" max="2560" width="35.85546875" style="55" customWidth="1"/>
    <col min="2561" max="2561" width="97.7109375" style="55" customWidth="1"/>
    <col min="2562" max="2562" width="31.7109375" style="55" customWidth="1"/>
    <col min="2563" max="2563" width="13.7109375" style="55" bestFit="1" customWidth="1"/>
    <col min="2564" max="2814" width="9.140625" style="55"/>
    <col min="2815" max="2815" width="21.85546875" style="55" customWidth="1"/>
    <col min="2816" max="2816" width="35.85546875" style="55" customWidth="1"/>
    <col min="2817" max="2817" width="97.7109375" style="55" customWidth="1"/>
    <col min="2818" max="2818" width="31.7109375" style="55" customWidth="1"/>
    <col min="2819" max="2819" width="13.7109375" style="55" bestFit="1" customWidth="1"/>
    <col min="2820" max="3070" width="9.140625" style="55"/>
    <col min="3071" max="3071" width="21.85546875" style="55" customWidth="1"/>
    <col min="3072" max="3072" width="35.85546875" style="55" customWidth="1"/>
    <col min="3073" max="3073" width="97.7109375" style="55" customWidth="1"/>
    <col min="3074" max="3074" width="31.7109375" style="55" customWidth="1"/>
    <col min="3075" max="3075" width="13.7109375" style="55" bestFit="1" customWidth="1"/>
    <col min="3076" max="3326" width="9.140625" style="55"/>
    <col min="3327" max="3327" width="21.85546875" style="55" customWidth="1"/>
    <col min="3328" max="3328" width="35.85546875" style="55" customWidth="1"/>
    <col min="3329" max="3329" width="97.7109375" style="55" customWidth="1"/>
    <col min="3330" max="3330" width="31.7109375" style="55" customWidth="1"/>
    <col min="3331" max="3331" width="13.7109375" style="55" bestFit="1" customWidth="1"/>
    <col min="3332" max="3582" width="9.140625" style="55"/>
    <col min="3583" max="3583" width="21.85546875" style="55" customWidth="1"/>
    <col min="3584" max="3584" width="35.85546875" style="55" customWidth="1"/>
    <col min="3585" max="3585" width="97.7109375" style="55" customWidth="1"/>
    <col min="3586" max="3586" width="31.7109375" style="55" customWidth="1"/>
    <col min="3587" max="3587" width="13.7109375" style="55" bestFit="1" customWidth="1"/>
    <col min="3588" max="3838" width="9.140625" style="55"/>
    <col min="3839" max="3839" width="21.85546875" style="55" customWidth="1"/>
    <col min="3840" max="3840" width="35.85546875" style="55" customWidth="1"/>
    <col min="3841" max="3841" width="97.7109375" style="55" customWidth="1"/>
    <col min="3842" max="3842" width="31.7109375" style="55" customWidth="1"/>
    <col min="3843" max="3843" width="13.7109375" style="55" bestFit="1" customWidth="1"/>
    <col min="3844" max="4094" width="9.140625" style="55"/>
    <col min="4095" max="4095" width="21.85546875" style="55" customWidth="1"/>
    <col min="4096" max="4096" width="35.85546875" style="55" customWidth="1"/>
    <col min="4097" max="4097" width="97.7109375" style="55" customWidth="1"/>
    <col min="4098" max="4098" width="31.7109375" style="55" customWidth="1"/>
    <col min="4099" max="4099" width="13.7109375" style="55" bestFit="1" customWidth="1"/>
    <col min="4100" max="4350" width="9.140625" style="55"/>
    <col min="4351" max="4351" width="21.85546875" style="55" customWidth="1"/>
    <col min="4352" max="4352" width="35.85546875" style="55" customWidth="1"/>
    <col min="4353" max="4353" width="97.7109375" style="55" customWidth="1"/>
    <col min="4354" max="4354" width="31.7109375" style="55" customWidth="1"/>
    <col min="4355" max="4355" width="13.7109375" style="55" bestFit="1" customWidth="1"/>
    <col min="4356" max="4606" width="9.140625" style="55"/>
    <col min="4607" max="4607" width="21.85546875" style="55" customWidth="1"/>
    <col min="4608" max="4608" width="35.85546875" style="55" customWidth="1"/>
    <col min="4609" max="4609" width="97.7109375" style="55" customWidth="1"/>
    <col min="4610" max="4610" width="31.7109375" style="55" customWidth="1"/>
    <col min="4611" max="4611" width="13.7109375" style="55" bestFit="1" customWidth="1"/>
    <col min="4612" max="4862" width="9.140625" style="55"/>
    <col min="4863" max="4863" width="21.85546875" style="55" customWidth="1"/>
    <col min="4864" max="4864" width="35.85546875" style="55" customWidth="1"/>
    <col min="4865" max="4865" width="97.7109375" style="55" customWidth="1"/>
    <col min="4866" max="4866" width="31.7109375" style="55" customWidth="1"/>
    <col min="4867" max="4867" width="13.7109375" style="55" bestFit="1" customWidth="1"/>
    <col min="4868" max="5118" width="9.140625" style="55"/>
    <col min="5119" max="5119" width="21.85546875" style="55" customWidth="1"/>
    <col min="5120" max="5120" width="35.85546875" style="55" customWidth="1"/>
    <col min="5121" max="5121" width="97.7109375" style="55" customWidth="1"/>
    <col min="5122" max="5122" width="31.7109375" style="55" customWidth="1"/>
    <col min="5123" max="5123" width="13.7109375" style="55" bestFit="1" customWidth="1"/>
    <col min="5124" max="5374" width="9.140625" style="55"/>
    <col min="5375" max="5375" width="21.85546875" style="55" customWidth="1"/>
    <col min="5376" max="5376" width="35.85546875" style="55" customWidth="1"/>
    <col min="5377" max="5377" width="97.7109375" style="55" customWidth="1"/>
    <col min="5378" max="5378" width="31.7109375" style="55" customWidth="1"/>
    <col min="5379" max="5379" width="13.7109375" style="55" bestFit="1" customWidth="1"/>
    <col min="5380" max="5630" width="9.140625" style="55"/>
    <col min="5631" max="5631" width="21.85546875" style="55" customWidth="1"/>
    <col min="5632" max="5632" width="35.85546875" style="55" customWidth="1"/>
    <col min="5633" max="5633" width="97.7109375" style="55" customWidth="1"/>
    <col min="5634" max="5634" width="31.7109375" style="55" customWidth="1"/>
    <col min="5635" max="5635" width="13.7109375" style="55" bestFit="1" customWidth="1"/>
    <col min="5636" max="5886" width="9.140625" style="55"/>
    <col min="5887" max="5887" width="21.85546875" style="55" customWidth="1"/>
    <col min="5888" max="5888" width="35.85546875" style="55" customWidth="1"/>
    <col min="5889" max="5889" width="97.7109375" style="55" customWidth="1"/>
    <col min="5890" max="5890" width="31.7109375" style="55" customWidth="1"/>
    <col min="5891" max="5891" width="13.7109375" style="55" bestFit="1" customWidth="1"/>
    <col min="5892" max="6142" width="9.140625" style="55"/>
    <col min="6143" max="6143" width="21.85546875" style="55" customWidth="1"/>
    <col min="6144" max="6144" width="35.85546875" style="55" customWidth="1"/>
    <col min="6145" max="6145" width="97.7109375" style="55" customWidth="1"/>
    <col min="6146" max="6146" width="31.7109375" style="55" customWidth="1"/>
    <col min="6147" max="6147" width="13.7109375" style="55" bestFit="1" customWidth="1"/>
    <col min="6148" max="6398" width="9.140625" style="55"/>
    <col min="6399" max="6399" width="21.85546875" style="55" customWidth="1"/>
    <col min="6400" max="6400" width="35.85546875" style="55" customWidth="1"/>
    <col min="6401" max="6401" width="97.7109375" style="55" customWidth="1"/>
    <col min="6402" max="6402" width="31.7109375" style="55" customWidth="1"/>
    <col min="6403" max="6403" width="13.7109375" style="55" bestFit="1" customWidth="1"/>
    <col min="6404" max="6654" width="9.140625" style="55"/>
    <col min="6655" max="6655" width="21.85546875" style="55" customWidth="1"/>
    <col min="6656" max="6656" width="35.85546875" style="55" customWidth="1"/>
    <col min="6657" max="6657" width="97.7109375" style="55" customWidth="1"/>
    <col min="6658" max="6658" width="31.7109375" style="55" customWidth="1"/>
    <col min="6659" max="6659" width="13.7109375" style="55" bestFit="1" customWidth="1"/>
    <col min="6660" max="6910" width="9.140625" style="55"/>
    <col min="6911" max="6911" width="21.85546875" style="55" customWidth="1"/>
    <col min="6912" max="6912" width="35.85546875" style="55" customWidth="1"/>
    <col min="6913" max="6913" width="97.7109375" style="55" customWidth="1"/>
    <col min="6914" max="6914" width="31.7109375" style="55" customWidth="1"/>
    <col min="6915" max="6915" width="13.7109375" style="55" bestFit="1" customWidth="1"/>
    <col min="6916" max="7166" width="9.140625" style="55"/>
    <col min="7167" max="7167" width="21.85546875" style="55" customWidth="1"/>
    <col min="7168" max="7168" width="35.85546875" style="55" customWidth="1"/>
    <col min="7169" max="7169" width="97.7109375" style="55" customWidth="1"/>
    <col min="7170" max="7170" width="31.7109375" style="55" customWidth="1"/>
    <col min="7171" max="7171" width="13.7109375" style="55" bestFit="1" customWidth="1"/>
    <col min="7172" max="7422" width="9.140625" style="55"/>
    <col min="7423" max="7423" width="21.85546875" style="55" customWidth="1"/>
    <col min="7424" max="7424" width="35.85546875" style="55" customWidth="1"/>
    <col min="7425" max="7425" width="97.7109375" style="55" customWidth="1"/>
    <col min="7426" max="7426" width="31.7109375" style="55" customWidth="1"/>
    <col min="7427" max="7427" width="13.7109375" style="55" bestFit="1" customWidth="1"/>
    <col min="7428" max="7678" width="9.140625" style="55"/>
    <col min="7679" max="7679" width="21.85546875" style="55" customWidth="1"/>
    <col min="7680" max="7680" width="35.85546875" style="55" customWidth="1"/>
    <col min="7681" max="7681" width="97.7109375" style="55" customWidth="1"/>
    <col min="7682" max="7682" width="31.7109375" style="55" customWidth="1"/>
    <col min="7683" max="7683" width="13.7109375" style="55" bestFit="1" customWidth="1"/>
    <col min="7684" max="7934" width="9.140625" style="55"/>
    <col min="7935" max="7935" width="21.85546875" style="55" customWidth="1"/>
    <col min="7936" max="7936" width="35.85546875" style="55" customWidth="1"/>
    <col min="7937" max="7937" width="97.7109375" style="55" customWidth="1"/>
    <col min="7938" max="7938" width="31.7109375" style="55" customWidth="1"/>
    <col min="7939" max="7939" width="13.7109375" style="55" bestFit="1" customWidth="1"/>
    <col min="7940" max="8190" width="9.140625" style="55"/>
    <col min="8191" max="8191" width="21.85546875" style="55" customWidth="1"/>
    <col min="8192" max="8192" width="35.85546875" style="55" customWidth="1"/>
    <col min="8193" max="8193" width="97.7109375" style="55" customWidth="1"/>
    <col min="8194" max="8194" width="31.7109375" style="55" customWidth="1"/>
    <col min="8195" max="8195" width="13.7109375" style="55" bestFit="1" customWidth="1"/>
    <col min="8196" max="8446" width="9.140625" style="55"/>
    <col min="8447" max="8447" width="21.85546875" style="55" customWidth="1"/>
    <col min="8448" max="8448" width="35.85546875" style="55" customWidth="1"/>
    <col min="8449" max="8449" width="97.7109375" style="55" customWidth="1"/>
    <col min="8450" max="8450" width="31.7109375" style="55" customWidth="1"/>
    <col min="8451" max="8451" width="13.7109375" style="55" bestFit="1" customWidth="1"/>
    <col min="8452" max="8702" width="9.140625" style="55"/>
    <col min="8703" max="8703" width="21.85546875" style="55" customWidth="1"/>
    <col min="8704" max="8704" width="35.85546875" style="55" customWidth="1"/>
    <col min="8705" max="8705" width="97.7109375" style="55" customWidth="1"/>
    <col min="8706" max="8706" width="31.7109375" style="55" customWidth="1"/>
    <col min="8707" max="8707" width="13.7109375" style="55" bestFit="1" customWidth="1"/>
    <col min="8708" max="8958" width="9.140625" style="55"/>
    <col min="8959" max="8959" width="21.85546875" style="55" customWidth="1"/>
    <col min="8960" max="8960" width="35.85546875" style="55" customWidth="1"/>
    <col min="8961" max="8961" width="97.7109375" style="55" customWidth="1"/>
    <col min="8962" max="8962" width="31.7109375" style="55" customWidth="1"/>
    <col min="8963" max="8963" width="13.7109375" style="55" bestFit="1" customWidth="1"/>
    <col min="8964" max="9214" width="9.140625" style="55"/>
    <col min="9215" max="9215" width="21.85546875" style="55" customWidth="1"/>
    <col min="9216" max="9216" width="35.85546875" style="55" customWidth="1"/>
    <col min="9217" max="9217" width="97.7109375" style="55" customWidth="1"/>
    <col min="9218" max="9218" width="31.7109375" style="55" customWidth="1"/>
    <col min="9219" max="9219" width="13.7109375" style="55" bestFit="1" customWidth="1"/>
    <col min="9220" max="9470" width="9.140625" style="55"/>
    <col min="9471" max="9471" width="21.85546875" style="55" customWidth="1"/>
    <col min="9472" max="9472" width="35.85546875" style="55" customWidth="1"/>
    <col min="9473" max="9473" width="97.7109375" style="55" customWidth="1"/>
    <col min="9474" max="9474" width="31.7109375" style="55" customWidth="1"/>
    <col min="9475" max="9475" width="13.7109375" style="55" bestFit="1" customWidth="1"/>
    <col min="9476" max="9726" width="9.140625" style="55"/>
    <col min="9727" max="9727" width="21.85546875" style="55" customWidth="1"/>
    <col min="9728" max="9728" width="35.85546875" style="55" customWidth="1"/>
    <col min="9729" max="9729" width="97.7109375" style="55" customWidth="1"/>
    <col min="9730" max="9730" width="31.7109375" style="55" customWidth="1"/>
    <col min="9731" max="9731" width="13.7109375" style="55" bestFit="1" customWidth="1"/>
    <col min="9732" max="9982" width="9.140625" style="55"/>
    <col min="9983" max="9983" width="21.85546875" style="55" customWidth="1"/>
    <col min="9984" max="9984" width="35.85546875" style="55" customWidth="1"/>
    <col min="9985" max="9985" width="97.7109375" style="55" customWidth="1"/>
    <col min="9986" max="9986" width="31.7109375" style="55" customWidth="1"/>
    <col min="9987" max="9987" width="13.7109375" style="55" bestFit="1" customWidth="1"/>
    <col min="9988" max="10238" width="9.140625" style="55"/>
    <col min="10239" max="10239" width="21.85546875" style="55" customWidth="1"/>
    <col min="10240" max="10240" width="35.85546875" style="55" customWidth="1"/>
    <col min="10241" max="10241" width="97.7109375" style="55" customWidth="1"/>
    <col min="10242" max="10242" width="31.7109375" style="55" customWidth="1"/>
    <col min="10243" max="10243" width="13.7109375" style="55" bestFit="1" customWidth="1"/>
    <col min="10244" max="10494" width="9.140625" style="55"/>
    <col min="10495" max="10495" width="21.85546875" style="55" customWidth="1"/>
    <col min="10496" max="10496" width="35.85546875" style="55" customWidth="1"/>
    <col min="10497" max="10497" width="97.7109375" style="55" customWidth="1"/>
    <col min="10498" max="10498" width="31.7109375" style="55" customWidth="1"/>
    <col min="10499" max="10499" width="13.7109375" style="55" bestFit="1" customWidth="1"/>
    <col min="10500" max="10750" width="9.140625" style="55"/>
    <col min="10751" max="10751" width="21.85546875" style="55" customWidth="1"/>
    <col min="10752" max="10752" width="35.85546875" style="55" customWidth="1"/>
    <col min="10753" max="10753" width="97.7109375" style="55" customWidth="1"/>
    <col min="10754" max="10754" width="31.7109375" style="55" customWidth="1"/>
    <col min="10755" max="10755" width="13.7109375" style="55" bestFit="1" customWidth="1"/>
    <col min="10756" max="11006" width="9.140625" style="55"/>
    <col min="11007" max="11007" width="21.85546875" style="55" customWidth="1"/>
    <col min="11008" max="11008" width="35.85546875" style="55" customWidth="1"/>
    <col min="11009" max="11009" width="97.7109375" style="55" customWidth="1"/>
    <col min="11010" max="11010" width="31.7109375" style="55" customWidth="1"/>
    <col min="11011" max="11011" width="13.7109375" style="55" bestFit="1" customWidth="1"/>
    <col min="11012" max="11262" width="9.140625" style="55"/>
    <col min="11263" max="11263" width="21.85546875" style="55" customWidth="1"/>
    <col min="11264" max="11264" width="35.85546875" style="55" customWidth="1"/>
    <col min="11265" max="11265" width="97.7109375" style="55" customWidth="1"/>
    <col min="11266" max="11266" width="31.7109375" style="55" customWidth="1"/>
    <col min="11267" max="11267" width="13.7109375" style="55" bestFit="1" customWidth="1"/>
    <col min="11268" max="11518" width="9.140625" style="55"/>
    <col min="11519" max="11519" width="21.85546875" style="55" customWidth="1"/>
    <col min="11520" max="11520" width="35.85546875" style="55" customWidth="1"/>
    <col min="11521" max="11521" width="97.7109375" style="55" customWidth="1"/>
    <col min="11522" max="11522" width="31.7109375" style="55" customWidth="1"/>
    <col min="11523" max="11523" width="13.7109375" style="55" bestFit="1" customWidth="1"/>
    <col min="11524" max="11774" width="9.140625" style="55"/>
    <col min="11775" max="11775" width="21.85546875" style="55" customWidth="1"/>
    <col min="11776" max="11776" width="35.85546875" style="55" customWidth="1"/>
    <col min="11777" max="11777" width="97.7109375" style="55" customWidth="1"/>
    <col min="11778" max="11778" width="31.7109375" style="55" customWidth="1"/>
    <col min="11779" max="11779" width="13.7109375" style="55" bestFit="1" customWidth="1"/>
    <col min="11780" max="12030" width="9.140625" style="55"/>
    <col min="12031" max="12031" width="21.85546875" style="55" customWidth="1"/>
    <col min="12032" max="12032" width="35.85546875" style="55" customWidth="1"/>
    <col min="12033" max="12033" width="97.7109375" style="55" customWidth="1"/>
    <col min="12034" max="12034" width="31.7109375" style="55" customWidth="1"/>
    <col min="12035" max="12035" width="13.7109375" style="55" bestFit="1" customWidth="1"/>
    <col min="12036" max="12286" width="9.140625" style="55"/>
    <col min="12287" max="12287" width="21.85546875" style="55" customWidth="1"/>
    <col min="12288" max="12288" width="35.85546875" style="55" customWidth="1"/>
    <col min="12289" max="12289" width="97.7109375" style="55" customWidth="1"/>
    <col min="12290" max="12290" width="31.7109375" style="55" customWidth="1"/>
    <col min="12291" max="12291" width="13.7109375" style="55" bestFit="1" customWidth="1"/>
    <col min="12292" max="12542" width="9.140625" style="55"/>
    <col min="12543" max="12543" width="21.85546875" style="55" customWidth="1"/>
    <col min="12544" max="12544" width="35.85546875" style="55" customWidth="1"/>
    <col min="12545" max="12545" width="97.7109375" style="55" customWidth="1"/>
    <col min="12546" max="12546" width="31.7109375" style="55" customWidth="1"/>
    <col min="12547" max="12547" width="13.7109375" style="55" bestFit="1" customWidth="1"/>
    <col min="12548" max="12798" width="9.140625" style="55"/>
    <col min="12799" max="12799" width="21.85546875" style="55" customWidth="1"/>
    <col min="12800" max="12800" width="35.85546875" style="55" customWidth="1"/>
    <col min="12801" max="12801" width="97.7109375" style="55" customWidth="1"/>
    <col min="12802" max="12802" width="31.7109375" style="55" customWidth="1"/>
    <col min="12803" max="12803" width="13.7109375" style="55" bestFit="1" customWidth="1"/>
    <col min="12804" max="13054" width="9.140625" style="55"/>
    <col min="13055" max="13055" width="21.85546875" style="55" customWidth="1"/>
    <col min="13056" max="13056" width="35.85546875" style="55" customWidth="1"/>
    <col min="13057" max="13057" width="97.7109375" style="55" customWidth="1"/>
    <col min="13058" max="13058" width="31.7109375" style="55" customWidth="1"/>
    <col min="13059" max="13059" width="13.7109375" style="55" bestFit="1" customWidth="1"/>
    <col min="13060" max="13310" width="9.140625" style="55"/>
    <col min="13311" max="13311" width="21.85546875" style="55" customWidth="1"/>
    <col min="13312" max="13312" width="35.85546875" style="55" customWidth="1"/>
    <col min="13313" max="13313" width="97.7109375" style="55" customWidth="1"/>
    <col min="13314" max="13314" width="31.7109375" style="55" customWidth="1"/>
    <col min="13315" max="13315" width="13.7109375" style="55" bestFit="1" customWidth="1"/>
    <col min="13316" max="13566" width="9.140625" style="55"/>
    <col min="13567" max="13567" width="21.85546875" style="55" customWidth="1"/>
    <col min="13568" max="13568" width="35.85546875" style="55" customWidth="1"/>
    <col min="13569" max="13569" width="97.7109375" style="55" customWidth="1"/>
    <col min="13570" max="13570" width="31.7109375" style="55" customWidth="1"/>
    <col min="13571" max="13571" width="13.7109375" style="55" bestFit="1" customWidth="1"/>
    <col min="13572" max="13822" width="9.140625" style="55"/>
    <col min="13823" max="13823" width="21.85546875" style="55" customWidth="1"/>
    <col min="13824" max="13824" width="35.85546875" style="55" customWidth="1"/>
    <col min="13825" max="13825" width="97.7109375" style="55" customWidth="1"/>
    <col min="13826" max="13826" width="31.7109375" style="55" customWidth="1"/>
    <col min="13827" max="13827" width="13.7109375" style="55" bestFit="1" customWidth="1"/>
    <col min="13828" max="14078" width="9.140625" style="55"/>
    <col min="14079" max="14079" width="21.85546875" style="55" customWidth="1"/>
    <col min="14080" max="14080" width="35.85546875" style="55" customWidth="1"/>
    <col min="14081" max="14081" width="97.7109375" style="55" customWidth="1"/>
    <col min="14082" max="14082" width="31.7109375" style="55" customWidth="1"/>
    <col min="14083" max="14083" width="13.7109375" style="55" bestFit="1" customWidth="1"/>
    <col min="14084" max="14334" width="9.140625" style="55"/>
    <col min="14335" max="14335" width="21.85546875" style="55" customWidth="1"/>
    <col min="14336" max="14336" width="35.85546875" style="55" customWidth="1"/>
    <col min="14337" max="14337" width="97.7109375" style="55" customWidth="1"/>
    <col min="14338" max="14338" width="31.7109375" style="55" customWidth="1"/>
    <col min="14339" max="14339" width="13.7109375" style="55" bestFit="1" customWidth="1"/>
    <col min="14340" max="14590" width="9.140625" style="55"/>
    <col min="14591" max="14591" width="21.85546875" style="55" customWidth="1"/>
    <col min="14592" max="14592" width="35.85546875" style="55" customWidth="1"/>
    <col min="14593" max="14593" width="97.7109375" style="55" customWidth="1"/>
    <col min="14594" max="14594" width="31.7109375" style="55" customWidth="1"/>
    <col min="14595" max="14595" width="13.7109375" style="55" bestFit="1" customWidth="1"/>
    <col min="14596" max="14846" width="9.140625" style="55"/>
    <col min="14847" max="14847" width="21.85546875" style="55" customWidth="1"/>
    <col min="14848" max="14848" width="35.85546875" style="55" customWidth="1"/>
    <col min="14849" max="14849" width="97.7109375" style="55" customWidth="1"/>
    <col min="14850" max="14850" width="31.7109375" style="55" customWidth="1"/>
    <col min="14851" max="14851" width="13.7109375" style="55" bestFit="1" customWidth="1"/>
    <col min="14852" max="15102" width="9.140625" style="55"/>
    <col min="15103" max="15103" width="21.85546875" style="55" customWidth="1"/>
    <col min="15104" max="15104" width="35.85546875" style="55" customWidth="1"/>
    <col min="15105" max="15105" width="97.7109375" style="55" customWidth="1"/>
    <col min="15106" max="15106" width="31.7109375" style="55" customWidth="1"/>
    <col min="15107" max="15107" width="13.7109375" style="55" bestFit="1" customWidth="1"/>
    <col min="15108" max="15358" width="9.140625" style="55"/>
    <col min="15359" max="15359" width="21.85546875" style="55" customWidth="1"/>
    <col min="15360" max="15360" width="35.85546875" style="55" customWidth="1"/>
    <col min="15361" max="15361" width="97.7109375" style="55" customWidth="1"/>
    <col min="15362" max="15362" width="31.7109375" style="55" customWidth="1"/>
    <col min="15363" max="15363" width="13.7109375" style="55" bestFit="1" customWidth="1"/>
    <col min="15364" max="15614" width="9.140625" style="55"/>
    <col min="15615" max="15615" width="21.85546875" style="55" customWidth="1"/>
    <col min="15616" max="15616" width="35.85546875" style="55" customWidth="1"/>
    <col min="15617" max="15617" width="97.7109375" style="55" customWidth="1"/>
    <col min="15618" max="15618" width="31.7109375" style="55" customWidth="1"/>
    <col min="15619" max="15619" width="13.7109375" style="55" bestFit="1" customWidth="1"/>
    <col min="15620" max="15870" width="9.140625" style="55"/>
    <col min="15871" max="15871" width="21.85546875" style="55" customWidth="1"/>
    <col min="15872" max="15872" width="35.85546875" style="55" customWidth="1"/>
    <col min="15873" max="15873" width="97.7109375" style="55" customWidth="1"/>
    <col min="15874" max="15874" width="31.7109375" style="55" customWidth="1"/>
    <col min="15875" max="15875" width="13.7109375" style="55" bestFit="1" customWidth="1"/>
    <col min="15876" max="16126" width="9.140625" style="55"/>
    <col min="16127" max="16127" width="21.85546875" style="55" customWidth="1"/>
    <col min="16128" max="16128" width="35.85546875" style="55" customWidth="1"/>
    <col min="16129" max="16129" width="97.7109375" style="55" customWidth="1"/>
    <col min="16130" max="16130" width="31.7109375" style="55" customWidth="1"/>
    <col min="16131" max="16131" width="13.7109375" style="55" bestFit="1" customWidth="1"/>
    <col min="16132" max="16384" width="9.140625" style="55"/>
  </cols>
  <sheetData>
    <row r="1" spans="1:13" ht="15.75" hidden="1" thickBot="1" x14ac:dyDescent="0.3"/>
    <row r="2" spans="1:13" hidden="1" x14ac:dyDescent="0.25">
      <c r="B2" s="732" t="str">
        <f>"Preassigned Rows Indicating Payment or Scheduling by " &amp;Profit!E1&amp;" Your Home"</f>
        <v>Preassigned Rows Indicating Payment or Scheduling by Buy Your Home</v>
      </c>
      <c r="C2" s="733"/>
      <c r="E2" s="55"/>
    </row>
    <row r="3" spans="1:13" ht="15.75" hidden="1" thickBot="1" x14ac:dyDescent="0.3">
      <c r="B3" s="734"/>
      <c r="C3" s="735"/>
      <c r="E3" s="55"/>
    </row>
    <row r="4" spans="1:13" hidden="1" x14ac:dyDescent="0.25">
      <c r="B4" s="740" t="s">
        <v>191</v>
      </c>
      <c r="C4" s="741"/>
      <c r="E4" s="55"/>
    </row>
    <row r="5" spans="1:13" ht="15.75" hidden="1" thickBot="1" x14ac:dyDescent="0.3">
      <c r="B5" s="742"/>
      <c r="C5" s="743"/>
      <c r="E5" s="55"/>
    </row>
    <row r="6" spans="1:13" hidden="1" x14ac:dyDescent="0.25">
      <c r="B6" s="736" t="s">
        <v>192</v>
      </c>
      <c r="C6" s="737"/>
      <c r="E6" s="55"/>
    </row>
    <row r="7" spans="1:13" ht="15.75" hidden="1" thickBot="1" x14ac:dyDescent="0.3">
      <c r="B7" s="738"/>
      <c r="C7" s="739"/>
    </row>
    <row r="8" spans="1:13" hidden="1" x14ac:dyDescent="0.25">
      <c r="B8" s="744" t="s">
        <v>193</v>
      </c>
      <c r="C8" s="745"/>
    </row>
    <row r="9" spans="1:13" ht="15.75" hidden="1" thickBot="1" x14ac:dyDescent="0.3">
      <c r="B9" s="746"/>
      <c r="C9" s="747"/>
    </row>
    <row r="10" spans="1:13" hidden="1" x14ac:dyDescent="0.25"/>
    <row r="11" spans="1:13" s="49" customFormat="1" ht="15.75" thickBot="1" x14ac:dyDescent="0.3">
      <c r="A11" s="48" t="s">
        <v>194</v>
      </c>
      <c r="B11" s="48" t="s">
        <v>195</v>
      </c>
      <c r="C11" s="48" t="s">
        <v>196</v>
      </c>
      <c r="D11" s="65" t="s">
        <v>197</v>
      </c>
      <c r="E11" s="66" t="s">
        <v>198</v>
      </c>
      <c r="G11" s="55"/>
      <c r="H11" s="55"/>
      <c r="I11" s="55"/>
      <c r="J11" s="55"/>
      <c r="K11" s="55"/>
      <c r="L11" s="55"/>
      <c r="M11" s="55"/>
    </row>
    <row r="12" spans="1:13" s="49" customFormat="1" ht="15.75" thickTop="1" x14ac:dyDescent="0.25">
      <c r="A12" s="51" t="s">
        <v>199</v>
      </c>
      <c r="B12" s="51" t="s">
        <v>199</v>
      </c>
      <c r="C12" s="51" t="s">
        <v>200</v>
      </c>
      <c r="D12" s="63">
        <v>0</v>
      </c>
      <c r="E12" s="64"/>
      <c r="G12" s="55"/>
      <c r="H12" s="55"/>
      <c r="I12" s="55"/>
      <c r="J12" s="55"/>
      <c r="K12" s="55"/>
      <c r="L12" s="55"/>
      <c r="M12" s="55"/>
    </row>
    <row r="13" spans="1:13" s="49" customFormat="1" x14ac:dyDescent="0.25">
      <c r="A13" s="51" t="s">
        <v>201</v>
      </c>
      <c r="B13" s="51" t="s">
        <v>202</v>
      </c>
      <c r="C13" s="51" t="s">
        <v>203</v>
      </c>
      <c r="D13" s="63">
        <v>0</v>
      </c>
      <c r="E13" s="64"/>
      <c r="G13" s="55"/>
      <c r="H13" s="55"/>
      <c r="I13" s="55"/>
      <c r="J13" s="55"/>
      <c r="K13" s="55"/>
      <c r="L13" s="55"/>
      <c r="M13" s="55"/>
    </row>
    <row r="14" spans="1:13" s="49" customFormat="1" x14ac:dyDescent="0.25">
      <c r="A14" s="51" t="s">
        <v>201</v>
      </c>
      <c r="B14" s="51" t="s">
        <v>204</v>
      </c>
      <c r="C14" s="51" t="s">
        <v>204</v>
      </c>
      <c r="D14" s="63">
        <v>0</v>
      </c>
      <c r="E14" s="64"/>
      <c r="G14" s="55"/>
      <c r="H14" s="55"/>
      <c r="I14" s="55"/>
      <c r="J14" s="55"/>
      <c r="K14" s="55"/>
      <c r="L14" s="55"/>
      <c r="M14" s="55"/>
    </row>
    <row r="15" spans="1:13" s="49" customFormat="1" x14ac:dyDescent="0.25">
      <c r="A15" s="51"/>
      <c r="B15" s="51" t="s">
        <v>205</v>
      </c>
      <c r="C15" s="51" t="s">
        <v>206</v>
      </c>
      <c r="D15" s="63">
        <v>6</v>
      </c>
      <c r="E15" s="64"/>
      <c r="G15" s="55"/>
      <c r="H15" s="55"/>
      <c r="I15" s="55"/>
      <c r="J15" s="55"/>
      <c r="K15" s="55"/>
      <c r="L15" s="55"/>
      <c r="M15" s="55"/>
    </row>
    <row r="16" spans="1:13" s="49" customFormat="1" x14ac:dyDescent="0.25">
      <c r="A16" s="52" t="s">
        <v>207</v>
      </c>
      <c r="B16" s="52" t="s">
        <v>208</v>
      </c>
      <c r="C16" s="52" t="s">
        <v>551</v>
      </c>
      <c r="D16" s="53">
        <v>0</v>
      </c>
      <c r="E16" s="54">
        <v>0</v>
      </c>
      <c r="G16" s="55"/>
      <c r="H16" s="55"/>
      <c r="I16" s="55"/>
      <c r="J16" s="55"/>
      <c r="K16" s="55"/>
      <c r="L16" s="55"/>
      <c r="M16" s="55"/>
    </row>
    <row r="17" spans="1:13" s="49" customFormat="1" x14ac:dyDescent="0.25">
      <c r="A17" s="52" t="s">
        <v>209</v>
      </c>
      <c r="B17" s="52" t="s">
        <v>208</v>
      </c>
      <c r="C17" s="52" t="s">
        <v>546</v>
      </c>
      <c r="D17" s="53">
        <v>0</v>
      </c>
      <c r="E17" s="54">
        <v>0</v>
      </c>
      <c r="G17" s="55"/>
      <c r="H17" s="55"/>
      <c r="I17" s="55"/>
      <c r="J17" s="55"/>
      <c r="K17" s="55"/>
      <c r="L17" s="55"/>
      <c r="M17" s="55"/>
    </row>
    <row r="18" spans="1:13" s="49" customFormat="1" x14ac:dyDescent="0.25">
      <c r="A18" s="52" t="s">
        <v>210</v>
      </c>
      <c r="B18" s="52" t="s">
        <v>208</v>
      </c>
      <c r="C18" s="52" t="s">
        <v>547</v>
      </c>
      <c r="D18" s="53">
        <v>0</v>
      </c>
      <c r="E18" s="54">
        <v>0</v>
      </c>
      <c r="G18" s="55"/>
      <c r="H18" s="55"/>
      <c r="I18" s="55"/>
      <c r="J18" s="55"/>
      <c r="K18" s="55"/>
      <c r="L18" s="55"/>
      <c r="M18" s="55"/>
    </row>
    <row r="19" spans="1:13" s="49" customFormat="1" x14ac:dyDescent="0.25">
      <c r="A19" s="52" t="s">
        <v>212</v>
      </c>
      <c r="B19" s="52" t="s">
        <v>208</v>
      </c>
      <c r="C19" s="52" t="s">
        <v>548</v>
      </c>
      <c r="D19" s="53">
        <v>0</v>
      </c>
      <c r="E19" s="54">
        <v>0</v>
      </c>
      <c r="G19" s="55"/>
      <c r="H19" s="55"/>
      <c r="I19" s="55"/>
      <c r="J19" s="55"/>
      <c r="K19" s="55"/>
      <c r="L19" s="55"/>
      <c r="M19" s="55"/>
    </row>
    <row r="20" spans="1:13" s="49" customFormat="1" x14ac:dyDescent="0.25">
      <c r="A20" s="52" t="s">
        <v>213</v>
      </c>
      <c r="B20" s="52" t="s">
        <v>208</v>
      </c>
      <c r="C20" s="52" t="s">
        <v>549</v>
      </c>
      <c r="D20" s="53">
        <v>0</v>
      </c>
      <c r="E20" s="54">
        <v>0</v>
      </c>
      <c r="G20" s="50"/>
    </row>
    <row r="21" spans="1:13" x14ac:dyDescent="0.25">
      <c r="A21" s="241"/>
      <c r="B21" s="241"/>
      <c r="C21" s="241"/>
      <c r="D21" s="262"/>
      <c r="E21" s="263"/>
    </row>
    <row r="22" spans="1:13" x14ac:dyDescent="0.25">
      <c r="A22" s="245"/>
      <c r="B22" s="245"/>
      <c r="C22" s="245"/>
      <c r="D22" s="247"/>
      <c r="E22" s="248"/>
    </row>
    <row r="23" spans="1:13" x14ac:dyDescent="0.25">
      <c r="A23" s="245"/>
      <c r="B23" s="241"/>
      <c r="C23" s="241"/>
      <c r="D23" s="262"/>
      <c r="E23" s="263"/>
    </row>
    <row r="24" spans="1:13" x14ac:dyDescent="0.25">
      <c r="A24" s="241"/>
      <c r="B24" s="241"/>
      <c r="C24" s="241"/>
      <c r="D24" s="262"/>
      <c r="E24" s="263"/>
    </row>
    <row r="25" spans="1:13" x14ac:dyDescent="0.25">
      <c r="A25" s="241"/>
      <c r="B25" s="241"/>
      <c r="C25" s="241"/>
      <c r="D25" s="262"/>
      <c r="E25" s="263"/>
    </row>
    <row r="26" spans="1:13" x14ac:dyDescent="0.25">
      <c r="A26" s="241"/>
      <c r="B26" s="241"/>
      <c r="C26" s="241"/>
      <c r="D26" s="262"/>
      <c r="E26" s="263"/>
    </row>
    <row r="27" spans="1:13" x14ac:dyDescent="0.25">
      <c r="A27" s="241"/>
      <c r="B27" s="241"/>
      <c r="C27" s="241"/>
      <c r="D27" s="262"/>
      <c r="E27" s="263"/>
    </row>
    <row r="28" spans="1:13" x14ac:dyDescent="0.25">
      <c r="A28" s="241"/>
      <c r="B28" s="241"/>
      <c r="C28" s="241"/>
      <c r="D28" s="262"/>
      <c r="E28" s="263"/>
    </row>
    <row r="29" spans="1:13" x14ac:dyDescent="0.25">
      <c r="A29" s="241"/>
      <c r="B29" s="241"/>
      <c r="C29" s="241"/>
      <c r="D29" s="262"/>
      <c r="E29" s="263"/>
    </row>
    <row r="30" spans="1:13" x14ac:dyDescent="0.25">
      <c r="A30" s="241"/>
      <c r="B30" s="241"/>
      <c r="C30" s="241"/>
      <c r="D30" s="262"/>
      <c r="E30" s="263"/>
    </row>
    <row r="31" spans="1:13" x14ac:dyDescent="0.25">
      <c r="A31" s="241"/>
      <c r="B31" s="241"/>
      <c r="C31" s="241"/>
      <c r="D31" s="262"/>
      <c r="E31" s="263"/>
    </row>
    <row r="32" spans="1:13" x14ac:dyDescent="0.25">
      <c r="A32" s="241"/>
      <c r="B32" s="241"/>
      <c r="C32" s="241"/>
      <c r="D32" s="262"/>
      <c r="E32" s="263"/>
    </row>
    <row r="33" spans="1:7" x14ac:dyDescent="0.25">
      <c r="A33" s="241"/>
      <c r="B33" s="241"/>
      <c r="C33" s="241"/>
      <c r="D33" s="262"/>
      <c r="E33" s="263"/>
    </row>
    <row r="34" spans="1:7" x14ac:dyDescent="0.25">
      <c r="A34" s="241"/>
      <c r="B34" s="241"/>
      <c r="C34" s="245"/>
      <c r="D34" s="262"/>
      <c r="E34" s="263"/>
    </row>
    <row r="35" spans="1:7" x14ac:dyDescent="0.25">
      <c r="A35" s="241"/>
      <c r="B35" s="241"/>
      <c r="C35" s="241"/>
      <c r="D35" s="262"/>
      <c r="E35" s="263"/>
    </row>
    <row r="36" spans="1:7" x14ac:dyDescent="0.25">
      <c r="A36" s="241"/>
      <c r="B36" s="241"/>
      <c r="C36" s="241"/>
      <c r="D36" s="262"/>
      <c r="E36" s="263"/>
    </row>
    <row r="37" spans="1:7" x14ac:dyDescent="0.25">
      <c r="A37" s="241"/>
      <c r="B37" s="241"/>
      <c r="C37" s="241"/>
      <c r="D37" s="262"/>
      <c r="E37" s="263"/>
    </row>
    <row r="38" spans="1:7" x14ac:dyDescent="0.25">
      <c r="A38" s="241"/>
      <c r="B38" s="241"/>
      <c r="C38" s="241"/>
      <c r="D38" s="262"/>
      <c r="E38" s="263"/>
    </row>
    <row r="39" spans="1:7" x14ac:dyDescent="0.25">
      <c r="A39" s="241"/>
      <c r="B39" s="241"/>
      <c r="C39" s="241"/>
      <c r="D39" s="262"/>
      <c r="E39" s="263"/>
    </row>
    <row r="40" spans="1:7" x14ac:dyDescent="0.25">
      <c r="A40" s="241"/>
      <c r="B40" s="241"/>
      <c r="C40" s="241"/>
      <c r="D40" s="262"/>
      <c r="E40" s="263"/>
    </row>
    <row r="41" spans="1:7" x14ac:dyDescent="0.25">
      <c r="A41" s="241"/>
      <c r="B41" s="241"/>
      <c r="C41" s="241"/>
      <c r="D41" s="262"/>
      <c r="E41" s="263"/>
    </row>
    <row r="42" spans="1:7" x14ac:dyDescent="0.25">
      <c r="A42" s="241"/>
      <c r="B42" s="241"/>
      <c r="C42" s="241"/>
      <c r="D42" s="262"/>
      <c r="E42" s="263"/>
    </row>
    <row r="43" spans="1:7" x14ac:dyDescent="0.25">
      <c r="A43" s="241"/>
      <c r="B43" s="241"/>
      <c r="C43" s="241"/>
      <c r="D43" s="262"/>
      <c r="E43" s="263"/>
    </row>
    <row r="44" spans="1:7" x14ac:dyDescent="0.25">
      <c r="A44" s="241"/>
      <c r="B44" s="241"/>
      <c r="C44" s="241"/>
      <c r="D44" s="262"/>
      <c r="E44" s="263"/>
    </row>
    <row r="45" spans="1:7" x14ac:dyDescent="0.25">
      <c r="A45" s="241"/>
      <c r="B45" s="241"/>
      <c r="C45" s="241"/>
      <c r="D45" s="262"/>
      <c r="E45" s="263"/>
    </row>
    <row r="46" spans="1:7" x14ac:dyDescent="0.25">
      <c r="A46" s="241"/>
      <c r="B46" s="241"/>
      <c r="C46" s="241"/>
      <c r="D46" s="262"/>
      <c r="E46" s="263"/>
    </row>
    <row r="47" spans="1:7" s="49" customFormat="1" x14ac:dyDescent="0.25">
      <c r="A47" s="52"/>
      <c r="B47" s="52"/>
      <c r="C47" s="52"/>
      <c r="D47" s="53"/>
      <c r="E47" s="54"/>
      <c r="G47" s="50"/>
    </row>
    <row r="48" spans="1:7" x14ac:dyDescent="0.25">
      <c r="A48" s="319"/>
      <c r="B48" s="319"/>
      <c r="C48" s="319"/>
      <c r="D48" s="320"/>
      <c r="E48" s="321"/>
    </row>
    <row r="49" spans="1:5" x14ac:dyDescent="0.25">
      <c r="A49" s="319"/>
      <c r="B49" s="319"/>
      <c r="C49" s="319"/>
      <c r="D49" s="320"/>
      <c r="E49" s="321"/>
    </row>
    <row r="50" spans="1:5" x14ac:dyDescent="0.25">
      <c r="A50" s="319"/>
      <c r="B50" s="319"/>
      <c r="C50" s="319"/>
      <c r="D50" s="320"/>
      <c r="E50" s="321"/>
    </row>
    <row r="51" spans="1:5" x14ac:dyDescent="0.25">
      <c r="A51" s="319"/>
      <c r="B51" s="319"/>
      <c r="C51" s="319"/>
      <c r="D51" s="320"/>
      <c r="E51" s="321"/>
    </row>
    <row r="52" spans="1:5" x14ac:dyDescent="0.25">
      <c r="A52" s="319"/>
      <c r="B52" s="319"/>
      <c r="C52" s="319"/>
      <c r="D52" s="320"/>
      <c r="E52" s="321"/>
    </row>
    <row r="53" spans="1:5" x14ac:dyDescent="0.25">
      <c r="A53" s="319"/>
      <c r="B53" s="319"/>
      <c r="C53" s="319"/>
      <c r="D53" s="320"/>
      <c r="E53" s="321"/>
    </row>
    <row r="54" spans="1:5" x14ac:dyDescent="0.25">
      <c r="A54" s="319"/>
      <c r="B54" s="319"/>
      <c r="C54" s="319"/>
      <c r="D54" s="320"/>
      <c r="E54" s="321"/>
    </row>
    <row r="55" spans="1:5" x14ac:dyDescent="0.25">
      <c r="A55" s="319"/>
      <c r="B55" s="319"/>
      <c r="C55" s="319"/>
      <c r="D55" s="320"/>
      <c r="E55" s="321"/>
    </row>
    <row r="56" spans="1:5" x14ac:dyDescent="0.25">
      <c r="A56" s="319"/>
      <c r="B56" s="319"/>
      <c r="C56" s="319"/>
      <c r="D56" s="320"/>
      <c r="E56" s="321"/>
    </row>
    <row r="57" spans="1:5" x14ac:dyDescent="0.25">
      <c r="A57" s="319"/>
      <c r="B57" s="319"/>
      <c r="C57" s="319"/>
      <c r="D57" s="320"/>
      <c r="E57" s="321"/>
    </row>
    <row r="58" spans="1:5" x14ac:dyDescent="0.25">
      <c r="A58" s="241"/>
      <c r="B58" s="241"/>
      <c r="C58" s="241"/>
      <c r="D58" s="262"/>
      <c r="E58" s="263"/>
    </row>
    <row r="59" spans="1:5" x14ac:dyDescent="0.25">
      <c r="A59" s="241"/>
      <c r="B59" s="241"/>
      <c r="C59" s="241"/>
      <c r="D59" s="262"/>
      <c r="E59" s="263"/>
    </row>
    <row r="60" spans="1:5" x14ac:dyDescent="0.25">
      <c r="A60" s="282"/>
      <c r="B60" s="282"/>
      <c r="C60" s="282"/>
      <c r="D60" s="283"/>
      <c r="E60" s="284"/>
    </row>
    <row r="61" spans="1:5" x14ac:dyDescent="0.25">
      <c r="A61" s="282"/>
      <c r="B61" s="282"/>
      <c r="C61" s="282"/>
      <c r="D61" s="283"/>
      <c r="E61" s="284"/>
    </row>
    <row r="62" spans="1:5" x14ac:dyDescent="0.25">
      <c r="A62" s="282"/>
      <c r="B62" s="282"/>
      <c r="C62" s="282"/>
      <c r="D62" s="283"/>
      <c r="E62" s="284"/>
    </row>
    <row r="63" spans="1:5" x14ac:dyDescent="0.25">
      <c r="A63" s="282"/>
      <c r="B63" s="282"/>
      <c r="C63" s="282"/>
      <c r="D63" s="283"/>
      <c r="E63" s="284"/>
    </row>
    <row r="64" spans="1:5" x14ac:dyDescent="0.25">
      <c r="A64" s="288"/>
      <c r="B64" s="288"/>
      <c r="C64" s="288"/>
      <c r="D64" s="283"/>
      <c r="E64" s="284"/>
    </row>
    <row r="65" spans="1:5" x14ac:dyDescent="0.25">
      <c r="A65" s="288"/>
      <c r="B65" s="288"/>
      <c r="C65" s="288"/>
      <c r="D65" s="289"/>
      <c r="E65" s="290"/>
    </row>
    <row r="66" spans="1:5" x14ac:dyDescent="0.25">
      <c r="A66" s="288"/>
      <c r="B66" s="288"/>
      <c r="C66" s="288"/>
      <c r="D66" s="283"/>
      <c r="E66" s="284"/>
    </row>
    <row r="67" spans="1:5" x14ac:dyDescent="0.25">
      <c r="A67" s="288"/>
      <c r="B67" s="288"/>
      <c r="C67" s="288"/>
      <c r="D67" s="289"/>
      <c r="E67" s="290"/>
    </row>
    <row r="68" spans="1:5" x14ac:dyDescent="0.25">
      <c r="A68" s="288"/>
      <c r="B68" s="288"/>
      <c r="C68" s="288"/>
      <c r="D68" s="283"/>
      <c r="E68" s="284"/>
    </row>
    <row r="69" spans="1:5" x14ac:dyDescent="0.25">
      <c r="A69" s="288"/>
      <c r="B69" s="288"/>
      <c r="C69" s="288"/>
      <c r="D69" s="289"/>
      <c r="E69" s="290"/>
    </row>
    <row r="70" spans="1:5" x14ac:dyDescent="0.25">
      <c r="A70" s="288"/>
      <c r="B70" s="288"/>
      <c r="C70" s="288"/>
      <c r="D70" s="283"/>
      <c r="E70" s="284"/>
    </row>
    <row r="71" spans="1:5" x14ac:dyDescent="0.25">
      <c r="A71" s="288"/>
      <c r="B71" s="288"/>
      <c r="C71" s="288"/>
      <c r="D71" s="289"/>
      <c r="E71" s="290"/>
    </row>
  </sheetData>
  <mergeCells count="4">
    <mergeCell ref="B2:C3"/>
    <mergeCell ref="B6:C7"/>
    <mergeCell ref="B4:C5"/>
    <mergeCell ref="B8:C9"/>
  </mergeCells>
  <phoneticPr fontId="26" type="noConversion"/>
  <pageMargins left="0.7" right="0.7" top="0.75" bottom="0.75" header="0.3" footer="0.3"/>
  <pageSetup orientation="landscape"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69"/>
  <sheetViews>
    <sheetView workbookViewId="0">
      <pane ySplit="4" topLeftCell="A5" activePane="bottomLeft" state="frozen"/>
      <selection activeCell="H28" sqref="H28"/>
      <selection pane="bottomLeft" activeCell="M5" sqref="M5"/>
    </sheetView>
  </sheetViews>
  <sheetFormatPr defaultRowHeight="15" x14ac:dyDescent="0.25"/>
  <cols>
    <col min="1" max="1" width="14.140625" style="73" bestFit="1" customWidth="1"/>
    <col min="2" max="2" width="9.7109375" style="71" bestFit="1" customWidth="1"/>
    <col min="3" max="3" width="18.5703125" style="73" bestFit="1" customWidth="1"/>
    <col min="4" max="4" width="13.5703125" style="73" bestFit="1" customWidth="1"/>
    <col min="5" max="5" width="37.28515625" style="73" bestFit="1" customWidth="1"/>
    <col min="6" max="6" width="8.7109375" style="73" bestFit="1" customWidth="1"/>
    <col min="7" max="7" width="14.28515625" style="112" bestFit="1" customWidth="1"/>
    <col min="8" max="8" width="10" style="112" bestFit="1" customWidth="1"/>
    <col min="9" max="9" width="10.28515625" style="244" bestFit="1" customWidth="1"/>
    <col min="10" max="10" width="11.140625" style="71" bestFit="1" customWidth="1"/>
    <col min="11" max="11" width="14.28515625" style="108" bestFit="1" customWidth="1"/>
    <col min="12" max="12" width="9.7109375" style="72" bestFit="1" customWidth="1"/>
    <col min="13" max="13" width="9.42578125" style="71" bestFit="1" customWidth="1"/>
    <col min="14" max="14" width="19" style="73"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757" t="s">
        <v>215</v>
      </c>
      <c r="B1" s="758"/>
      <c r="C1" s="758"/>
      <c r="D1" s="758"/>
      <c r="E1" s="758"/>
      <c r="F1" s="758"/>
      <c r="G1" s="758"/>
      <c r="H1" s="759"/>
      <c r="I1" s="748" t="s">
        <v>216</v>
      </c>
      <c r="J1" s="749"/>
      <c r="K1" s="749"/>
      <c r="L1" s="749"/>
      <c r="M1" s="749"/>
      <c r="N1" s="750"/>
      <c r="P1" s="30" t="s">
        <v>217</v>
      </c>
      <c r="Q1" s="15">
        <v>1</v>
      </c>
      <c r="R1" s="60" t="s">
        <v>218</v>
      </c>
      <c r="S1" s="15">
        <v>4</v>
      </c>
    </row>
    <row r="2" spans="1:19" x14ac:dyDescent="0.25">
      <c r="A2" s="760"/>
      <c r="B2" s="687"/>
      <c r="C2" s="687"/>
      <c r="D2" s="687"/>
      <c r="E2" s="687"/>
      <c r="F2" s="687"/>
      <c r="G2" s="687"/>
      <c r="H2" s="761"/>
      <c r="I2" s="751"/>
      <c r="J2" s="752"/>
      <c r="K2" s="752"/>
      <c r="L2" s="752"/>
      <c r="M2" s="752"/>
      <c r="N2" s="753"/>
      <c r="P2" s="30" t="s">
        <v>219</v>
      </c>
      <c r="Q2" s="15">
        <v>2</v>
      </c>
      <c r="R2" s="30" t="s">
        <v>220</v>
      </c>
      <c r="S2" s="15">
        <v>0</v>
      </c>
    </row>
    <row r="3" spans="1:19" ht="15.75" thickBot="1" x14ac:dyDescent="0.3">
      <c r="A3" s="762"/>
      <c r="B3" s="763"/>
      <c r="C3" s="763"/>
      <c r="D3" s="763"/>
      <c r="E3" s="763"/>
      <c r="F3" s="763"/>
      <c r="G3" s="763"/>
      <c r="H3" s="764"/>
      <c r="I3" s="754"/>
      <c r="J3" s="755"/>
      <c r="K3" s="755"/>
      <c r="L3" s="755"/>
      <c r="M3" s="755"/>
      <c r="N3" s="756"/>
      <c r="P3" s="30" t="s">
        <v>550</v>
      </c>
      <c r="Q3" s="15">
        <v>3</v>
      </c>
      <c r="R3" s="15" t="s">
        <v>221</v>
      </c>
      <c r="S3" s="15">
        <v>5</v>
      </c>
    </row>
    <row r="4" spans="1:19" s="62" customFormat="1" ht="30.75" thickTop="1" x14ac:dyDescent="0.25">
      <c r="A4" s="109" t="s">
        <v>222</v>
      </c>
      <c r="B4" s="110" t="s">
        <v>223</v>
      </c>
      <c r="C4" s="109" t="s">
        <v>224</v>
      </c>
      <c r="D4" s="109" t="s">
        <v>225</v>
      </c>
      <c r="E4" s="109" t="s">
        <v>226</v>
      </c>
      <c r="F4" s="109" t="s">
        <v>197</v>
      </c>
      <c r="G4" s="111" t="s">
        <v>198</v>
      </c>
      <c r="H4" s="111" t="s">
        <v>227</v>
      </c>
      <c r="I4" s="242" t="s">
        <v>228</v>
      </c>
      <c r="J4" s="68" t="s">
        <v>229</v>
      </c>
      <c r="K4" s="257" t="s">
        <v>230</v>
      </c>
      <c r="L4" s="68" t="s">
        <v>231</v>
      </c>
      <c r="M4" s="68" t="s">
        <v>232</v>
      </c>
      <c r="N4" s="68" t="s">
        <v>137</v>
      </c>
    </row>
    <row r="5" spans="1:19" x14ac:dyDescent="0.25">
      <c r="A5" s="73" t="str">
        <f>+IF(FromProposal[[#This Row],[Cost Code]]&lt;&gt;0,+'Gnatt Chart'!$A$2,"")</f>
        <v xml:space="preserve">Tim Flemming </v>
      </c>
      <c r="B5" s="71">
        <v>1</v>
      </c>
      <c r="C5" s="73" t="s">
        <v>199</v>
      </c>
      <c r="D5" s="73" t="s">
        <v>199</v>
      </c>
      <c r="E5" s="73" t="s">
        <v>200</v>
      </c>
      <c r="F5" s="73">
        <v>0</v>
      </c>
      <c r="G5" s="296"/>
      <c r="H5" s="296"/>
      <c r="I5" s="243"/>
      <c r="J5" s="69">
        <v>4</v>
      </c>
      <c r="K5" s="261">
        <v>45363</v>
      </c>
      <c r="L5" s="69"/>
      <c r="M5" s="260"/>
      <c r="N5" s="70"/>
    </row>
    <row r="6" spans="1:19" x14ac:dyDescent="0.25">
      <c r="A6" s="73" t="str">
        <f>+IF(FromProposal[[#This Row],[Cost Code]]&lt;&gt;0,+'Gnatt Chart'!$A$2,"")</f>
        <v xml:space="preserve">Tim Flemming </v>
      </c>
      <c r="B6" s="71">
        <v>2</v>
      </c>
      <c r="C6" s="73" t="s">
        <v>201</v>
      </c>
      <c r="D6" s="73" t="s">
        <v>202</v>
      </c>
      <c r="E6" s="73" t="s">
        <v>203</v>
      </c>
      <c r="F6" s="73">
        <v>0</v>
      </c>
      <c r="G6" s="296"/>
      <c r="H6" s="296"/>
      <c r="I6" s="243"/>
      <c r="J6" s="69">
        <v>4</v>
      </c>
      <c r="K6" s="261"/>
      <c r="L6" s="69"/>
      <c r="M6" s="260"/>
      <c r="N6" s="70"/>
    </row>
    <row r="7" spans="1:19" x14ac:dyDescent="0.25">
      <c r="A7" s="73" t="str">
        <f>+IF(FromProposal[[#This Row],[Cost Code]]&lt;&gt;0,+'Gnatt Chart'!$A$2,"")</f>
        <v xml:space="preserve">Tim Flemming </v>
      </c>
      <c r="B7" s="71">
        <v>3</v>
      </c>
      <c r="C7" s="73" t="s">
        <v>201</v>
      </c>
      <c r="D7" s="73" t="s">
        <v>204</v>
      </c>
      <c r="E7" s="73" t="s">
        <v>204</v>
      </c>
      <c r="F7" s="73">
        <v>0</v>
      </c>
      <c r="G7" s="296"/>
      <c r="H7" s="296"/>
      <c r="I7" s="243"/>
      <c r="J7" s="69">
        <v>4</v>
      </c>
      <c r="K7" s="261"/>
      <c r="L7" s="69"/>
      <c r="M7" s="260"/>
      <c r="N7" s="70"/>
    </row>
    <row r="8" spans="1:19" x14ac:dyDescent="0.25">
      <c r="A8" s="73" t="str">
        <f>+IF(FromProposal[[#This Row],[Cost Code]]&lt;&gt;0,+'Gnatt Chart'!$A$2,"")</f>
        <v/>
      </c>
      <c r="B8" s="71">
        <v>4</v>
      </c>
      <c r="D8" s="73" t="s">
        <v>205</v>
      </c>
      <c r="E8" s="73" t="s">
        <v>206</v>
      </c>
      <c r="F8" s="73">
        <v>6</v>
      </c>
      <c r="G8" s="296"/>
      <c r="H8" s="296"/>
      <c r="I8" s="243"/>
      <c r="J8" s="69">
        <v>5</v>
      </c>
      <c r="K8" s="261"/>
      <c r="L8" s="69"/>
      <c r="M8" s="260"/>
      <c r="N8" s="70"/>
    </row>
    <row r="9" spans="1:19" x14ac:dyDescent="0.25">
      <c r="A9" s="73" t="str">
        <f>+IF(FromProposal[[#This Row],[Cost Code]]&lt;&gt;0,+'Gnatt Chart'!$A$2,"")</f>
        <v xml:space="preserve">Tim Flemming </v>
      </c>
      <c r="B9" s="71">
        <v>5</v>
      </c>
      <c r="C9" s="73" t="s">
        <v>207</v>
      </c>
      <c r="D9" s="73" t="s">
        <v>208</v>
      </c>
      <c r="E9" s="73" t="s">
        <v>551</v>
      </c>
      <c r="F9" s="73">
        <v>0</v>
      </c>
      <c r="G9" s="296">
        <v>0</v>
      </c>
      <c r="H9" s="296">
        <v>0</v>
      </c>
      <c r="I9" s="243"/>
      <c r="J9" s="69"/>
      <c r="K9" s="261"/>
      <c r="L9" s="69"/>
      <c r="M9" s="260"/>
      <c r="N9" s="70"/>
    </row>
    <row r="10" spans="1:19" x14ac:dyDescent="0.25">
      <c r="A10" s="73" t="str">
        <f>+IF(FromProposal[[#This Row],[Cost Code]]&lt;&gt;0,+'Gnatt Chart'!$A$2,"")</f>
        <v xml:space="preserve">Tim Flemming </v>
      </c>
      <c r="B10" s="71">
        <v>6</v>
      </c>
      <c r="C10" s="73" t="s">
        <v>209</v>
      </c>
      <c r="D10" s="73" t="s">
        <v>208</v>
      </c>
      <c r="E10" s="73" t="s">
        <v>546</v>
      </c>
      <c r="F10" s="73">
        <v>0</v>
      </c>
      <c r="G10" s="296">
        <v>0</v>
      </c>
      <c r="H10" s="296">
        <v>0</v>
      </c>
      <c r="I10" s="243"/>
      <c r="J10" s="69"/>
      <c r="K10" s="261"/>
      <c r="L10" s="69"/>
      <c r="M10" s="260"/>
      <c r="N10" s="70"/>
    </row>
    <row r="11" spans="1:19" x14ac:dyDescent="0.25">
      <c r="A11" s="73" t="str">
        <f>+IF(FromProposal[[#This Row],[Cost Code]]&lt;&gt;0,+'Gnatt Chart'!$A$2,"")</f>
        <v xml:space="preserve">Tim Flemming </v>
      </c>
      <c r="B11" s="71">
        <v>7</v>
      </c>
      <c r="C11" s="73" t="s">
        <v>210</v>
      </c>
      <c r="D11" s="73" t="s">
        <v>208</v>
      </c>
      <c r="E11" s="73" t="s">
        <v>547</v>
      </c>
      <c r="F11" s="73">
        <v>0</v>
      </c>
      <c r="G11" s="296">
        <v>0</v>
      </c>
      <c r="H11" s="296">
        <v>0</v>
      </c>
      <c r="I11" s="243"/>
      <c r="J11" s="69"/>
      <c r="K11" s="261"/>
      <c r="L11" s="69"/>
      <c r="M11" s="260"/>
      <c r="N11" s="70"/>
    </row>
    <row r="12" spans="1:19" x14ac:dyDescent="0.25">
      <c r="A12" s="73" t="str">
        <f>+IF(FromProposal[[#This Row],[Cost Code]]&lt;&gt;0,+'Gnatt Chart'!$A$2,"")</f>
        <v xml:space="preserve">Tim Flemming </v>
      </c>
      <c r="B12" s="71">
        <v>8</v>
      </c>
      <c r="C12" s="73" t="s">
        <v>212</v>
      </c>
      <c r="D12" s="73" t="s">
        <v>208</v>
      </c>
      <c r="E12" s="73" t="s">
        <v>548</v>
      </c>
      <c r="F12" s="73">
        <v>0</v>
      </c>
      <c r="G12" s="296">
        <v>0</v>
      </c>
      <c r="H12" s="296">
        <v>0</v>
      </c>
      <c r="I12" s="243"/>
      <c r="J12" s="69"/>
      <c r="K12" s="261"/>
      <c r="L12" s="69"/>
      <c r="M12" s="260"/>
      <c r="N12" s="70"/>
    </row>
    <row r="13" spans="1:19" x14ac:dyDescent="0.25">
      <c r="A13" s="73" t="str">
        <f>+IF(FromProposal[[#This Row],[Cost Code]]&lt;&gt;0,+'Gnatt Chart'!$A$2,"")</f>
        <v xml:space="preserve">Tim Flemming </v>
      </c>
      <c r="B13" s="71">
        <v>9</v>
      </c>
      <c r="C13" s="73" t="s">
        <v>213</v>
      </c>
      <c r="D13" s="73" t="s">
        <v>208</v>
      </c>
      <c r="E13" s="73" t="s">
        <v>549</v>
      </c>
      <c r="F13" s="73">
        <v>0</v>
      </c>
      <c r="G13" s="296">
        <v>0</v>
      </c>
      <c r="H13" s="296">
        <v>0</v>
      </c>
      <c r="I13" s="243"/>
      <c r="J13" s="69"/>
      <c r="K13" s="261"/>
      <c r="L13" s="69"/>
      <c r="M13" s="260"/>
      <c r="N13" s="70"/>
    </row>
    <row r="14" spans="1:19" x14ac:dyDescent="0.25">
      <c r="A14" s="73" t="str">
        <f>+IF(FromProposal[[#This Row],[Cost Code]]&lt;&gt;0,+'Gnatt Chart'!$A$2,"")</f>
        <v/>
      </c>
      <c r="B14" s="71">
        <v>10</v>
      </c>
      <c r="G14" s="295"/>
      <c r="H14" s="295"/>
      <c r="I14" s="243"/>
      <c r="J14" s="69"/>
      <c r="K14" s="261"/>
      <c r="L14" s="69"/>
      <c r="M14" s="260"/>
      <c r="N14" s="70"/>
    </row>
    <row r="15" spans="1:19" x14ac:dyDescent="0.25">
      <c r="A15" s="73" t="str">
        <f>+IF(FromProposal[[#This Row],[Cost Code]]&lt;&gt;0,+'Gnatt Chart'!$A$2,"")</f>
        <v/>
      </c>
      <c r="B15" s="71">
        <v>11</v>
      </c>
      <c r="G15" s="296"/>
      <c r="H15" s="296"/>
      <c r="I15" s="243"/>
      <c r="J15" s="69"/>
      <c r="K15" s="261"/>
      <c r="L15" s="69"/>
      <c r="M15" s="260"/>
      <c r="N15" s="70"/>
    </row>
    <row r="16" spans="1:19" x14ac:dyDescent="0.25">
      <c r="A16" s="73" t="str">
        <f>+IF(FromProposal[[#This Row],[Cost Code]]&lt;&gt;0,+'Gnatt Chart'!$A$2,"")</f>
        <v/>
      </c>
      <c r="B16" s="71">
        <v>12</v>
      </c>
      <c r="G16" s="296"/>
      <c r="H16" s="296"/>
      <c r="I16" s="243"/>
      <c r="J16" s="69"/>
      <c r="K16" s="261"/>
      <c r="L16" s="69"/>
      <c r="M16" s="260"/>
      <c r="N16" s="70"/>
    </row>
    <row r="17" spans="1:14" x14ac:dyDescent="0.25">
      <c r="A17" s="73" t="str">
        <f>+IF(FromProposal[[#This Row],[Cost Code]]&lt;&gt;0,+'Gnatt Chart'!$A$2,"")</f>
        <v/>
      </c>
      <c r="B17" s="71">
        <v>13</v>
      </c>
      <c r="G17" s="296"/>
      <c r="H17" s="296"/>
      <c r="I17" s="243"/>
      <c r="J17" s="69"/>
      <c r="K17" s="261"/>
      <c r="L17" s="69"/>
      <c r="M17" s="260"/>
      <c r="N17" s="70"/>
    </row>
    <row r="18" spans="1:14" x14ac:dyDescent="0.25">
      <c r="A18" s="73" t="str">
        <f>+IF(FromProposal[[#This Row],[Cost Code]]&lt;&gt;0,+'Gnatt Chart'!$A$2,"")</f>
        <v/>
      </c>
      <c r="B18" s="71">
        <v>14</v>
      </c>
      <c r="G18" s="296"/>
      <c r="H18" s="296"/>
      <c r="I18" s="243"/>
      <c r="J18" s="69"/>
      <c r="K18" s="261"/>
      <c r="L18" s="69"/>
      <c r="M18" s="260"/>
      <c r="N18" s="70"/>
    </row>
    <row r="19" spans="1:14" x14ac:dyDescent="0.25">
      <c r="A19" s="73" t="str">
        <f>+IF(FromProposal[[#This Row],[Cost Code]]&lt;&gt;0,+'Gnatt Chart'!$A$2,"")</f>
        <v/>
      </c>
      <c r="B19" s="71">
        <v>15</v>
      </c>
      <c r="G19" s="296"/>
      <c r="H19" s="296"/>
      <c r="I19" s="243"/>
      <c r="J19" s="69"/>
      <c r="K19" s="261"/>
      <c r="L19" s="69"/>
      <c r="M19" s="260"/>
      <c r="N19" s="70"/>
    </row>
    <row r="20" spans="1:14" x14ac:dyDescent="0.25">
      <c r="A20" s="73" t="str">
        <f>+IF(FromProposal[[#This Row],[Cost Code]]&lt;&gt;0,+'Gnatt Chart'!$A$2,"")</f>
        <v/>
      </c>
      <c r="B20" s="71">
        <v>16</v>
      </c>
      <c r="G20" s="296"/>
      <c r="H20" s="296"/>
      <c r="I20" s="243"/>
      <c r="J20" s="69"/>
      <c r="K20" s="261"/>
      <c r="L20" s="69"/>
      <c r="M20" s="260"/>
      <c r="N20" s="70"/>
    </row>
    <row r="21" spans="1:14" x14ac:dyDescent="0.25">
      <c r="A21" s="73" t="str">
        <f>+IF(FromProposal[[#This Row],[Cost Code]]&lt;&gt;0,+'Gnatt Chart'!$A$2,"")</f>
        <v/>
      </c>
      <c r="B21" s="71">
        <v>17</v>
      </c>
      <c r="G21" s="296"/>
      <c r="H21" s="296"/>
      <c r="I21" s="243"/>
      <c r="J21" s="69"/>
      <c r="K21" s="261"/>
      <c r="L21" s="69"/>
      <c r="M21" s="260"/>
      <c r="N21" s="70"/>
    </row>
    <row r="22" spans="1:14" x14ac:dyDescent="0.25">
      <c r="A22" s="73" t="str">
        <f>+IF(FromProposal[[#This Row],[Cost Code]]&lt;&gt;0,+'Gnatt Chart'!$A$2,"")</f>
        <v/>
      </c>
      <c r="B22" s="71">
        <v>18</v>
      </c>
      <c r="G22" s="296"/>
      <c r="H22" s="296"/>
      <c r="I22" s="243"/>
      <c r="J22" s="69"/>
      <c r="K22" s="261"/>
      <c r="L22" s="69"/>
      <c r="M22" s="260"/>
      <c r="N22" s="70" t="s">
        <v>583</v>
      </c>
    </row>
    <row r="23" spans="1:14" x14ac:dyDescent="0.25">
      <c r="A23" s="73" t="str">
        <f>+IF(FromProposal[[#This Row],[Cost Code]]&lt;&gt;0,+'Gnatt Chart'!$A$2,"")</f>
        <v/>
      </c>
      <c r="B23" s="71">
        <v>19</v>
      </c>
      <c r="G23" s="296"/>
      <c r="H23" s="296"/>
      <c r="I23" s="243"/>
      <c r="J23" s="69"/>
      <c r="K23" s="261"/>
      <c r="L23" s="69"/>
      <c r="M23" s="260"/>
      <c r="N23" s="70"/>
    </row>
    <row r="24" spans="1:14" x14ac:dyDescent="0.25">
      <c r="A24" s="73" t="str">
        <f>+IF(FromProposal[[#This Row],[Cost Code]]&lt;&gt;0,+'Gnatt Chart'!$A$2,"")</f>
        <v/>
      </c>
      <c r="B24" s="71">
        <v>20</v>
      </c>
      <c r="G24" s="296"/>
      <c r="H24" s="296"/>
      <c r="I24" s="243"/>
      <c r="J24" s="69"/>
      <c r="K24" s="261"/>
      <c r="L24" s="69"/>
      <c r="M24" s="260"/>
      <c r="N24" s="70"/>
    </row>
    <row r="25" spans="1:14" x14ac:dyDescent="0.25">
      <c r="A25" s="73" t="str">
        <f>+IF(FromProposal[[#This Row],[Cost Code]]&lt;&gt;0,+'Gnatt Chart'!$A$2,"")</f>
        <v/>
      </c>
      <c r="B25" s="71">
        <v>21</v>
      </c>
      <c r="G25" s="296"/>
      <c r="H25" s="296"/>
      <c r="I25" s="243"/>
      <c r="J25" s="69"/>
      <c r="K25" s="261"/>
      <c r="L25" s="69"/>
      <c r="M25" s="260"/>
      <c r="N25" s="70"/>
    </row>
    <row r="26" spans="1:14" x14ac:dyDescent="0.25">
      <c r="A26" s="73" t="str">
        <f>+IF(FromProposal[[#This Row],[Cost Code]]&lt;&gt;0,+'Gnatt Chart'!$A$2,"")</f>
        <v/>
      </c>
      <c r="B26" s="71">
        <v>22</v>
      </c>
      <c r="E26" s="273"/>
      <c r="F26" s="273"/>
      <c r="G26" s="297"/>
      <c r="H26" s="297"/>
      <c r="I26" s="243"/>
      <c r="J26" s="69"/>
      <c r="K26" s="261"/>
      <c r="L26" s="69"/>
      <c r="M26" s="260"/>
      <c r="N26" s="70"/>
    </row>
    <row r="27" spans="1:14" x14ac:dyDescent="0.25">
      <c r="A27" s="73" t="str">
        <f>+IF(FromProposal[[#This Row],[Cost Code]]&lt;&gt;0,+'Gnatt Chart'!$A$2,"")</f>
        <v/>
      </c>
      <c r="B27" s="71">
        <v>23</v>
      </c>
      <c r="G27" s="296"/>
      <c r="H27" s="296"/>
      <c r="I27" s="243"/>
      <c r="J27" s="69"/>
      <c r="K27" s="261"/>
      <c r="L27" s="69"/>
      <c r="M27" s="260"/>
      <c r="N27" s="70"/>
    </row>
    <row r="28" spans="1:14" x14ac:dyDescent="0.25">
      <c r="G28" s="73"/>
      <c r="H28" s="73"/>
      <c r="K28" s="258"/>
    </row>
    <row r="29" spans="1:14" x14ac:dyDescent="0.25">
      <c r="G29" s="73"/>
      <c r="H29" s="73"/>
      <c r="K29" s="258"/>
    </row>
    <row r="30" spans="1:14" x14ac:dyDescent="0.25">
      <c r="G30" s="73"/>
      <c r="H30" s="73"/>
      <c r="K30" s="258"/>
    </row>
    <row r="31" spans="1:14" x14ac:dyDescent="0.25">
      <c r="G31" s="73"/>
      <c r="H31" s="73"/>
      <c r="K31" s="258"/>
    </row>
    <row r="32" spans="1:14" x14ac:dyDescent="0.25">
      <c r="G32" s="73"/>
      <c r="H32" s="73"/>
      <c r="K32" s="258"/>
    </row>
    <row r="33" spans="7:11" x14ac:dyDescent="0.25">
      <c r="G33" s="73"/>
      <c r="H33" s="73"/>
      <c r="K33" s="258"/>
    </row>
    <row r="34" spans="7:11" x14ac:dyDescent="0.25">
      <c r="G34" s="73"/>
      <c r="H34" s="73"/>
      <c r="K34" s="258"/>
    </row>
    <row r="35" spans="7:11" x14ac:dyDescent="0.25">
      <c r="G35" s="73"/>
      <c r="H35" s="73"/>
      <c r="K35" s="258"/>
    </row>
    <row r="36" spans="7:11" x14ac:dyDescent="0.25">
      <c r="G36" s="73"/>
      <c r="H36" s="73"/>
      <c r="K36" s="258"/>
    </row>
    <row r="37" spans="7:11" x14ac:dyDescent="0.25">
      <c r="G37" s="73"/>
      <c r="H37" s="73"/>
      <c r="K37" s="258"/>
    </row>
    <row r="38" spans="7:11" x14ac:dyDescent="0.25">
      <c r="G38" s="73"/>
      <c r="H38" s="73"/>
      <c r="K38" s="258"/>
    </row>
    <row r="39" spans="7:11" x14ac:dyDescent="0.25">
      <c r="G39" s="73"/>
      <c r="H39" s="73"/>
      <c r="K39" s="258"/>
    </row>
    <row r="40" spans="7:11" x14ac:dyDescent="0.25">
      <c r="G40" s="73"/>
      <c r="H40" s="73"/>
      <c r="K40" s="258"/>
    </row>
    <row r="41" spans="7:11" x14ac:dyDescent="0.25">
      <c r="G41" s="73"/>
      <c r="H41" s="73"/>
      <c r="K41" s="258"/>
    </row>
    <row r="42" spans="7:11" x14ac:dyDescent="0.25">
      <c r="G42" s="73"/>
      <c r="H42" s="73"/>
      <c r="K42" s="258"/>
    </row>
    <row r="43" spans="7:11" x14ac:dyDescent="0.25">
      <c r="G43" s="73"/>
      <c r="H43" s="73"/>
      <c r="K43" s="258"/>
    </row>
    <row r="44" spans="7:11" x14ac:dyDescent="0.25">
      <c r="G44" s="73"/>
      <c r="H44" s="73"/>
      <c r="K44" s="258"/>
    </row>
    <row r="45" spans="7:11" x14ac:dyDescent="0.25">
      <c r="G45" s="73"/>
      <c r="H45" s="73"/>
      <c r="K45" s="258"/>
    </row>
    <row r="46" spans="7:11" x14ac:dyDescent="0.25">
      <c r="G46" s="73"/>
      <c r="H46" s="73"/>
      <c r="K46" s="258"/>
    </row>
    <row r="47" spans="7:11" x14ac:dyDescent="0.25">
      <c r="G47" s="73"/>
      <c r="H47" s="73"/>
      <c r="K47" s="258"/>
    </row>
    <row r="48" spans="7:11" x14ac:dyDescent="0.25">
      <c r="G48" s="73"/>
      <c r="H48" s="73"/>
      <c r="K48" s="258"/>
    </row>
    <row r="49" spans="7:11" x14ac:dyDescent="0.25">
      <c r="G49" s="73"/>
      <c r="H49" s="73"/>
      <c r="K49" s="258"/>
    </row>
    <row r="50" spans="7:11" x14ac:dyDescent="0.25">
      <c r="G50" s="73"/>
      <c r="H50" s="73"/>
      <c r="K50" s="258"/>
    </row>
    <row r="51" spans="7:11" x14ac:dyDescent="0.25">
      <c r="G51" s="73"/>
      <c r="H51" s="73"/>
      <c r="K51" s="258"/>
    </row>
    <row r="52" spans="7:11" x14ac:dyDescent="0.25">
      <c r="G52" s="73"/>
      <c r="H52" s="73"/>
      <c r="K52" s="258"/>
    </row>
    <row r="53" spans="7:11" x14ac:dyDescent="0.25">
      <c r="G53" s="73"/>
      <c r="H53" s="73"/>
      <c r="K53" s="258"/>
    </row>
    <row r="54" spans="7:11" x14ac:dyDescent="0.25">
      <c r="G54" s="73"/>
      <c r="H54" s="73"/>
      <c r="K54" s="258"/>
    </row>
    <row r="55" spans="7:11" x14ac:dyDescent="0.25">
      <c r="G55" s="73"/>
      <c r="H55" s="73"/>
      <c r="K55" s="258"/>
    </row>
    <row r="56" spans="7:11" x14ac:dyDescent="0.25">
      <c r="G56" s="73"/>
      <c r="H56" s="73"/>
      <c r="K56" s="258"/>
    </row>
    <row r="57" spans="7:11" x14ac:dyDescent="0.25">
      <c r="G57" s="73"/>
      <c r="H57" s="73"/>
      <c r="K57" s="258"/>
    </row>
    <row r="58" spans="7:11" x14ac:dyDescent="0.25">
      <c r="G58" s="73"/>
      <c r="H58" s="73"/>
      <c r="K58" s="258"/>
    </row>
    <row r="59" spans="7:11" x14ac:dyDescent="0.25">
      <c r="G59" s="73"/>
      <c r="H59" s="73"/>
      <c r="K59" s="258"/>
    </row>
    <row r="60" spans="7:11" x14ac:dyDescent="0.25">
      <c r="G60" s="73"/>
      <c r="H60" s="73"/>
      <c r="K60" s="258"/>
    </row>
    <row r="61" spans="7:11" x14ac:dyDescent="0.25">
      <c r="G61" s="73"/>
      <c r="H61" s="73"/>
      <c r="K61" s="258"/>
    </row>
    <row r="62" spans="7:11" x14ac:dyDescent="0.25">
      <c r="G62" s="73"/>
      <c r="H62" s="73"/>
      <c r="K62" s="258"/>
    </row>
    <row r="63" spans="7:11" x14ac:dyDescent="0.25">
      <c r="G63" s="73"/>
      <c r="H63" s="73"/>
      <c r="K63" s="258"/>
    </row>
    <row r="64" spans="7:11" x14ac:dyDescent="0.25">
      <c r="G64" s="73"/>
      <c r="H64" s="73"/>
      <c r="K64" s="258"/>
    </row>
    <row r="65" spans="7:11" x14ac:dyDescent="0.25">
      <c r="G65" s="73"/>
      <c r="H65" s="73"/>
      <c r="K65" s="258"/>
    </row>
    <row r="66" spans="7:11" x14ac:dyDescent="0.25">
      <c r="G66" s="73"/>
      <c r="H66" s="73"/>
      <c r="K66" s="258"/>
    </row>
    <row r="67" spans="7:11" x14ac:dyDescent="0.25">
      <c r="G67" s="73"/>
      <c r="H67" s="73"/>
      <c r="K67" s="258"/>
    </row>
    <row r="68" spans="7:11" x14ac:dyDescent="0.25">
      <c r="G68" s="73"/>
      <c r="H68" s="73"/>
      <c r="K68" s="258"/>
    </row>
    <row r="69" spans="7:11" x14ac:dyDescent="0.25">
      <c r="K69" s="258"/>
    </row>
    <row r="70" spans="7:11" x14ac:dyDescent="0.25">
      <c r="K70" s="258"/>
    </row>
    <row r="71" spans="7:11" x14ac:dyDescent="0.25">
      <c r="K71" s="258"/>
    </row>
    <row r="72" spans="7:11" x14ac:dyDescent="0.25">
      <c r="K72" s="258"/>
    </row>
    <row r="73" spans="7:11" x14ac:dyDescent="0.25">
      <c r="K73" s="258"/>
    </row>
    <row r="74" spans="7:11" x14ac:dyDescent="0.25">
      <c r="K74" s="258"/>
    </row>
    <row r="75" spans="7:11" x14ac:dyDescent="0.25">
      <c r="K75" s="258"/>
    </row>
    <row r="76" spans="7:11" x14ac:dyDescent="0.25">
      <c r="K76" s="258"/>
    </row>
    <row r="77" spans="7:11" x14ac:dyDescent="0.25">
      <c r="K77" s="258"/>
    </row>
    <row r="78" spans="7:11" x14ac:dyDescent="0.25">
      <c r="K78" s="258"/>
    </row>
    <row r="79" spans="7:11" x14ac:dyDescent="0.25">
      <c r="K79" s="258"/>
    </row>
    <row r="80" spans="7:11" x14ac:dyDescent="0.25">
      <c r="K80" s="258"/>
    </row>
    <row r="81" spans="11:11" x14ac:dyDescent="0.25">
      <c r="K81" s="258"/>
    </row>
    <row r="82" spans="11:11" x14ac:dyDescent="0.25">
      <c r="K82" s="258"/>
    </row>
    <row r="83" spans="11:11" x14ac:dyDescent="0.25">
      <c r="K83" s="258"/>
    </row>
    <row r="84" spans="11:11" x14ac:dyDescent="0.25">
      <c r="K84" s="258"/>
    </row>
    <row r="85" spans="11:11" x14ac:dyDescent="0.25">
      <c r="K85" s="258"/>
    </row>
    <row r="86" spans="11:11" x14ac:dyDescent="0.25">
      <c r="K86" s="258"/>
    </row>
    <row r="87" spans="11:11" x14ac:dyDescent="0.25">
      <c r="K87" s="258"/>
    </row>
    <row r="88" spans="11:11" x14ac:dyDescent="0.25">
      <c r="K88" s="258"/>
    </row>
    <row r="89" spans="11:11" x14ac:dyDescent="0.25">
      <c r="K89" s="258"/>
    </row>
    <row r="90" spans="11:11" x14ac:dyDescent="0.25">
      <c r="K90" s="258"/>
    </row>
    <row r="91" spans="11:11" x14ac:dyDescent="0.25">
      <c r="K91" s="258"/>
    </row>
    <row r="92" spans="11:11" x14ac:dyDescent="0.25">
      <c r="K92" s="258"/>
    </row>
    <row r="93" spans="11:11" x14ac:dyDescent="0.25">
      <c r="K93" s="258"/>
    </row>
    <row r="94" spans="11:11" x14ac:dyDescent="0.25">
      <c r="K94" s="258"/>
    </row>
    <row r="95" spans="11:11" x14ac:dyDescent="0.25">
      <c r="K95" s="258"/>
    </row>
    <row r="96" spans="11:11" x14ac:dyDescent="0.25">
      <c r="K96" s="258"/>
    </row>
    <row r="97" spans="11:11" x14ac:dyDescent="0.25">
      <c r="K97" s="258"/>
    </row>
    <row r="98" spans="11:11" x14ac:dyDescent="0.25">
      <c r="K98" s="258"/>
    </row>
    <row r="99" spans="11:11" x14ac:dyDescent="0.25">
      <c r="K99" s="258"/>
    </row>
    <row r="100" spans="11:11" x14ac:dyDescent="0.25">
      <c r="K100" s="258"/>
    </row>
    <row r="101" spans="11:11" x14ac:dyDescent="0.25">
      <c r="K101" s="258"/>
    </row>
    <row r="102" spans="11:11" x14ac:dyDescent="0.25">
      <c r="K102" s="258"/>
    </row>
    <row r="103" spans="11:11" x14ac:dyDescent="0.25">
      <c r="K103" s="258"/>
    </row>
    <row r="104" spans="11:11" x14ac:dyDescent="0.25">
      <c r="K104" s="258"/>
    </row>
    <row r="105" spans="11:11" x14ac:dyDescent="0.25">
      <c r="K105" s="258"/>
    </row>
    <row r="106" spans="11:11" x14ac:dyDescent="0.25">
      <c r="K106" s="258"/>
    </row>
    <row r="107" spans="11:11" x14ac:dyDescent="0.25">
      <c r="K107" s="258"/>
    </row>
    <row r="108" spans="11:11" x14ac:dyDescent="0.25">
      <c r="K108" s="258"/>
    </row>
    <row r="109" spans="11:11" x14ac:dyDescent="0.25">
      <c r="K109" s="258"/>
    </row>
    <row r="110" spans="11:11" x14ac:dyDescent="0.25">
      <c r="K110" s="258"/>
    </row>
    <row r="111" spans="11:11" x14ac:dyDescent="0.25">
      <c r="K111" s="258"/>
    </row>
    <row r="112" spans="11:11" x14ac:dyDescent="0.25">
      <c r="K112" s="258"/>
    </row>
    <row r="113" spans="11:11" x14ac:dyDescent="0.25">
      <c r="K113" s="258"/>
    </row>
    <row r="114" spans="11:11" x14ac:dyDescent="0.25">
      <c r="K114" s="258"/>
    </row>
    <row r="115" spans="11:11" x14ac:dyDescent="0.25">
      <c r="K115" s="258"/>
    </row>
    <row r="116" spans="11:11" x14ac:dyDescent="0.25">
      <c r="K116" s="258"/>
    </row>
    <row r="117" spans="11:11" x14ac:dyDescent="0.25">
      <c r="K117" s="258"/>
    </row>
    <row r="118" spans="11:11" x14ac:dyDescent="0.25">
      <c r="K118" s="258"/>
    </row>
    <row r="119" spans="11:11" x14ac:dyDescent="0.25">
      <c r="K119" s="258"/>
    </row>
    <row r="120" spans="11:11" x14ac:dyDescent="0.25">
      <c r="K120" s="258"/>
    </row>
    <row r="121" spans="11:11" x14ac:dyDescent="0.25">
      <c r="K121" s="258"/>
    </row>
    <row r="122" spans="11:11" x14ac:dyDescent="0.25">
      <c r="K122" s="258"/>
    </row>
    <row r="123" spans="11:11" x14ac:dyDescent="0.25">
      <c r="K123" s="258"/>
    </row>
    <row r="124" spans="11:11" x14ac:dyDescent="0.25">
      <c r="K124" s="258"/>
    </row>
    <row r="125" spans="11:11" x14ac:dyDescent="0.25">
      <c r="K125" s="258"/>
    </row>
    <row r="126" spans="11:11" x14ac:dyDescent="0.25">
      <c r="K126" s="258"/>
    </row>
    <row r="127" spans="11:11" x14ac:dyDescent="0.25">
      <c r="K127" s="258"/>
    </row>
    <row r="128" spans="11:11" x14ac:dyDescent="0.25">
      <c r="K128" s="258"/>
    </row>
    <row r="129" spans="11:11" x14ac:dyDescent="0.25">
      <c r="K129" s="258"/>
    </row>
    <row r="130" spans="11:11" x14ac:dyDescent="0.25">
      <c r="K130" s="258"/>
    </row>
    <row r="131" spans="11:11" x14ac:dyDescent="0.25">
      <c r="K131" s="258"/>
    </row>
    <row r="132" spans="11:11" x14ac:dyDescent="0.25">
      <c r="K132" s="258"/>
    </row>
    <row r="133" spans="11:11" x14ac:dyDescent="0.25">
      <c r="K133" s="258"/>
    </row>
    <row r="134" spans="11:11" x14ac:dyDescent="0.25">
      <c r="K134" s="258"/>
    </row>
    <row r="135" spans="11:11" x14ac:dyDescent="0.25">
      <c r="K135" s="258"/>
    </row>
    <row r="136" spans="11:11" x14ac:dyDescent="0.25">
      <c r="K136" s="258"/>
    </row>
    <row r="137" spans="11:11" x14ac:dyDescent="0.25">
      <c r="K137" s="258"/>
    </row>
    <row r="138" spans="11:11" x14ac:dyDescent="0.25">
      <c r="K138" s="258"/>
    </row>
    <row r="139" spans="11:11" x14ac:dyDescent="0.25">
      <c r="K139" s="258"/>
    </row>
    <row r="140" spans="11:11" x14ac:dyDescent="0.25">
      <c r="K140" s="258"/>
    </row>
    <row r="141" spans="11:11" x14ac:dyDescent="0.25">
      <c r="K141" s="258"/>
    </row>
    <row r="142" spans="11:11" x14ac:dyDescent="0.25">
      <c r="K142" s="258"/>
    </row>
    <row r="143" spans="11:11" x14ac:dyDescent="0.25">
      <c r="K143" s="258"/>
    </row>
    <row r="144" spans="11:11" x14ac:dyDescent="0.25">
      <c r="K144" s="258"/>
    </row>
    <row r="145" spans="11:11" x14ac:dyDescent="0.25">
      <c r="K145" s="258"/>
    </row>
    <row r="146" spans="11:11" x14ac:dyDescent="0.25">
      <c r="K146" s="258"/>
    </row>
    <row r="147" spans="11:11" x14ac:dyDescent="0.25">
      <c r="K147" s="258"/>
    </row>
    <row r="148" spans="11:11" x14ac:dyDescent="0.25">
      <c r="K148" s="258"/>
    </row>
    <row r="149" spans="11:11" x14ac:dyDescent="0.25">
      <c r="K149" s="258"/>
    </row>
    <row r="150" spans="11:11" x14ac:dyDescent="0.25">
      <c r="K150" s="258"/>
    </row>
    <row r="151" spans="11:11" x14ac:dyDescent="0.25">
      <c r="K151" s="258"/>
    </row>
    <row r="152" spans="11:11" x14ac:dyDescent="0.25">
      <c r="K152" s="258"/>
    </row>
    <row r="153" spans="11:11" x14ac:dyDescent="0.25">
      <c r="K153" s="258"/>
    </row>
    <row r="154" spans="11:11" x14ac:dyDescent="0.25">
      <c r="K154" s="258"/>
    </row>
    <row r="155" spans="11:11" x14ac:dyDescent="0.25">
      <c r="K155" s="258"/>
    </row>
    <row r="156" spans="11:11" x14ac:dyDescent="0.25">
      <c r="K156" s="258"/>
    </row>
    <row r="157" spans="11:11" x14ac:dyDescent="0.25">
      <c r="K157" s="258"/>
    </row>
    <row r="158" spans="11:11" x14ac:dyDescent="0.25">
      <c r="K158" s="258"/>
    </row>
    <row r="159" spans="11:11" x14ac:dyDescent="0.25">
      <c r="K159" s="258"/>
    </row>
    <row r="160" spans="11:11" x14ac:dyDescent="0.25">
      <c r="K160" s="258"/>
    </row>
    <row r="161" spans="11:11" x14ac:dyDescent="0.25">
      <c r="K161" s="258"/>
    </row>
    <row r="162" spans="11:11" x14ac:dyDescent="0.25">
      <c r="K162" s="258"/>
    </row>
    <row r="163" spans="11:11" x14ac:dyDescent="0.25">
      <c r="K163" s="258"/>
    </row>
    <row r="164" spans="11:11" x14ac:dyDescent="0.25">
      <c r="K164" s="258"/>
    </row>
    <row r="165" spans="11:11" x14ac:dyDescent="0.25">
      <c r="K165" s="258"/>
    </row>
    <row r="166" spans="11:11" x14ac:dyDescent="0.25">
      <c r="K166" s="258"/>
    </row>
    <row r="167" spans="11:11" x14ac:dyDescent="0.25">
      <c r="K167" s="258"/>
    </row>
    <row r="168" spans="11:11" x14ac:dyDescent="0.25">
      <c r="K168" s="258"/>
    </row>
    <row r="169" spans="11:11" x14ac:dyDescent="0.25">
      <c r="K169" s="258"/>
    </row>
  </sheetData>
  <mergeCells count="2">
    <mergeCell ref="I1:N3"/>
    <mergeCell ref="A1:H3"/>
  </mergeCells>
  <phoneticPr fontId="26" type="noConversion"/>
  <pageMargins left="0.7" right="0.7" top="0.75" bottom="0.75" header="0.3" footer="0.3"/>
  <pageSetup scale="58" fitToHeight="0"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8" activePane="bottomLeft" state="frozen"/>
      <selection activeCell="H28" sqref="H28"/>
      <selection pane="bottomLeft" activeCell="A9" sqref="A9:XFD9"/>
    </sheetView>
  </sheetViews>
  <sheetFormatPr defaultColWidth="9.140625" defaultRowHeight="18" customHeight="1" x14ac:dyDescent="0.25"/>
  <cols>
    <col min="1" max="1" width="17.28515625" style="74" bestFit="1" customWidth="1"/>
    <col min="2" max="2" width="5.28515625" style="75" customWidth="1"/>
    <col min="3" max="3" width="18.5703125" style="76" bestFit="1" customWidth="1"/>
    <col min="4" max="4" width="21.140625" style="74" customWidth="1"/>
    <col min="5" max="5" width="69.140625" style="25" customWidth="1"/>
    <col min="6" max="6" width="5.5703125" style="35" customWidth="1"/>
    <col min="7" max="7" width="9.140625" style="298" bestFit="1" customWidth="1"/>
    <col min="8" max="8" width="10.140625" style="298" bestFit="1" customWidth="1"/>
    <col min="9" max="9" width="5.5703125" style="35" customWidth="1"/>
    <col min="10" max="10" width="6.28515625" style="35" customWidth="1"/>
    <col min="11" max="11" width="13" style="35" customWidth="1"/>
    <col min="12" max="12" width="5.28515625" style="35" customWidth="1"/>
    <col min="13" max="13" width="9.42578125" style="298" customWidth="1"/>
    <col min="14" max="14" width="9" style="298" customWidth="1"/>
    <col min="15" max="15" width="21.42578125" style="35" customWidth="1"/>
    <col min="16" max="26" width="2.7109375" style="35" customWidth="1"/>
    <col min="27" max="28" width="6" style="35" bestFit="1" customWidth="1"/>
    <col min="29" max="38" width="2.7109375" style="35" customWidth="1"/>
    <col min="39" max="99" width="2.7109375" customWidth="1"/>
    <col min="100" max="121" width="3.5703125" customWidth="1"/>
    <col min="122" max="125" width="2" bestFit="1" customWidth="1"/>
  </cols>
  <sheetData>
    <row r="1" spans="1:125" ht="21.75" thickBot="1" x14ac:dyDescent="0.4">
      <c r="A1" s="158"/>
      <c r="B1" s="159"/>
      <c r="C1" s="160"/>
      <c r="D1" s="161"/>
      <c r="E1" s="162"/>
      <c r="F1" s="163"/>
      <c r="G1" s="163"/>
      <c r="H1" s="163"/>
      <c r="I1" s="163"/>
      <c r="J1" s="769" t="s">
        <v>233</v>
      </c>
      <c r="K1" s="769"/>
      <c r="L1" s="163"/>
      <c r="M1" s="765" t="s">
        <v>234</v>
      </c>
      <c r="N1" s="766"/>
      <c r="O1" s="274" t="s">
        <v>235</v>
      </c>
    </row>
    <row r="2" spans="1:125" ht="30" customHeight="1" thickBot="1" x14ac:dyDescent="0.35">
      <c r="A2" s="798" t="s">
        <v>545</v>
      </c>
      <c r="B2" s="684"/>
      <c r="C2" s="796" t="str">
        <f>Profit!E1&amp; " Your Home"</f>
        <v>Buy Your Home</v>
      </c>
      <c r="D2" s="797"/>
      <c r="E2" s="172" t="s">
        <v>236</v>
      </c>
      <c r="F2" s="794">
        <f>+MIN(ProposalToGnatt[Start Date])</f>
        <v>45363</v>
      </c>
      <c r="G2" s="795"/>
      <c r="H2" s="772" t="s">
        <v>237</v>
      </c>
      <c r="I2" s="773"/>
      <c r="J2" s="783">
        <f>+SUM(H8:H20)</f>
        <v>10421.87949364608</v>
      </c>
      <c r="K2" s="787"/>
      <c r="L2" s="164"/>
      <c r="M2" s="783">
        <f>+SUM(N8:N20)-SUM(M8:M20)</f>
        <v>0</v>
      </c>
      <c r="N2" s="779"/>
      <c r="O2" s="275">
        <f>+SUM(H8:H20)-SUM(M8:M20)</f>
        <v>10421.87949364608</v>
      </c>
      <c r="R2" s="59"/>
      <c r="S2" s="59"/>
      <c r="T2" s="59"/>
      <c r="U2" s="59"/>
      <c r="V2" s="59"/>
      <c r="W2" s="59"/>
      <c r="X2" s="59"/>
      <c r="Y2" s="59"/>
      <c r="Z2" s="59"/>
      <c r="AA2" s="59"/>
      <c r="AB2" s="59"/>
      <c r="AC2" s="59"/>
      <c r="AD2" s="59"/>
      <c r="AE2" s="59"/>
      <c r="AF2" s="59"/>
      <c r="AG2" s="59"/>
      <c r="AH2" s="59"/>
      <c r="AI2" s="59"/>
      <c r="AJ2" s="60"/>
      <c r="AK2" s="60"/>
      <c r="AP2" s="15"/>
      <c r="AQ2" s="15"/>
      <c r="AR2" s="15"/>
    </row>
    <row r="3" spans="1:125" ht="30" customHeight="1" x14ac:dyDescent="0.3">
      <c r="A3" s="784"/>
      <c r="B3" s="785"/>
      <c r="C3" s="785"/>
      <c r="D3" s="785"/>
      <c r="E3" s="173"/>
      <c r="G3" s="35"/>
      <c r="H3" s="774" t="s">
        <v>238</v>
      </c>
      <c r="I3" s="775"/>
      <c r="J3" s="782">
        <f>SUM(H22:H25)</f>
        <v>254.72</v>
      </c>
      <c r="K3" s="790"/>
      <c r="L3" s="165"/>
      <c r="M3" s="782">
        <f>+J3-SUM(M22:M25)</f>
        <v>254.72</v>
      </c>
      <c r="N3" s="779"/>
      <c r="O3" s="276">
        <f>+SUM(H22:H25)-SUM(M22:M25)</f>
        <v>254.72</v>
      </c>
      <c r="AP3" s="15"/>
      <c r="AQ3" s="15"/>
      <c r="AR3" s="15"/>
    </row>
    <row r="4" spans="1:125" ht="30" customHeight="1" x14ac:dyDescent="0.3">
      <c r="A4" s="784" t="str">
        <f>+Profit!B2</f>
        <v>2325 Cool Springs Rd</v>
      </c>
      <c r="B4" s="785" t="str">
        <f>+Profit!B2</f>
        <v>2325 Cool Springs Rd</v>
      </c>
      <c r="C4" s="785"/>
      <c r="D4" s="785"/>
      <c r="E4" s="770" t="s">
        <v>239</v>
      </c>
      <c r="F4" s="771"/>
      <c r="G4" s="77">
        <v>1</v>
      </c>
      <c r="H4" s="776" t="str">
        <f>+A2 &amp; "Total:"</f>
        <v>Tim Flemming Total:</v>
      </c>
      <c r="I4" s="777"/>
      <c r="J4" s="778">
        <f>SUM(ProposalToGnatt[Price])</f>
        <v>0</v>
      </c>
      <c r="K4" s="791"/>
      <c r="L4" s="166"/>
      <c r="M4" s="778" cm="1">
        <f t="array" ref="M4">+SUM(ProposalToGnatt[Due]-ProposalToGnatt[Paid])</f>
        <v>0</v>
      </c>
      <c r="N4" s="779"/>
      <c r="O4" s="277">
        <f>+SUM(ProposalToGnatt[Price])-SUM(ProposalToGnatt[Paid])</f>
        <v>0</v>
      </c>
      <c r="AP4" s="15"/>
      <c r="AQ4" s="15"/>
      <c r="AR4" s="15"/>
    </row>
    <row r="5" spans="1:125" ht="18" customHeight="1" thickBot="1" x14ac:dyDescent="0.3">
      <c r="A5" s="167"/>
      <c r="B5" s="168" t="s">
        <v>240</v>
      </c>
      <c r="C5" s="169"/>
      <c r="D5" s="170"/>
      <c r="E5" s="788" t="s">
        <v>241</v>
      </c>
      <c r="F5" s="789"/>
      <c r="G5" s="171">
        <v>2</v>
      </c>
      <c r="H5" s="786" t="s">
        <v>242</v>
      </c>
      <c r="I5" s="786"/>
      <c r="J5" s="792">
        <f>+SUM(J2:K4)</f>
        <v>10676.599493646079</v>
      </c>
      <c r="K5" s="793"/>
      <c r="L5" s="24"/>
      <c r="M5" s="780">
        <f>+SUM(M2:M4)</f>
        <v>254.72</v>
      </c>
      <c r="N5" s="781"/>
      <c r="O5" s="280">
        <f>+SUM(O2:Q4)</f>
        <v>10676.599493646079</v>
      </c>
      <c r="BB5" s="15"/>
      <c r="BC5" s="15"/>
      <c r="BD5" s="15"/>
    </row>
    <row r="6" spans="1:125" s="22" customFormat="1" ht="30.75" customHeight="1" thickBot="1" x14ac:dyDescent="0.4">
      <c r="A6" s="78"/>
      <c r="B6" s="79"/>
      <c r="C6" s="80"/>
      <c r="D6" s="78"/>
      <c r="E6" s="81" t="str">
        <f>Profit!E1&amp;" Your Home Supplied Materials"</f>
        <v>Buy Your Home Supplied Materials</v>
      </c>
      <c r="F6" s="78"/>
      <c r="G6" s="82"/>
      <c r="H6" s="82"/>
      <c r="I6" s="78"/>
      <c r="J6" s="78"/>
      <c r="K6" s="83"/>
      <c r="L6" s="78"/>
      <c r="M6" s="78"/>
      <c r="N6" s="78"/>
      <c r="O6" s="78"/>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1" customFormat="1" ht="32.25" customHeight="1" x14ac:dyDescent="0.25">
      <c r="A7" s="78" t="s">
        <v>243</v>
      </c>
      <c r="B7" s="79" t="s">
        <v>244</v>
      </c>
      <c r="C7" s="80" t="s">
        <v>224</v>
      </c>
      <c r="D7" s="78" t="s">
        <v>225</v>
      </c>
      <c r="E7" s="78" t="s">
        <v>226</v>
      </c>
      <c r="F7" s="78" t="s">
        <v>197</v>
      </c>
      <c r="G7" s="82" t="s">
        <v>198</v>
      </c>
      <c r="H7" s="82" t="s">
        <v>227</v>
      </c>
      <c r="I7" s="78" t="s">
        <v>228</v>
      </c>
      <c r="J7" s="78" t="s">
        <v>229</v>
      </c>
      <c r="K7" s="83" t="s">
        <v>230</v>
      </c>
      <c r="L7" s="78" t="s">
        <v>231</v>
      </c>
      <c r="M7" s="78" t="s">
        <v>232</v>
      </c>
      <c r="N7" s="78" t="s">
        <v>234</v>
      </c>
      <c r="O7" s="78" t="s">
        <v>137</v>
      </c>
      <c r="P7" s="61">
        <f t="shared" ref="P7:BR7" ca="1" si="1">+P27</f>
        <v>45363</v>
      </c>
      <c r="Q7" s="61">
        <f t="shared" ca="1" si="1"/>
        <v>45364</v>
      </c>
      <c r="R7" s="61">
        <f t="shared" ca="1" si="1"/>
        <v>45365</v>
      </c>
      <c r="S7" s="61">
        <f t="shared" ca="1" si="1"/>
        <v>45366</v>
      </c>
      <c r="T7" s="61">
        <f t="shared" ca="1" si="1"/>
        <v>45367</v>
      </c>
      <c r="U7" s="61">
        <f t="shared" ca="1" si="1"/>
        <v>45368</v>
      </c>
      <c r="V7" s="61">
        <f t="shared" ca="1" si="1"/>
        <v>45369</v>
      </c>
      <c r="W7" s="61">
        <f t="shared" ca="1" si="1"/>
        <v>45370</v>
      </c>
      <c r="X7" s="61">
        <f t="shared" ca="1" si="1"/>
        <v>45371</v>
      </c>
      <c r="Y7" s="61">
        <f t="shared" ca="1" si="1"/>
        <v>45372</v>
      </c>
      <c r="Z7" s="61">
        <f t="shared" ca="1" si="1"/>
        <v>45373</v>
      </c>
      <c r="AA7" s="61">
        <f t="shared" ca="1" si="1"/>
        <v>45374</v>
      </c>
      <c r="AB7" s="61">
        <f t="shared" ca="1" si="1"/>
        <v>45375</v>
      </c>
      <c r="AC7" s="61">
        <f t="shared" ca="1" si="1"/>
        <v>45376</v>
      </c>
      <c r="AD7" s="61">
        <f t="shared" ca="1" si="1"/>
        <v>45377</v>
      </c>
      <c r="AE7" s="61">
        <f t="shared" ca="1" si="1"/>
        <v>45378</v>
      </c>
      <c r="AF7" s="61">
        <f t="shared" ca="1" si="1"/>
        <v>45379</v>
      </c>
      <c r="AG7" s="61">
        <f t="shared" ca="1" si="1"/>
        <v>45380</v>
      </c>
      <c r="AH7" s="61">
        <f t="shared" ca="1" si="1"/>
        <v>45381</v>
      </c>
      <c r="AI7" s="61">
        <f t="shared" ca="1" si="1"/>
        <v>45382</v>
      </c>
      <c r="AJ7" s="61">
        <f t="shared" ca="1" si="1"/>
        <v>45383</v>
      </c>
      <c r="AK7" s="61">
        <f t="shared" ca="1" si="1"/>
        <v>45384</v>
      </c>
      <c r="AL7" s="61">
        <f t="shared" ca="1" si="1"/>
        <v>45385</v>
      </c>
      <c r="AM7" s="61">
        <f t="shared" ca="1" si="1"/>
        <v>45386</v>
      </c>
      <c r="AN7" s="61">
        <f t="shared" ca="1" si="1"/>
        <v>45387</v>
      </c>
      <c r="AO7" s="61">
        <f t="shared" ca="1" si="1"/>
        <v>45388</v>
      </c>
      <c r="AP7" s="61">
        <f t="shared" ca="1" si="1"/>
        <v>45389</v>
      </c>
      <c r="AQ7" s="61">
        <f t="shared" ca="1" si="1"/>
        <v>45390</v>
      </c>
      <c r="AR7" s="61">
        <f t="shared" ca="1" si="1"/>
        <v>45391</v>
      </c>
      <c r="AS7" s="61">
        <f t="shared" ca="1" si="1"/>
        <v>45392</v>
      </c>
      <c r="AT7" s="61">
        <f t="shared" ca="1" si="1"/>
        <v>45393</v>
      </c>
      <c r="AU7" s="61">
        <f t="shared" ca="1" si="1"/>
        <v>45394</v>
      </c>
      <c r="AV7" s="61">
        <f t="shared" ca="1" si="1"/>
        <v>45395</v>
      </c>
      <c r="AW7" s="61">
        <f t="shared" ca="1" si="1"/>
        <v>45396</v>
      </c>
      <c r="AX7" s="61">
        <f t="shared" ca="1" si="1"/>
        <v>45397</v>
      </c>
      <c r="AY7" s="61">
        <f t="shared" ca="1" si="1"/>
        <v>45398</v>
      </c>
      <c r="AZ7" s="61">
        <f t="shared" ca="1" si="1"/>
        <v>45399</v>
      </c>
      <c r="BA7" s="61">
        <f t="shared" ca="1" si="1"/>
        <v>45400</v>
      </c>
      <c r="BB7" s="61">
        <f t="shared" ca="1" si="1"/>
        <v>45401</v>
      </c>
      <c r="BC7" s="61">
        <f t="shared" ca="1" si="1"/>
        <v>45402</v>
      </c>
      <c r="BD7" s="61">
        <f t="shared" ca="1" si="1"/>
        <v>45403</v>
      </c>
      <c r="BE7" s="61">
        <f t="shared" ca="1" si="1"/>
        <v>45404</v>
      </c>
      <c r="BF7" s="61">
        <f t="shared" ca="1" si="1"/>
        <v>45405</v>
      </c>
      <c r="BG7" s="61">
        <f t="shared" ca="1" si="1"/>
        <v>45406</v>
      </c>
      <c r="BH7" s="61">
        <f t="shared" ca="1" si="1"/>
        <v>45407</v>
      </c>
      <c r="BI7" s="61">
        <f t="shared" ca="1" si="1"/>
        <v>45408</v>
      </c>
      <c r="BJ7" s="61">
        <f t="shared" ca="1" si="1"/>
        <v>45409</v>
      </c>
      <c r="BK7" s="61">
        <f t="shared" ca="1" si="1"/>
        <v>45410</v>
      </c>
      <c r="BL7" s="61">
        <f t="shared" ca="1" si="1"/>
        <v>45411</v>
      </c>
      <c r="BM7" s="61">
        <f t="shared" ca="1" si="1"/>
        <v>45412</v>
      </c>
      <c r="BN7" s="61">
        <f t="shared" ca="1" si="1"/>
        <v>45413</v>
      </c>
      <c r="BO7" s="61">
        <f t="shared" ca="1" si="1"/>
        <v>45414</v>
      </c>
      <c r="BP7" s="61">
        <f t="shared" ca="1" si="1"/>
        <v>45415</v>
      </c>
      <c r="BQ7" s="61">
        <f t="shared" ca="1" si="1"/>
        <v>45416</v>
      </c>
      <c r="BR7" s="61">
        <f t="shared" ca="1" si="1"/>
        <v>45417</v>
      </c>
      <c r="BS7" s="36"/>
      <c r="BT7" s="36"/>
      <c r="BU7" s="36"/>
      <c r="BV7" s="36"/>
      <c r="BW7" s="36"/>
      <c r="BX7" s="36"/>
      <c r="BY7" s="36"/>
      <c r="BZ7" s="36"/>
      <c r="CA7" s="36"/>
      <c r="CB7" s="36"/>
      <c r="CC7" s="36"/>
      <c r="CD7" s="36"/>
      <c r="CE7" s="36"/>
      <c r="CF7" s="36"/>
      <c r="CG7" s="36"/>
      <c r="CH7" s="36"/>
      <c r="CI7" s="36"/>
      <c r="CJ7" s="36"/>
      <c r="CK7" s="36"/>
      <c r="CL7" s="36"/>
      <c r="CM7" s="36"/>
      <c r="CN7" s="36"/>
      <c r="CO7" s="36"/>
      <c r="CP7" s="36"/>
      <c r="CQ7" s="36"/>
      <c r="CR7" s="36"/>
      <c r="CS7" s="36"/>
      <c r="CT7" s="36"/>
      <c r="CU7" s="36"/>
      <c r="CV7" s="36"/>
      <c r="CW7" s="36"/>
      <c r="CX7" s="36"/>
      <c r="CY7" s="36"/>
      <c r="CZ7" s="36"/>
      <c r="DA7" s="36"/>
      <c r="DB7" s="36"/>
      <c r="DC7" s="36"/>
      <c r="DD7" s="36"/>
      <c r="DE7" s="36"/>
      <c r="DF7" s="36"/>
      <c r="DG7" s="36"/>
      <c r="DH7" s="36"/>
      <c r="DI7" s="36"/>
      <c r="DJ7" s="36"/>
      <c r="DK7" s="36"/>
      <c r="DL7" s="36"/>
      <c r="DM7" s="36"/>
      <c r="DN7" s="36"/>
      <c r="DO7" s="36"/>
      <c r="DP7" s="36"/>
      <c r="DQ7" s="36"/>
      <c r="DR7" s="36"/>
      <c r="DS7" s="36"/>
      <c r="DT7" s="36"/>
    </row>
    <row r="8" spans="1:125" s="41" customFormat="1" ht="20.100000000000001" customHeight="1" x14ac:dyDescent="0.25">
      <c r="A8" s="84" t="str">
        <f>Profit!$E$1&amp;" Your Home"</f>
        <v>Buy Your Home</v>
      </c>
      <c r="B8" s="85">
        <v>1</v>
      </c>
      <c r="C8" s="86"/>
      <c r="D8" s="84"/>
      <c r="E8" s="84" t="s">
        <v>245</v>
      </c>
      <c r="F8" s="85">
        <v>1</v>
      </c>
      <c r="G8" s="87">
        <f>+'Demo &amp; Trash Haul'!G24</f>
        <v>600</v>
      </c>
      <c r="H8" s="87">
        <f t="shared" ref="H8:H20" si="2">+F8*G8</f>
        <v>600</v>
      </c>
      <c r="I8" s="88"/>
      <c r="J8" s="87"/>
      <c r="K8" s="89"/>
      <c r="L8" s="87"/>
      <c r="M8" s="87"/>
      <c r="N8" s="87">
        <f t="shared" ref="N8:N19" si="3">IF(I8="Yes",H8,0)</f>
        <v>0</v>
      </c>
      <c r="O8" s="88"/>
      <c r="R8" s="35"/>
      <c r="S8" s="35"/>
      <c r="T8" s="35"/>
      <c r="U8" s="35"/>
      <c r="V8" s="35"/>
      <c r="W8" s="35"/>
      <c r="X8" s="35"/>
      <c r="Y8" s="35"/>
      <c r="Z8" s="35"/>
      <c r="AA8" s="35"/>
      <c r="AB8" s="35"/>
      <c r="AC8" s="35"/>
      <c r="AD8" s="35"/>
      <c r="AE8" s="35"/>
      <c r="AF8" s="35"/>
      <c r="AG8" s="35"/>
      <c r="AH8" s="35"/>
      <c r="AI8" s="35"/>
      <c r="AP8" s="34"/>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c r="BT8" s="36"/>
      <c r="BU8" s="36"/>
      <c r="BV8" s="36"/>
      <c r="BW8" s="36"/>
      <c r="BX8" s="36"/>
      <c r="BY8" s="36"/>
      <c r="BZ8" s="36"/>
      <c r="CA8" s="36"/>
      <c r="CB8" s="36"/>
      <c r="CC8" s="36"/>
      <c r="CD8" s="36"/>
      <c r="CE8" s="36"/>
      <c r="CF8" s="36"/>
      <c r="CG8" s="36"/>
      <c r="CH8" s="36"/>
      <c r="CI8" s="36"/>
      <c r="CJ8" s="36"/>
      <c r="CK8" s="36"/>
      <c r="CL8" s="36"/>
      <c r="CM8" s="36"/>
      <c r="CN8" s="36"/>
      <c r="CO8" s="36"/>
      <c r="CP8" s="36"/>
      <c r="CQ8" s="36"/>
      <c r="CR8" s="36"/>
      <c r="CS8" s="36"/>
      <c r="CT8" s="36"/>
      <c r="CU8" s="36"/>
      <c r="CV8" s="36"/>
      <c r="CW8" s="36"/>
      <c r="CX8" s="36"/>
      <c r="CY8" s="36"/>
      <c r="CZ8" s="36"/>
      <c r="DA8" s="36"/>
      <c r="DB8" s="36"/>
      <c r="DC8" s="36"/>
      <c r="DD8" s="36"/>
      <c r="DE8" s="36"/>
      <c r="DF8" s="36"/>
      <c r="DG8" s="36"/>
      <c r="DH8" s="36"/>
      <c r="DI8" s="36"/>
      <c r="DJ8" s="36"/>
      <c r="DK8" s="36"/>
      <c r="DL8" s="36"/>
      <c r="DM8" s="36"/>
      <c r="DN8" s="36"/>
      <c r="DO8" s="36"/>
      <c r="DP8" s="36"/>
      <c r="DQ8" s="36"/>
      <c r="DR8" s="36"/>
      <c r="DS8" s="36"/>
      <c r="DT8" s="36"/>
      <c r="DU8" s="36"/>
    </row>
    <row r="9" spans="1:125" s="41" customFormat="1" ht="20.100000000000001" customHeight="1" x14ac:dyDescent="0.25">
      <c r="A9" s="84" t="str">
        <f>Profit!$E$1&amp;" Your Home"</f>
        <v>Buy Your Home</v>
      </c>
      <c r="B9" s="85">
        <f>+B8+1</f>
        <v>2</v>
      </c>
      <c r="C9" s="86"/>
      <c r="D9" s="84"/>
      <c r="E9" s="84" t="s">
        <v>246</v>
      </c>
      <c r="F9" s="85">
        <v>1</v>
      </c>
      <c r="G9" s="87">
        <f>+Appliances!H31</f>
        <v>0</v>
      </c>
      <c r="H9" s="87">
        <f t="shared" si="2"/>
        <v>0</v>
      </c>
      <c r="I9" s="88"/>
      <c r="J9" s="87"/>
      <c r="K9" s="89"/>
      <c r="L9" s="87"/>
      <c r="M9" s="87"/>
      <c r="N9" s="87">
        <f t="shared" si="3"/>
        <v>0</v>
      </c>
      <c r="O9" s="88"/>
      <c r="R9" s="35"/>
      <c r="S9" s="35"/>
      <c r="T9" s="35"/>
      <c r="U9" s="35"/>
      <c r="V9" s="35"/>
      <c r="W9" s="35"/>
      <c r="X9" s="35"/>
      <c r="Y9" s="35"/>
      <c r="Z9" s="35"/>
      <c r="AA9" s="35"/>
      <c r="AB9" s="35"/>
      <c r="AC9" s="35"/>
      <c r="AD9" s="35"/>
      <c r="AE9" s="35"/>
      <c r="AF9" s="35"/>
      <c r="AG9" s="35"/>
      <c r="AH9" s="35"/>
      <c r="AI9" s="35"/>
      <c r="AP9" s="34"/>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c r="BT9" s="36"/>
      <c r="BU9" s="36"/>
      <c r="BV9" s="36"/>
      <c r="BW9" s="36"/>
      <c r="BX9" s="36"/>
      <c r="BY9" s="36"/>
      <c r="BZ9" s="36"/>
      <c r="CA9" s="36"/>
      <c r="CB9" s="36"/>
      <c r="CC9" s="36"/>
      <c r="CD9" s="36"/>
      <c r="CE9" s="36"/>
      <c r="CF9" s="36"/>
      <c r="CG9" s="36"/>
      <c r="CH9" s="36"/>
      <c r="CI9" s="36"/>
      <c r="CJ9" s="36"/>
      <c r="CK9" s="36"/>
      <c r="CL9" s="36"/>
      <c r="CM9" s="36"/>
      <c r="CN9" s="36"/>
      <c r="CO9" s="36"/>
      <c r="CP9" s="36"/>
      <c r="CQ9" s="36"/>
      <c r="CR9" s="36"/>
      <c r="CS9" s="36"/>
      <c r="CT9" s="36"/>
      <c r="CU9" s="36"/>
      <c r="CV9" s="36"/>
      <c r="CW9" s="36"/>
      <c r="CX9" s="36"/>
      <c r="CY9" s="36"/>
      <c r="CZ9" s="36"/>
      <c r="DA9" s="36"/>
      <c r="DB9" s="36"/>
      <c r="DC9" s="36"/>
      <c r="DD9" s="36"/>
      <c r="DE9" s="36"/>
      <c r="DF9" s="36"/>
      <c r="DG9" s="36"/>
      <c r="DH9" s="36"/>
      <c r="DI9" s="36"/>
      <c r="DJ9" s="36"/>
      <c r="DK9" s="36"/>
      <c r="DL9" s="36"/>
      <c r="DM9" s="36"/>
      <c r="DN9" s="36"/>
      <c r="DO9" s="36"/>
      <c r="DP9" s="36"/>
      <c r="DQ9" s="36"/>
      <c r="DR9" s="36"/>
      <c r="DS9" s="36"/>
      <c r="DT9" s="36"/>
      <c r="DU9" s="36"/>
    </row>
    <row r="10" spans="1:125" s="41" customFormat="1" ht="20.100000000000001" customHeight="1" x14ac:dyDescent="0.25">
      <c r="A10" s="84" t="str">
        <f>Profit!$E$1&amp;" Your Home"</f>
        <v>Buy Your Home</v>
      </c>
      <c r="B10" s="85">
        <f t="shared" ref="B10:B20" si="4">+B9+1</f>
        <v>3</v>
      </c>
      <c r="C10" s="86"/>
      <c r="D10" s="84"/>
      <c r="E10" s="84" t="s">
        <v>247</v>
      </c>
      <c r="F10" s="85">
        <v>1</v>
      </c>
      <c r="G10" s="87">
        <f>+'Plumbing Fixtures'!H31</f>
        <v>0</v>
      </c>
      <c r="H10" s="87">
        <f t="shared" si="2"/>
        <v>0</v>
      </c>
      <c r="I10" s="88"/>
      <c r="J10" s="87"/>
      <c r="K10" s="89"/>
      <c r="L10" s="87"/>
      <c r="M10" s="87"/>
      <c r="N10" s="87">
        <f t="shared" si="3"/>
        <v>0</v>
      </c>
      <c r="O10" s="88"/>
      <c r="R10" s="35"/>
      <c r="S10" s="35"/>
      <c r="T10" s="35"/>
      <c r="U10" s="35"/>
      <c r="V10" s="35"/>
      <c r="W10" s="35"/>
      <c r="X10" s="35"/>
      <c r="Y10" s="35"/>
      <c r="Z10" s="35"/>
      <c r="AA10" s="35"/>
      <c r="AB10" s="35"/>
      <c r="AC10" s="35"/>
      <c r="AD10" s="35"/>
      <c r="AE10" s="35"/>
      <c r="AF10" s="35"/>
      <c r="AG10" s="35"/>
      <c r="AH10" s="35"/>
      <c r="AI10" s="35"/>
      <c r="AP10" s="34"/>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c r="BT10" s="36"/>
      <c r="BU10" s="36"/>
      <c r="BV10" s="36"/>
      <c r="BW10" s="36"/>
      <c r="BX10" s="36"/>
      <c r="BY10" s="36"/>
      <c r="BZ10" s="36"/>
      <c r="CA10" s="36"/>
      <c r="CB10" s="36"/>
      <c r="CC10" s="36"/>
      <c r="CD10" s="36"/>
      <c r="CE10" s="36"/>
      <c r="CF10" s="36"/>
      <c r="CG10" s="36"/>
      <c r="CH10" s="36"/>
      <c r="CI10" s="36"/>
      <c r="CJ10" s="36"/>
      <c r="CK10" s="36"/>
      <c r="CL10" s="36"/>
      <c r="CM10" s="36"/>
      <c r="CN10" s="36"/>
      <c r="CO10" s="36"/>
      <c r="CP10" s="36"/>
      <c r="CQ10" s="36"/>
      <c r="CR10" s="36"/>
      <c r="CS10" s="36"/>
      <c r="CT10" s="36"/>
      <c r="CU10" s="36"/>
      <c r="CV10" s="36"/>
      <c r="CW10" s="36"/>
      <c r="CX10" s="36"/>
      <c r="CY10" s="36"/>
      <c r="CZ10" s="36"/>
      <c r="DA10" s="36"/>
      <c r="DB10" s="36"/>
      <c r="DC10" s="36"/>
      <c r="DD10" s="36"/>
      <c r="DE10" s="36"/>
      <c r="DF10" s="36"/>
      <c r="DG10" s="36"/>
      <c r="DH10" s="36"/>
      <c r="DI10" s="36"/>
      <c r="DJ10" s="36"/>
      <c r="DK10" s="36"/>
      <c r="DL10" s="36"/>
      <c r="DM10" s="36"/>
      <c r="DN10" s="36"/>
      <c r="DO10" s="36"/>
      <c r="DP10" s="36"/>
      <c r="DQ10" s="36"/>
      <c r="DR10" s="36"/>
      <c r="DS10" s="36"/>
      <c r="DT10" s="36"/>
      <c r="DU10" s="36"/>
    </row>
    <row r="11" spans="1:125" s="41" customFormat="1" ht="20.100000000000001" customHeight="1" x14ac:dyDescent="0.25">
      <c r="A11" s="84" t="str">
        <f>Profit!$E$1&amp;" Your Home"</f>
        <v>Buy Your Home</v>
      </c>
      <c r="B11" s="85">
        <f t="shared" si="4"/>
        <v>4</v>
      </c>
      <c r="C11" s="86"/>
      <c r="D11" s="84"/>
      <c r="E11" s="84" t="s">
        <v>248</v>
      </c>
      <c r="F11" s="85">
        <v>1</v>
      </c>
      <c r="G11" s="87">
        <f>+'Windows &amp; Doors'!H38</f>
        <v>2738.0603249999999</v>
      </c>
      <c r="H11" s="87">
        <f t="shared" si="2"/>
        <v>2738.0603249999999</v>
      </c>
      <c r="I11" s="88"/>
      <c r="J11" s="87"/>
      <c r="K11" s="89"/>
      <c r="L11" s="87"/>
      <c r="M11" s="87"/>
      <c r="N11" s="87">
        <f t="shared" si="3"/>
        <v>0</v>
      </c>
      <c r="O11" s="88"/>
      <c r="R11" s="35"/>
      <c r="S11" s="35"/>
      <c r="T11" s="35"/>
      <c r="U11" s="35"/>
      <c r="V11" s="35"/>
      <c r="W11" s="35"/>
      <c r="X11" s="35"/>
      <c r="Y11" s="35"/>
      <c r="Z11" s="35"/>
      <c r="AA11" s="35"/>
      <c r="AB11" s="35"/>
      <c r="AC11" s="35"/>
      <c r="AD11" s="35"/>
      <c r="AE11" s="35"/>
      <c r="AF11" s="35"/>
      <c r="AG11" s="35"/>
      <c r="AH11" s="35"/>
      <c r="AI11" s="35"/>
      <c r="AP11" s="34"/>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c r="BT11" s="36"/>
      <c r="BU11" s="36"/>
      <c r="BV11" s="36"/>
      <c r="BW11" s="36"/>
      <c r="BX11" s="36"/>
      <c r="BY11" s="36"/>
      <c r="BZ11" s="36"/>
      <c r="CA11" s="36"/>
      <c r="CB11" s="36"/>
      <c r="CC11" s="36"/>
      <c r="CD11" s="36"/>
      <c r="CE11" s="36"/>
      <c r="CF11" s="36"/>
      <c r="CG11" s="36"/>
      <c r="CH11" s="36"/>
      <c r="CI11" s="36"/>
      <c r="CJ11" s="36"/>
      <c r="CK11" s="36"/>
      <c r="CL11" s="36"/>
      <c r="CM11" s="36"/>
      <c r="CN11" s="36"/>
      <c r="CO11" s="36"/>
      <c r="CP11" s="36"/>
      <c r="CQ11" s="36"/>
      <c r="CR11" s="36"/>
      <c r="CS11" s="36"/>
      <c r="CT11" s="36"/>
      <c r="CU11" s="36"/>
      <c r="CV11" s="36"/>
      <c r="CW11" s="36"/>
      <c r="CX11" s="36"/>
      <c r="CY11" s="36"/>
      <c r="CZ11" s="36"/>
      <c r="DA11" s="36"/>
      <c r="DB11" s="36"/>
      <c r="DC11" s="36"/>
      <c r="DD11" s="36"/>
      <c r="DE11" s="36"/>
      <c r="DF11" s="36"/>
      <c r="DG11" s="36"/>
      <c r="DH11" s="36"/>
      <c r="DI11" s="36"/>
      <c r="DJ11" s="36"/>
      <c r="DK11" s="36"/>
      <c r="DL11" s="36"/>
      <c r="DM11" s="36"/>
      <c r="DN11" s="36"/>
      <c r="DO11" s="36"/>
      <c r="DP11" s="36"/>
      <c r="DQ11" s="36"/>
      <c r="DR11" s="36"/>
      <c r="DS11" s="36"/>
      <c r="DT11" s="36"/>
      <c r="DU11" s="36"/>
    </row>
    <row r="12" spans="1:125" ht="20.100000000000001" customHeight="1" x14ac:dyDescent="0.25">
      <c r="A12" s="84" t="str">
        <f>Profit!$E$1&amp;" Your Home"</f>
        <v>Buy Your Home</v>
      </c>
      <c r="B12" s="85">
        <f t="shared" si="4"/>
        <v>5</v>
      </c>
      <c r="C12" s="86"/>
      <c r="D12" s="84"/>
      <c r="E12" s="84" t="s">
        <v>249</v>
      </c>
      <c r="F12" s="85">
        <v>1</v>
      </c>
      <c r="G12" s="87">
        <f>+Cabinets!H44</f>
        <v>0</v>
      </c>
      <c r="H12" s="87">
        <f t="shared" si="2"/>
        <v>0</v>
      </c>
      <c r="I12" s="88"/>
      <c r="J12" s="87"/>
      <c r="K12" s="89"/>
      <c r="L12" s="87"/>
      <c r="M12" s="87"/>
      <c r="N12" s="87">
        <f t="shared" si="3"/>
        <v>0</v>
      </c>
      <c r="O12" s="88"/>
      <c r="AQ12" s="36"/>
    </row>
    <row r="13" spans="1:125" s="41" customFormat="1" ht="20.100000000000001" customHeight="1" x14ac:dyDescent="0.25">
      <c r="A13" s="84" t="str">
        <f>Profit!$E$1&amp;" Your Home"</f>
        <v>Buy Your Home</v>
      </c>
      <c r="B13" s="85">
        <f t="shared" si="4"/>
        <v>6</v>
      </c>
      <c r="C13" s="86"/>
      <c r="D13" s="84"/>
      <c r="E13" s="84" t="s">
        <v>250</v>
      </c>
      <c r="F13" s="85">
        <v>1</v>
      </c>
      <c r="G13" s="87">
        <f>+Paint!K50</f>
        <v>0</v>
      </c>
      <c r="H13" s="87">
        <f t="shared" si="2"/>
        <v>0</v>
      </c>
      <c r="I13" s="88"/>
      <c r="J13" s="87"/>
      <c r="K13" s="89"/>
      <c r="L13" s="87"/>
      <c r="M13" s="87"/>
      <c r="N13" s="87">
        <f t="shared" si="3"/>
        <v>0</v>
      </c>
      <c r="O13" s="88"/>
      <c r="R13" s="35"/>
      <c r="S13" s="35"/>
      <c r="T13" s="35"/>
      <c r="U13" s="35"/>
      <c r="V13" s="35"/>
      <c r="W13" s="35"/>
      <c r="X13" s="35"/>
      <c r="Y13" s="35"/>
      <c r="Z13" s="35"/>
      <c r="AA13" s="35"/>
      <c r="AB13" s="35"/>
      <c r="AC13" s="35"/>
      <c r="AD13" s="35"/>
      <c r="AE13" s="35"/>
      <c r="AF13" s="35"/>
      <c r="AG13" s="35"/>
      <c r="AH13" s="35"/>
      <c r="AI13" s="35"/>
      <c r="AP13" s="34"/>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c r="BT13" s="36"/>
      <c r="BU13" s="36"/>
      <c r="BV13" s="36"/>
      <c r="BW13" s="36"/>
      <c r="BX13" s="36"/>
      <c r="BY13" s="36"/>
      <c r="BZ13" s="36"/>
      <c r="CA13" s="36"/>
      <c r="CB13" s="36"/>
      <c r="CC13" s="36"/>
      <c r="CD13" s="36"/>
      <c r="CE13" s="36"/>
      <c r="CF13" s="36"/>
      <c r="CG13" s="36"/>
      <c r="CH13" s="36"/>
      <c r="CI13" s="36"/>
      <c r="CJ13" s="36"/>
      <c r="CK13" s="36"/>
      <c r="CL13" s="36"/>
      <c r="CM13" s="36"/>
      <c r="CN13" s="36"/>
      <c r="CO13" s="36"/>
      <c r="CP13" s="36"/>
      <c r="CQ13" s="36"/>
      <c r="CR13" s="36"/>
      <c r="CS13" s="36"/>
      <c r="CT13" s="36"/>
      <c r="CU13" s="36"/>
      <c r="CV13" s="36"/>
      <c r="CW13" s="36"/>
      <c r="CX13" s="36"/>
      <c r="CY13" s="36"/>
      <c r="CZ13" s="36"/>
      <c r="DA13" s="36"/>
      <c r="DB13" s="36"/>
      <c r="DC13" s="36"/>
      <c r="DD13" s="36"/>
      <c r="DE13" s="36"/>
      <c r="DF13" s="36"/>
      <c r="DG13" s="36"/>
      <c r="DH13" s="36"/>
      <c r="DI13" s="36"/>
      <c r="DJ13" s="36"/>
      <c r="DK13" s="36"/>
      <c r="DL13" s="36"/>
      <c r="DM13" s="36"/>
      <c r="DN13" s="36"/>
      <c r="DO13" s="36"/>
      <c r="DP13" s="36"/>
      <c r="DQ13" s="36"/>
      <c r="DR13" s="36"/>
      <c r="DS13" s="36"/>
      <c r="DT13" s="36"/>
      <c r="DU13" s="36"/>
    </row>
    <row r="14" spans="1:125" s="41" customFormat="1" ht="20.100000000000001" customHeight="1" x14ac:dyDescent="0.25">
      <c r="A14" s="84" t="str">
        <f>Profit!$E$1&amp;" Your Home"</f>
        <v>Buy Your Home</v>
      </c>
      <c r="B14" s="85">
        <f t="shared" si="4"/>
        <v>7</v>
      </c>
      <c r="C14" s="86"/>
      <c r="D14" s="84"/>
      <c r="E14" s="84" t="s">
        <v>251</v>
      </c>
      <c r="F14" s="85">
        <v>1</v>
      </c>
      <c r="G14" s="87">
        <f>+Flooring!I22</f>
        <v>6829.0991686460811</v>
      </c>
      <c r="H14" s="87">
        <f t="shared" si="2"/>
        <v>6829.0991686460811</v>
      </c>
      <c r="I14" s="88"/>
      <c r="J14" s="87"/>
      <c r="K14" s="89"/>
      <c r="L14" s="87"/>
      <c r="M14" s="87"/>
      <c r="N14" s="87">
        <f t="shared" si="3"/>
        <v>0</v>
      </c>
      <c r="O14" s="88"/>
      <c r="R14" s="35"/>
      <c r="S14" s="35"/>
      <c r="T14" s="35"/>
      <c r="U14" s="35"/>
      <c r="V14" s="35"/>
      <c r="W14" s="35"/>
      <c r="X14" s="35"/>
      <c r="Y14" s="35"/>
      <c r="Z14" s="35"/>
      <c r="AA14" s="35"/>
      <c r="AB14" s="35"/>
      <c r="AC14" s="35"/>
      <c r="AD14" s="35"/>
      <c r="AE14" s="35"/>
      <c r="AF14" s="35"/>
      <c r="AG14" s="35"/>
      <c r="AH14" s="35"/>
      <c r="AI14" s="35"/>
      <c r="AP14" s="36" t="str">
        <f>IFERROR(IF(LEN(#REF!)=0,"",IF(P$27=#REF!,Milestone_Marker_Old,"")),"")</f>
        <v/>
      </c>
      <c r="AQ14" s="36" t="str">
        <f>IFERROR(IF(LEN(#REF!)=0,"",IF(Q$27=#REF!,Milestone_Marker_Old,"")),"")</f>
        <v/>
      </c>
      <c r="AR14" s="36" t="str">
        <f>IFERROR(IF(LEN(#REF!)=0,"",IF(R$27=#REF!,Milestone_Marker_Old,"")),"")</f>
        <v/>
      </c>
      <c r="AS14" s="36" t="str">
        <f>IFERROR(IF(LEN(#REF!)=0,"",IF(S$27=#REF!,Milestone_Marker_Old,"")),"")</f>
        <v/>
      </c>
      <c r="AT14" s="36" t="str">
        <f>IFERROR(IF(LEN(#REF!)=0,"",IF(T$27=#REF!,Milestone_Marker_Old,"")),"")</f>
        <v/>
      </c>
      <c r="AU14" s="36" t="str">
        <f>IFERROR(IF(LEN(#REF!)=0,"",IF(U$27=#REF!,Milestone_Marker_Old,"")),"")</f>
        <v/>
      </c>
      <c r="AV14" s="36" t="str">
        <f>IFERROR(IF(LEN(#REF!)=0,"",IF(V$27=#REF!,Milestone_Marker_Old,"")),"")</f>
        <v/>
      </c>
      <c r="AW14" s="36" t="str">
        <f>IFERROR(IF(LEN(#REF!)=0,"",IF(W$27=#REF!,Milestone_Marker_Old,"")),"")</f>
        <v/>
      </c>
      <c r="AX14" s="36" t="str">
        <f>IFERROR(IF(LEN(#REF!)=0,"",IF(X$27=#REF!,Milestone_Marker_Old,"")),"")</f>
        <v/>
      </c>
      <c r="AY14" s="36" t="str">
        <f>IFERROR(IF(LEN(#REF!)=0,"",IF(Y$27=#REF!,Milestone_Marker_Old,"")),"")</f>
        <v/>
      </c>
      <c r="AZ14" s="36" t="str">
        <f>IFERROR(IF(LEN(#REF!)=0,"",IF(Z$27=#REF!,Milestone_Marker_Old,"")),"")</f>
        <v/>
      </c>
      <c r="BA14" s="36" t="str">
        <f>IFERROR(IF(LEN(#REF!)=0,"",IF(AA$27=#REF!,Milestone_Marker_Old,"")),"")</f>
        <v/>
      </c>
      <c r="BB14" s="36" t="str">
        <f>IFERROR(IF(LEN(#REF!)=0,"",IF(AB$27=#REF!,Milestone_Marker_Old,"")),"")</f>
        <v/>
      </c>
      <c r="BC14" s="36" t="str">
        <f>IFERROR(IF(LEN(#REF!)=0,"",IF(AC$27=#REF!,Milestone_Marker_Old,"")),"")</f>
        <v/>
      </c>
      <c r="BD14" s="36" t="str">
        <f>IFERROR(IF(LEN(#REF!)=0,"",IF(AD$27=#REF!,Milestone_Marker_Old,"")),"")</f>
        <v/>
      </c>
      <c r="BE14" s="36" t="str">
        <f>IFERROR(IF(LEN(#REF!)=0,"",IF(AE$27=#REF!,Milestone_Marker_Old,"")),"")</f>
        <v/>
      </c>
      <c r="BF14" s="36" t="str">
        <f>IFERROR(IF(LEN(#REF!)=0,"",IF(AF$27=#REF!,Milestone_Marker_Old,"")),"")</f>
        <v/>
      </c>
      <c r="BG14" s="36" t="str">
        <f>IFERROR(IF(LEN(#REF!)=0,"",IF(AG$27=#REF!,Milestone_Marker_Old,"")),"")</f>
        <v/>
      </c>
      <c r="BH14" s="36" t="str">
        <f>IFERROR(IF(LEN(#REF!)=0,"",IF(AH$27=#REF!,Milestone_Marker_Old,"")),"")</f>
        <v/>
      </c>
      <c r="BI14" s="36" t="str">
        <f>IFERROR(IF(LEN(#REF!)=0,"",IF(AI$27=#REF!,Milestone_Marker_Old,"")),"")</f>
        <v/>
      </c>
      <c r="BJ14" s="36" t="str">
        <f>IFERROR(IF(LEN(#REF!)=0,"",IF(AJ$27=#REF!,Milestone_Marker_Old,"")),"")</f>
        <v/>
      </c>
      <c r="BK14" s="36" t="str">
        <f>IFERROR(IF(LEN(#REF!)=0,"",IF(AK$27=#REF!,Milestone_Marker_Old,"")),"")</f>
        <v/>
      </c>
      <c r="BL14" s="36" t="str">
        <f>IFERROR(IF(LEN(#REF!)=0,"",IF(AL$27=#REF!,Milestone_Marker_Old,"")),"")</f>
        <v/>
      </c>
      <c r="BM14" s="36" t="str">
        <f>IFERROR(IF(LEN(#REF!)=0,"",IF(AM$27=#REF!,Milestone_Marker_Old,"")),"")</f>
        <v/>
      </c>
      <c r="BN14" s="36" t="str">
        <f>IFERROR(IF(LEN(#REF!)=0,"",IF(AN$27=#REF!,Milestone_Marker_Old,"")),"")</f>
        <v/>
      </c>
      <c r="BO14" s="36" t="str">
        <f>IFERROR(IF(LEN(#REF!)=0,"",IF(AO$27=#REF!,Milestone_Marker_Old,"")),"")</f>
        <v/>
      </c>
      <c r="BP14" s="36" t="str">
        <f>IFERROR(IF(LEN(#REF!)=0,"",IF(AP$27=#REF!,Milestone_Marker_Old,"")),"")</f>
        <v/>
      </c>
      <c r="BQ14" s="36" t="str">
        <f>IFERROR(IF(LEN(#REF!)=0,"",IF(AQ$27=#REF!,Milestone_Marker_Old,"")),"")</f>
        <v/>
      </c>
      <c r="BR14" s="36" t="str">
        <f>IFERROR(IF(LEN(#REF!)=0,"",IF(AR$27=#REF!,Milestone_Marker_Old,"")),"")</f>
        <v/>
      </c>
      <c r="BS14" s="36" t="str">
        <f>IFERROR(IF(LEN(#REF!)=0,"",IF(AS$27=#REF!,Milestone_Marker_Old,"")),"")</f>
        <v/>
      </c>
      <c r="BT14" s="36" t="str">
        <f>IFERROR(IF(LEN(#REF!)=0,"",IF(AT$27=#REF!,Milestone_Marker_Old,"")),"")</f>
        <v/>
      </c>
      <c r="BU14" s="36" t="str">
        <f>IFERROR(IF(LEN(#REF!)=0,"",IF(AU$27=#REF!,Milestone_Marker_Old,"")),"")</f>
        <v/>
      </c>
      <c r="BV14" s="36" t="str">
        <f>IFERROR(IF(LEN(#REF!)=0,"",IF(AV$27=#REF!,Milestone_Marker_Old,"")),"")</f>
        <v/>
      </c>
      <c r="BW14" s="36" t="str">
        <f>IFERROR(IF(LEN(#REF!)=0,"",IF(AW$27=#REF!,Milestone_Marker_Old,"")),"")</f>
        <v/>
      </c>
      <c r="BX14" s="36" t="str">
        <f>IFERROR(IF(LEN(#REF!)=0,"",IF(AX$27=#REF!,Milestone_Marker_Old,"")),"")</f>
        <v/>
      </c>
      <c r="BY14" s="36" t="str">
        <f>IFERROR(IF(LEN(#REF!)=0,"",IF(AY$27=#REF!,Milestone_Marker_Old,"")),"")</f>
        <v/>
      </c>
      <c r="BZ14" s="36" t="str">
        <f>IFERROR(IF(LEN(#REF!)=0,"",IF(AZ$27=#REF!,Milestone_Marker_Old,"")),"")</f>
        <v/>
      </c>
      <c r="CA14" s="36" t="str">
        <f>IFERROR(IF(LEN(#REF!)=0,"",IF(BA$27=#REF!,Milestone_Marker_Old,"")),"")</f>
        <v/>
      </c>
      <c r="CB14" s="36" t="str">
        <f>IFERROR(IF(LEN(#REF!)=0,"",IF(BB$27=#REF!,Milestone_Marker_Old,"")),"")</f>
        <v/>
      </c>
      <c r="CC14" s="36" t="str">
        <f>IFERROR(IF(LEN(#REF!)=0,"",IF(BC$27=#REF!,Milestone_Marker_Old,"")),"")</f>
        <v/>
      </c>
      <c r="CD14" s="36" t="str">
        <f>IFERROR(IF(LEN(#REF!)=0,"",IF(BD$27=#REF!,Milestone_Marker_Old,"")),"")</f>
        <v/>
      </c>
      <c r="CE14" s="36" t="str">
        <f>IFERROR(IF(LEN(#REF!)=0,"",IF(BE$27=#REF!,Milestone_Marker_Old,"")),"")</f>
        <v/>
      </c>
      <c r="CF14" s="36" t="str">
        <f>IFERROR(IF(LEN(#REF!)=0,"",IF(BF$27=#REF!,Milestone_Marker_Old,"")),"")</f>
        <v/>
      </c>
      <c r="CG14" s="36" t="str">
        <f>IFERROR(IF(LEN(#REF!)=0,"",IF(BG$27=#REF!,Milestone_Marker_Old,"")),"")</f>
        <v/>
      </c>
      <c r="CH14" s="36" t="str">
        <f>IFERROR(IF(LEN(#REF!)=0,"",IF(BH$27=#REF!,Milestone_Marker_Old,"")),"")</f>
        <v/>
      </c>
      <c r="CI14" s="36" t="str">
        <f>IFERROR(IF(LEN(#REF!)=0,"",IF(BI$27=#REF!,Milestone_Marker_Old,"")),"")</f>
        <v/>
      </c>
      <c r="CJ14" s="36" t="str">
        <f>IFERROR(IF(LEN(#REF!)=0,"",IF(BJ$27=#REF!,Milestone_Marker_Old,"")),"")</f>
        <v/>
      </c>
      <c r="CK14" s="36" t="str">
        <f>IFERROR(IF(LEN(#REF!)=0,"",IF(BK$27=#REF!,Milestone_Marker_Old,"")),"")</f>
        <v/>
      </c>
      <c r="CL14" s="36" t="str">
        <f>IFERROR(IF(LEN(#REF!)=0,"",IF(BL$27=#REF!,Milestone_Marker_Old,"")),"")</f>
        <v/>
      </c>
      <c r="CM14" s="36" t="str">
        <f>IFERROR(IF(LEN(#REF!)=0,"",IF(BM$27=#REF!,Milestone_Marker_Old,"")),"")</f>
        <v/>
      </c>
      <c r="CN14" s="36" t="str">
        <f>IFERROR(IF(LEN(#REF!)=0,"",IF(BN$27=#REF!,Milestone_Marker_Old,"")),"")</f>
        <v/>
      </c>
      <c r="CO14" s="36" t="str">
        <f>IFERROR(IF(LEN(#REF!)=0,"",IF(BO$27=#REF!,Milestone_Marker_Old,"")),"")</f>
        <v/>
      </c>
      <c r="CP14" s="36" t="str">
        <f>IFERROR(IF(LEN(#REF!)=0,"",IF(BP$27=#REF!,Milestone_Marker_Old,"")),"")</f>
        <v/>
      </c>
      <c r="CQ14" s="36" t="str">
        <f>IFERROR(IF(LEN(#REF!)=0,"",IF(BQ$27=#REF!,Milestone_Marker_Old,"")),"")</f>
        <v/>
      </c>
      <c r="CR14" s="36" t="str">
        <f>IFERROR(IF(LEN(#REF!)=0,"",IF(BR$27=#REF!,Milestone_Marker_Old,"")),"")</f>
        <v/>
      </c>
      <c r="CS14" s="36" t="str">
        <f>IFERROR(IF(LEN(#REF!)=0,"",IF(BS$27=#REF!,Milestone_Marker_Old,"")),"")</f>
        <v/>
      </c>
      <c r="CT14" s="36" t="str">
        <f>IFERROR(IF(LEN(#REF!)=0,"",IF(BT$27=#REF!,Milestone_Marker_Old,"")),"")</f>
        <v/>
      </c>
      <c r="CU14" s="36" t="str">
        <f>IFERROR(IF(LEN(#REF!)=0,"",IF(BU$27=#REF!,Milestone_Marker_Old,"")),"")</f>
        <v/>
      </c>
      <c r="CV14" s="36" t="str">
        <f>IFERROR(IF(LEN(#REF!)=0,"",IF(BV$27=#REF!,Milestone_Marker_Old,"")),"")</f>
        <v/>
      </c>
      <c r="CW14" s="36" t="str">
        <f>IFERROR(IF(LEN(#REF!)=0,"",IF(BW$27=#REF!,Milestone_Marker_Old,"")),"")</f>
        <v/>
      </c>
      <c r="CX14" s="36" t="str">
        <f>IFERROR(IF(LEN(#REF!)=0,"",IF(BX$27=#REF!,Milestone_Marker_Old,"")),"")</f>
        <v/>
      </c>
      <c r="CY14" s="36" t="str">
        <f>IFERROR(IF(LEN(#REF!)=0,"",IF(BY$27=#REF!,Milestone_Marker_Old,"")),"")</f>
        <v/>
      </c>
      <c r="CZ14" s="36" t="str">
        <f>IFERROR(IF(LEN(#REF!)=0,"",IF(BZ$27=#REF!,Milestone_Marker_Old,"")),"")</f>
        <v/>
      </c>
      <c r="DA14" s="36" t="str">
        <f>IFERROR(IF(LEN(#REF!)=0,"",IF(CA$27=#REF!,Milestone_Marker_Old,"")),"")</f>
        <v/>
      </c>
      <c r="DB14" s="36" t="str">
        <f>IFERROR(IF(LEN(#REF!)=0,"",IF(CB$27=#REF!,Milestone_Marker_Old,"")),"")</f>
        <v/>
      </c>
      <c r="DC14" s="36" t="str">
        <f>IFERROR(IF(LEN(#REF!)=0,"",IF(CC$27=#REF!,Milestone_Marker_Old,"")),"")</f>
        <v/>
      </c>
      <c r="DD14" s="36" t="str">
        <f>IFERROR(IF(LEN(#REF!)=0,"",IF(CD$27=#REF!,Milestone_Marker_Old,"")),"")</f>
        <v/>
      </c>
      <c r="DE14" s="36" t="str">
        <f>IFERROR(IF(LEN(#REF!)=0,"",IF(CE$27=#REF!,Milestone_Marker_Old,"")),"")</f>
        <v/>
      </c>
      <c r="DF14" s="36" t="str">
        <f>IFERROR(IF(LEN(#REF!)=0,"",IF(CF$27=#REF!,Milestone_Marker_Old,"")),"")</f>
        <v/>
      </c>
      <c r="DG14" s="36" t="str">
        <f>IFERROR(IF(LEN(#REF!)=0,"",IF(CG$27=#REF!,Milestone_Marker_Old,"")),"")</f>
        <v/>
      </c>
      <c r="DH14" s="36" t="str">
        <f>IFERROR(IF(LEN(#REF!)=0,"",IF(CH$27=#REF!,Milestone_Marker_Old,"")),"")</f>
        <v/>
      </c>
      <c r="DI14" s="36" t="str">
        <f>IFERROR(IF(LEN(#REF!)=0,"",IF(CI$27=#REF!,Milestone_Marker_Old,"")),"")</f>
        <v/>
      </c>
      <c r="DJ14" s="36" t="str">
        <f>IFERROR(IF(LEN(#REF!)=0,"",IF(CJ$27=#REF!,Milestone_Marker_Old,"")),"")</f>
        <v/>
      </c>
      <c r="DK14" s="36" t="str">
        <f>IFERROR(IF(LEN(#REF!)=0,"",IF(CK$27=#REF!,Milestone_Marker_Old,"")),"")</f>
        <v/>
      </c>
      <c r="DL14" s="36" t="str">
        <f>IFERROR(IF(LEN(#REF!)=0,"",IF(CL$27=#REF!,Milestone_Marker_Old,"")),"")</f>
        <v/>
      </c>
      <c r="DM14" s="36" t="str">
        <f>IFERROR(IF(LEN(#REF!)=0,"",IF(CM$27=#REF!,Milestone_Marker_Old,"")),"")</f>
        <v/>
      </c>
      <c r="DN14" s="36" t="str">
        <f>IFERROR(IF(LEN(#REF!)=0,"",IF(CN$27=#REF!,Milestone_Marker_Old,"")),"")</f>
        <v/>
      </c>
      <c r="DO14" s="36" t="str">
        <f>IFERROR(IF(LEN(#REF!)=0,"",IF(CO$27=#REF!,Milestone_Marker_Old,"")),"")</f>
        <v/>
      </c>
      <c r="DP14" s="36" t="str">
        <f>IFERROR(IF(LEN(#REF!)=0,"",IF(CP$27=#REF!,Milestone_Marker_Old,"")),"")</f>
        <v/>
      </c>
      <c r="DQ14" s="36" t="str">
        <f>IFERROR(IF(LEN(#REF!)=0,"",IF(CQ$27=#REF!,Milestone_Marker_Old,"")),"")</f>
        <v/>
      </c>
      <c r="DR14" s="36" t="str">
        <f>IFERROR(IF(LEN(#REF!)=0,"",IF(CR$27=#REF!,Milestone_Marker_Old,"")),"")</f>
        <v/>
      </c>
      <c r="DS14" s="36" t="str">
        <f>IFERROR(IF(LEN(#REF!)=0,"",IF(CS$27=#REF!,Milestone_Marker_Old,"")),"")</f>
        <v/>
      </c>
      <c r="DT14" s="36" t="str">
        <f>IFERROR(IF(LEN(#REF!)=0,"",IF(CT$27=#REF!,Milestone_Marker_Old,"")),"")</f>
        <v/>
      </c>
      <c r="DU14" s="36" t="str">
        <f>IFERROR(IF(LEN(#REF!)=0,"",IF(CU$27=#REF!,Milestone_Marker_Old,"")),"")</f>
        <v/>
      </c>
    </row>
    <row r="15" spans="1:125" s="41" customFormat="1" ht="20.100000000000001" customHeight="1" x14ac:dyDescent="0.25">
      <c r="A15" s="84" t="str">
        <f>Profit!$E$1&amp;" Your Home"</f>
        <v>Buy Your Home</v>
      </c>
      <c r="B15" s="85">
        <f t="shared" si="4"/>
        <v>8</v>
      </c>
      <c r="C15" s="86"/>
      <c r="D15" s="84"/>
      <c r="E15" s="84" t="s">
        <v>252</v>
      </c>
      <c r="F15" s="85">
        <v>1</v>
      </c>
      <c r="G15" s="87">
        <f>+'Electrical Fixtures'!H36</f>
        <v>0</v>
      </c>
      <c r="H15" s="87">
        <f t="shared" si="2"/>
        <v>0</v>
      </c>
      <c r="I15" s="88"/>
      <c r="J15" s="87"/>
      <c r="K15" s="89"/>
      <c r="L15" s="87"/>
      <c r="M15" s="87"/>
      <c r="N15" s="87">
        <f t="shared" si="3"/>
        <v>0</v>
      </c>
      <c r="O15" s="88"/>
      <c r="R15" s="35"/>
      <c r="S15" s="35"/>
      <c r="T15" s="35"/>
      <c r="U15" s="35"/>
      <c r="V15" s="35"/>
      <c r="W15" s="35"/>
      <c r="X15" s="35"/>
      <c r="Y15" s="35"/>
      <c r="Z15" s="35"/>
      <c r="AA15" s="35"/>
      <c r="AB15" s="35"/>
      <c r="AC15" s="35"/>
      <c r="AD15" s="35"/>
      <c r="AE15" s="35"/>
      <c r="AF15" s="35"/>
      <c r="AG15" s="35"/>
      <c r="AH15" s="35"/>
      <c r="AI15" s="35"/>
      <c r="AP15" s="36" t="str">
        <f>IFERROR(IF(LEN(#REF!)=0,"",IF(P$27=#REF!,Milestone_Marker_Old,"")),"")</f>
        <v/>
      </c>
      <c r="AQ15" s="36" t="str">
        <f>IFERROR(IF(LEN(#REF!)=0,"",IF(Q$27=#REF!,Milestone_Marker_Old,"")),"")</f>
        <v/>
      </c>
      <c r="AR15" s="36" t="str">
        <f>IFERROR(IF(LEN(#REF!)=0,"",IF(R$27=#REF!,Milestone_Marker_Old,"")),"")</f>
        <v/>
      </c>
      <c r="AS15" s="36" t="str">
        <f>IFERROR(IF(LEN(#REF!)=0,"",IF(S$27=#REF!,Milestone_Marker_Old,"")),"")</f>
        <v/>
      </c>
      <c r="AT15" s="36" t="str">
        <f>IFERROR(IF(LEN(#REF!)=0,"",IF(T$27=#REF!,Milestone_Marker_Old,"")),"")</f>
        <v/>
      </c>
      <c r="AU15" s="36" t="str">
        <f>IFERROR(IF(LEN(#REF!)=0,"",IF(U$27=#REF!,Milestone_Marker_Old,"")),"")</f>
        <v/>
      </c>
      <c r="AV15" s="36" t="str">
        <f>IFERROR(IF(LEN(#REF!)=0,"",IF(V$27=#REF!,Milestone_Marker_Old,"")),"")</f>
        <v/>
      </c>
      <c r="AW15" s="36" t="str">
        <f>IFERROR(IF(LEN(#REF!)=0,"",IF(W$27=#REF!,Milestone_Marker_Old,"")),"")</f>
        <v/>
      </c>
      <c r="AX15" s="36" t="str">
        <f>IFERROR(IF(LEN(#REF!)=0,"",IF(X$27=#REF!,Milestone_Marker_Old,"")),"")</f>
        <v/>
      </c>
      <c r="AY15" s="36" t="str">
        <f>IFERROR(IF(LEN(#REF!)=0,"",IF(Y$27=#REF!,Milestone_Marker_Old,"")),"")</f>
        <v/>
      </c>
      <c r="AZ15" s="36" t="str">
        <f>IFERROR(IF(LEN(#REF!)=0,"",IF(Z$27=#REF!,Milestone_Marker_Old,"")),"")</f>
        <v/>
      </c>
      <c r="BA15" s="36" t="str">
        <f>IFERROR(IF(LEN(#REF!)=0,"",IF(AA$27=#REF!,Milestone_Marker_Old,"")),"")</f>
        <v/>
      </c>
      <c r="BB15" s="36" t="str">
        <f>IFERROR(IF(LEN(#REF!)=0,"",IF(AB$27=#REF!,Milestone_Marker_Old,"")),"")</f>
        <v/>
      </c>
      <c r="BC15" s="36" t="str">
        <f>IFERROR(IF(LEN(#REF!)=0,"",IF(AC$27=#REF!,Milestone_Marker_Old,"")),"")</f>
        <v/>
      </c>
      <c r="BD15" s="36" t="str">
        <f>IFERROR(IF(LEN(#REF!)=0,"",IF(AD$27=#REF!,Milestone_Marker_Old,"")),"")</f>
        <v/>
      </c>
      <c r="BE15" s="36" t="str">
        <f>IFERROR(IF(LEN(#REF!)=0,"",IF(AE$27=#REF!,Milestone_Marker_Old,"")),"")</f>
        <v/>
      </c>
      <c r="BF15" s="36" t="str">
        <f>IFERROR(IF(LEN(#REF!)=0,"",IF(AF$27=#REF!,Milestone_Marker_Old,"")),"")</f>
        <v/>
      </c>
      <c r="BG15" s="36" t="str">
        <f>IFERROR(IF(LEN(#REF!)=0,"",IF(AG$27=#REF!,Milestone_Marker_Old,"")),"")</f>
        <v/>
      </c>
      <c r="BH15" s="36" t="str">
        <f>IFERROR(IF(LEN(#REF!)=0,"",IF(AH$27=#REF!,Milestone_Marker_Old,"")),"")</f>
        <v/>
      </c>
      <c r="BI15" s="36" t="str">
        <f>IFERROR(IF(LEN(#REF!)=0,"",IF(AI$27=#REF!,Milestone_Marker_Old,"")),"")</f>
        <v/>
      </c>
      <c r="BJ15" s="36" t="str">
        <f>IFERROR(IF(LEN(#REF!)=0,"",IF(AJ$27=#REF!,Milestone_Marker_Old,"")),"")</f>
        <v/>
      </c>
      <c r="BK15" s="36" t="str">
        <f>IFERROR(IF(LEN(#REF!)=0,"",IF(AK$27=#REF!,Milestone_Marker_Old,"")),"")</f>
        <v/>
      </c>
      <c r="BL15" s="36" t="str">
        <f>IFERROR(IF(LEN(#REF!)=0,"",IF(AL$27=#REF!,Milestone_Marker_Old,"")),"")</f>
        <v/>
      </c>
      <c r="BM15" s="36" t="str">
        <f>IFERROR(IF(LEN(#REF!)=0,"",IF(AM$27=#REF!,Milestone_Marker_Old,"")),"")</f>
        <v/>
      </c>
      <c r="BN15" s="36" t="str">
        <f>IFERROR(IF(LEN(#REF!)=0,"",IF(AN$27=#REF!,Milestone_Marker_Old,"")),"")</f>
        <v/>
      </c>
      <c r="BO15" s="36" t="str">
        <f>IFERROR(IF(LEN(#REF!)=0,"",IF(AO$27=#REF!,Milestone_Marker_Old,"")),"")</f>
        <v/>
      </c>
      <c r="BP15" s="36" t="str">
        <f>IFERROR(IF(LEN(#REF!)=0,"",IF(AP$27=#REF!,Milestone_Marker_Old,"")),"")</f>
        <v/>
      </c>
      <c r="BQ15" s="36" t="str">
        <f>IFERROR(IF(LEN(#REF!)=0,"",IF(AQ$27=#REF!,Milestone_Marker_Old,"")),"")</f>
        <v/>
      </c>
      <c r="BR15" s="36" t="str">
        <f>IFERROR(IF(LEN(#REF!)=0,"",IF(AR$27=#REF!,Milestone_Marker_Old,"")),"")</f>
        <v/>
      </c>
      <c r="BS15" s="36" t="str">
        <f>IFERROR(IF(LEN(#REF!)=0,"",IF(AS$27=#REF!,Milestone_Marker_Old,"")),"")</f>
        <v/>
      </c>
      <c r="BT15" s="36" t="str">
        <f>IFERROR(IF(LEN(#REF!)=0,"",IF(AT$27=#REF!,Milestone_Marker_Old,"")),"")</f>
        <v/>
      </c>
      <c r="BU15" s="36" t="str">
        <f>IFERROR(IF(LEN(#REF!)=0,"",IF(AU$27=#REF!,Milestone_Marker_Old,"")),"")</f>
        <v/>
      </c>
      <c r="BV15" s="36" t="str">
        <f>IFERROR(IF(LEN(#REF!)=0,"",IF(AV$27=#REF!,Milestone_Marker_Old,"")),"")</f>
        <v/>
      </c>
      <c r="BW15" s="36" t="str">
        <f>IFERROR(IF(LEN(#REF!)=0,"",IF(AW$27=#REF!,Milestone_Marker_Old,"")),"")</f>
        <v/>
      </c>
      <c r="BX15" s="36" t="str">
        <f>IFERROR(IF(LEN(#REF!)=0,"",IF(AX$27=#REF!,Milestone_Marker_Old,"")),"")</f>
        <v/>
      </c>
      <c r="BY15" s="36" t="str">
        <f>IFERROR(IF(LEN(#REF!)=0,"",IF(AY$27=#REF!,Milestone_Marker_Old,"")),"")</f>
        <v/>
      </c>
      <c r="BZ15" s="36" t="str">
        <f>IFERROR(IF(LEN(#REF!)=0,"",IF(AZ$27=#REF!,Milestone_Marker_Old,"")),"")</f>
        <v/>
      </c>
      <c r="CA15" s="36" t="str">
        <f>IFERROR(IF(LEN(#REF!)=0,"",IF(BA$27=#REF!,Milestone_Marker_Old,"")),"")</f>
        <v/>
      </c>
      <c r="CB15" s="36" t="str">
        <f>IFERROR(IF(LEN(#REF!)=0,"",IF(BB$27=#REF!,Milestone_Marker_Old,"")),"")</f>
        <v/>
      </c>
      <c r="CC15" s="36" t="str">
        <f>IFERROR(IF(LEN(#REF!)=0,"",IF(BC$27=#REF!,Milestone_Marker_Old,"")),"")</f>
        <v/>
      </c>
      <c r="CD15" s="36" t="str">
        <f>IFERROR(IF(LEN(#REF!)=0,"",IF(BD$27=#REF!,Milestone_Marker_Old,"")),"")</f>
        <v/>
      </c>
      <c r="CE15" s="36" t="str">
        <f>IFERROR(IF(LEN(#REF!)=0,"",IF(BE$27=#REF!,Milestone_Marker_Old,"")),"")</f>
        <v/>
      </c>
      <c r="CF15" s="36" t="str">
        <f>IFERROR(IF(LEN(#REF!)=0,"",IF(BF$27=#REF!,Milestone_Marker_Old,"")),"")</f>
        <v/>
      </c>
      <c r="CG15" s="36" t="str">
        <f>IFERROR(IF(LEN(#REF!)=0,"",IF(BG$27=#REF!,Milestone_Marker_Old,"")),"")</f>
        <v/>
      </c>
      <c r="CH15" s="36" t="str">
        <f>IFERROR(IF(LEN(#REF!)=0,"",IF(BH$27=#REF!,Milestone_Marker_Old,"")),"")</f>
        <v/>
      </c>
      <c r="CI15" s="36" t="str">
        <f>IFERROR(IF(LEN(#REF!)=0,"",IF(BI$27=#REF!,Milestone_Marker_Old,"")),"")</f>
        <v/>
      </c>
      <c r="CJ15" s="36" t="str">
        <f>IFERROR(IF(LEN(#REF!)=0,"",IF(BJ$27=#REF!,Milestone_Marker_Old,"")),"")</f>
        <v/>
      </c>
      <c r="CK15" s="36" t="str">
        <f>IFERROR(IF(LEN(#REF!)=0,"",IF(BK$27=#REF!,Milestone_Marker_Old,"")),"")</f>
        <v/>
      </c>
      <c r="CL15" s="36" t="str">
        <f>IFERROR(IF(LEN(#REF!)=0,"",IF(BL$27=#REF!,Milestone_Marker_Old,"")),"")</f>
        <v/>
      </c>
      <c r="CM15" s="36" t="str">
        <f>IFERROR(IF(LEN(#REF!)=0,"",IF(BM$27=#REF!,Milestone_Marker_Old,"")),"")</f>
        <v/>
      </c>
      <c r="CN15" s="36" t="str">
        <f>IFERROR(IF(LEN(#REF!)=0,"",IF(BN$27=#REF!,Milestone_Marker_Old,"")),"")</f>
        <v/>
      </c>
      <c r="CO15" s="36" t="str">
        <f>IFERROR(IF(LEN(#REF!)=0,"",IF(BO$27=#REF!,Milestone_Marker_Old,"")),"")</f>
        <v/>
      </c>
      <c r="CP15" s="36" t="str">
        <f>IFERROR(IF(LEN(#REF!)=0,"",IF(BP$27=#REF!,Milestone_Marker_Old,"")),"")</f>
        <v/>
      </c>
      <c r="CQ15" s="36" t="str">
        <f>IFERROR(IF(LEN(#REF!)=0,"",IF(BQ$27=#REF!,Milestone_Marker_Old,"")),"")</f>
        <v/>
      </c>
      <c r="CR15" s="36" t="str">
        <f>IFERROR(IF(LEN(#REF!)=0,"",IF(BR$27=#REF!,Milestone_Marker_Old,"")),"")</f>
        <v/>
      </c>
      <c r="CS15" s="36" t="str">
        <f>IFERROR(IF(LEN(#REF!)=0,"",IF(BS$27=#REF!,Milestone_Marker_Old,"")),"")</f>
        <v/>
      </c>
      <c r="CT15" s="36" t="str">
        <f>IFERROR(IF(LEN(#REF!)=0,"",IF(BT$27=#REF!,Milestone_Marker_Old,"")),"")</f>
        <v/>
      </c>
      <c r="CU15" s="36" t="str">
        <f>IFERROR(IF(LEN(#REF!)=0,"",IF(BU$27=#REF!,Milestone_Marker_Old,"")),"")</f>
        <v/>
      </c>
      <c r="CV15" s="36" t="str">
        <f>IFERROR(IF(LEN(#REF!)=0,"",IF(BV$27=#REF!,Milestone_Marker_Old,"")),"")</f>
        <v/>
      </c>
      <c r="CW15" s="36" t="str">
        <f>IFERROR(IF(LEN(#REF!)=0,"",IF(BW$27=#REF!,Milestone_Marker_Old,"")),"")</f>
        <v/>
      </c>
      <c r="CX15" s="36" t="str">
        <f>IFERROR(IF(LEN(#REF!)=0,"",IF(BX$27=#REF!,Milestone_Marker_Old,"")),"")</f>
        <v/>
      </c>
      <c r="CY15" s="36" t="str">
        <f>IFERROR(IF(LEN(#REF!)=0,"",IF(BY$27=#REF!,Milestone_Marker_Old,"")),"")</f>
        <v/>
      </c>
      <c r="CZ15" s="36" t="str">
        <f>IFERROR(IF(LEN(#REF!)=0,"",IF(BZ$27=#REF!,Milestone_Marker_Old,"")),"")</f>
        <v/>
      </c>
      <c r="DA15" s="36" t="str">
        <f>IFERROR(IF(LEN(#REF!)=0,"",IF(CA$27=#REF!,Milestone_Marker_Old,"")),"")</f>
        <v/>
      </c>
      <c r="DB15" s="36" t="str">
        <f>IFERROR(IF(LEN(#REF!)=0,"",IF(CB$27=#REF!,Milestone_Marker_Old,"")),"")</f>
        <v/>
      </c>
      <c r="DC15" s="36" t="str">
        <f>IFERROR(IF(LEN(#REF!)=0,"",IF(CC$27=#REF!,Milestone_Marker_Old,"")),"")</f>
        <v/>
      </c>
      <c r="DD15" s="36" t="str">
        <f>IFERROR(IF(LEN(#REF!)=0,"",IF(CD$27=#REF!,Milestone_Marker_Old,"")),"")</f>
        <v/>
      </c>
      <c r="DE15" s="36" t="str">
        <f>IFERROR(IF(LEN(#REF!)=0,"",IF(CE$27=#REF!,Milestone_Marker_Old,"")),"")</f>
        <v/>
      </c>
      <c r="DF15" s="36" t="str">
        <f>IFERROR(IF(LEN(#REF!)=0,"",IF(CF$27=#REF!,Milestone_Marker_Old,"")),"")</f>
        <v/>
      </c>
      <c r="DG15" s="36" t="str">
        <f>IFERROR(IF(LEN(#REF!)=0,"",IF(CG$27=#REF!,Milestone_Marker_Old,"")),"")</f>
        <v/>
      </c>
      <c r="DH15" s="36" t="str">
        <f>IFERROR(IF(LEN(#REF!)=0,"",IF(CH$27=#REF!,Milestone_Marker_Old,"")),"")</f>
        <v/>
      </c>
      <c r="DI15" s="36" t="str">
        <f>IFERROR(IF(LEN(#REF!)=0,"",IF(CI$27=#REF!,Milestone_Marker_Old,"")),"")</f>
        <v/>
      </c>
      <c r="DJ15" s="36" t="str">
        <f>IFERROR(IF(LEN(#REF!)=0,"",IF(CJ$27=#REF!,Milestone_Marker_Old,"")),"")</f>
        <v/>
      </c>
      <c r="DK15" s="36" t="str">
        <f>IFERROR(IF(LEN(#REF!)=0,"",IF(CK$27=#REF!,Milestone_Marker_Old,"")),"")</f>
        <v/>
      </c>
      <c r="DL15" s="36" t="str">
        <f>IFERROR(IF(LEN(#REF!)=0,"",IF(CL$27=#REF!,Milestone_Marker_Old,"")),"")</f>
        <v/>
      </c>
      <c r="DM15" s="36" t="str">
        <f>IFERROR(IF(LEN(#REF!)=0,"",IF(CM$27=#REF!,Milestone_Marker_Old,"")),"")</f>
        <v/>
      </c>
      <c r="DN15" s="36" t="str">
        <f>IFERROR(IF(LEN(#REF!)=0,"",IF(CN$27=#REF!,Milestone_Marker_Old,"")),"")</f>
        <v/>
      </c>
      <c r="DO15" s="36" t="str">
        <f>IFERROR(IF(LEN(#REF!)=0,"",IF(CO$27=#REF!,Milestone_Marker_Old,"")),"")</f>
        <v/>
      </c>
      <c r="DP15" s="36" t="str">
        <f>IFERROR(IF(LEN(#REF!)=0,"",IF(CP$27=#REF!,Milestone_Marker_Old,"")),"")</f>
        <v/>
      </c>
      <c r="DQ15" s="36" t="str">
        <f>IFERROR(IF(LEN(#REF!)=0,"",IF(CQ$27=#REF!,Milestone_Marker_Old,"")),"")</f>
        <v/>
      </c>
      <c r="DR15" s="36" t="str">
        <f>IFERROR(IF(LEN(#REF!)=0,"",IF(CR$27=#REF!,Milestone_Marker_Old,"")),"")</f>
        <v/>
      </c>
      <c r="DS15" s="36" t="str">
        <f>IFERROR(IF(LEN(#REF!)=0,"",IF(CS$27=#REF!,Milestone_Marker_Old,"")),"")</f>
        <v/>
      </c>
      <c r="DT15" s="36" t="str">
        <f>IFERROR(IF(LEN(#REF!)=0,"",IF(CT$27=#REF!,Milestone_Marker_Old,"")),"")</f>
        <v/>
      </c>
      <c r="DU15" s="36" t="str">
        <f>IFERROR(IF(LEN(#REF!)=0,"",IF(CU$27=#REF!,Milestone_Marker_Old,"")),"")</f>
        <v/>
      </c>
    </row>
    <row r="16" spans="1:125" s="41" customFormat="1" ht="20.100000000000001" customHeight="1" x14ac:dyDescent="0.25">
      <c r="A16" s="84" t="str">
        <f>Profit!$E$1&amp;" Your Home"</f>
        <v>Buy Your Home</v>
      </c>
      <c r="B16" s="85">
        <f t="shared" si="4"/>
        <v>9</v>
      </c>
      <c r="C16" s="86"/>
      <c r="D16" s="84"/>
      <c r="E16" s="84" t="s">
        <v>522</v>
      </c>
      <c r="F16" s="85">
        <v>1</v>
      </c>
      <c r="G16" s="87">
        <f>+Legal!G24</f>
        <v>0</v>
      </c>
      <c r="H16" s="87">
        <f>+F16*G16</f>
        <v>0</v>
      </c>
      <c r="I16" s="88"/>
      <c r="J16" s="87"/>
      <c r="K16" s="89"/>
      <c r="L16" s="87"/>
      <c r="M16" s="87"/>
      <c r="N16" s="87">
        <f>IF(I16="Yes",H16,0)</f>
        <v>0</v>
      </c>
      <c r="O16" s="88"/>
      <c r="R16" s="35"/>
      <c r="S16" s="35"/>
      <c r="T16" s="35"/>
      <c r="U16" s="35"/>
      <c r="V16" s="35"/>
      <c r="W16" s="35"/>
      <c r="X16" s="35"/>
      <c r="Y16" s="35"/>
      <c r="Z16" s="35"/>
      <c r="AA16" s="35"/>
      <c r="AB16" s="35"/>
      <c r="AC16" s="35"/>
      <c r="AD16" s="35"/>
      <c r="AE16" s="35"/>
      <c r="AF16" s="35"/>
      <c r="AG16" s="35"/>
      <c r="AH16" s="35"/>
      <c r="AI16" s="35"/>
      <c r="AP16" s="36" t="str">
        <f>IFERROR(IF(LEN(#REF!)=0,"",IF(P$27=#REF!,Milestone_Marker_Old,"")),"")</f>
        <v/>
      </c>
      <c r="AQ16" s="36" t="str">
        <f>IFERROR(IF(LEN(#REF!)=0,"",IF(Q$27=#REF!,Milestone_Marker_Old,"")),"")</f>
        <v/>
      </c>
      <c r="AR16" s="36" t="str">
        <f>IFERROR(IF(LEN(#REF!)=0,"",IF(R$27=#REF!,Milestone_Marker_Old,"")),"")</f>
        <v/>
      </c>
      <c r="AS16" s="36" t="str">
        <f>IFERROR(IF(LEN(#REF!)=0,"",IF(S$27=#REF!,Milestone_Marker_Old,"")),"")</f>
        <v/>
      </c>
      <c r="AT16" s="36" t="str">
        <f>IFERROR(IF(LEN(#REF!)=0,"",IF(T$27=#REF!,Milestone_Marker_Old,"")),"")</f>
        <v/>
      </c>
      <c r="AU16" s="36" t="str">
        <f>IFERROR(IF(LEN(#REF!)=0,"",IF(U$27=#REF!,Milestone_Marker_Old,"")),"")</f>
        <v/>
      </c>
      <c r="AV16" s="36" t="str">
        <f>IFERROR(IF(LEN(#REF!)=0,"",IF(V$27=#REF!,Milestone_Marker_Old,"")),"")</f>
        <v/>
      </c>
      <c r="AW16" s="36" t="str">
        <f>IFERROR(IF(LEN(#REF!)=0,"",IF(W$27=#REF!,Milestone_Marker_Old,"")),"")</f>
        <v/>
      </c>
      <c r="AX16" s="36" t="str">
        <f>IFERROR(IF(LEN(#REF!)=0,"",IF(X$27=#REF!,Milestone_Marker_Old,"")),"")</f>
        <v/>
      </c>
      <c r="AY16" s="36" t="str">
        <f>IFERROR(IF(LEN(#REF!)=0,"",IF(Y$27=#REF!,Milestone_Marker_Old,"")),"")</f>
        <v/>
      </c>
      <c r="AZ16" s="36" t="str">
        <f>IFERROR(IF(LEN(#REF!)=0,"",IF(Z$27=#REF!,Milestone_Marker_Old,"")),"")</f>
        <v/>
      </c>
      <c r="BA16" s="36" t="str">
        <f>IFERROR(IF(LEN(#REF!)=0,"",IF(AA$27=#REF!,Milestone_Marker_Old,"")),"")</f>
        <v/>
      </c>
      <c r="BB16" s="36" t="str">
        <f>IFERROR(IF(LEN(#REF!)=0,"",IF(AB$27=#REF!,Milestone_Marker_Old,"")),"")</f>
        <v/>
      </c>
      <c r="BC16" s="36" t="str">
        <f>IFERROR(IF(LEN(#REF!)=0,"",IF(AC$27=#REF!,Milestone_Marker_Old,"")),"")</f>
        <v/>
      </c>
      <c r="BD16" s="36" t="str">
        <f>IFERROR(IF(LEN(#REF!)=0,"",IF(AD$27=#REF!,Milestone_Marker_Old,"")),"")</f>
        <v/>
      </c>
      <c r="BE16" s="36" t="str">
        <f>IFERROR(IF(LEN(#REF!)=0,"",IF(AE$27=#REF!,Milestone_Marker_Old,"")),"")</f>
        <v/>
      </c>
      <c r="BF16" s="36" t="str">
        <f>IFERROR(IF(LEN(#REF!)=0,"",IF(AF$27=#REF!,Milestone_Marker_Old,"")),"")</f>
        <v/>
      </c>
      <c r="BG16" s="36" t="str">
        <f>IFERROR(IF(LEN(#REF!)=0,"",IF(AG$27=#REF!,Milestone_Marker_Old,"")),"")</f>
        <v/>
      </c>
      <c r="BH16" s="36" t="str">
        <f>IFERROR(IF(LEN(#REF!)=0,"",IF(AH$27=#REF!,Milestone_Marker_Old,"")),"")</f>
        <v/>
      </c>
      <c r="BI16" s="36" t="str">
        <f>IFERROR(IF(LEN(#REF!)=0,"",IF(AI$27=#REF!,Milestone_Marker_Old,"")),"")</f>
        <v/>
      </c>
      <c r="BJ16" s="36" t="str">
        <f>IFERROR(IF(LEN(#REF!)=0,"",IF(AJ$27=#REF!,Milestone_Marker_Old,"")),"")</f>
        <v/>
      </c>
      <c r="BK16" s="36" t="str">
        <f>IFERROR(IF(LEN(#REF!)=0,"",IF(AK$27=#REF!,Milestone_Marker_Old,"")),"")</f>
        <v/>
      </c>
      <c r="BL16" s="36" t="str">
        <f>IFERROR(IF(LEN(#REF!)=0,"",IF(AL$27=#REF!,Milestone_Marker_Old,"")),"")</f>
        <v/>
      </c>
      <c r="BM16" s="36" t="str">
        <f>IFERROR(IF(LEN(#REF!)=0,"",IF(AM$27=#REF!,Milestone_Marker_Old,"")),"")</f>
        <v/>
      </c>
      <c r="BN16" s="36" t="str">
        <f>IFERROR(IF(LEN(#REF!)=0,"",IF(AN$27=#REF!,Milestone_Marker_Old,"")),"")</f>
        <v/>
      </c>
      <c r="BO16" s="36" t="str">
        <f>IFERROR(IF(LEN(#REF!)=0,"",IF(AO$27=#REF!,Milestone_Marker_Old,"")),"")</f>
        <v/>
      </c>
      <c r="BP16" s="36" t="str">
        <f>IFERROR(IF(LEN(#REF!)=0,"",IF(AP$27=#REF!,Milestone_Marker_Old,"")),"")</f>
        <v/>
      </c>
      <c r="BQ16" s="36" t="str">
        <f>IFERROR(IF(LEN(#REF!)=0,"",IF(AQ$27=#REF!,Milestone_Marker_Old,"")),"")</f>
        <v/>
      </c>
      <c r="BR16" s="36" t="str">
        <f>IFERROR(IF(LEN(#REF!)=0,"",IF(AR$27=#REF!,Milestone_Marker_Old,"")),"")</f>
        <v/>
      </c>
      <c r="BS16" s="36" t="str">
        <f>IFERROR(IF(LEN(#REF!)=0,"",IF(AS$27=#REF!,Milestone_Marker_Old,"")),"")</f>
        <v/>
      </c>
      <c r="BT16" s="36" t="str">
        <f>IFERROR(IF(LEN(#REF!)=0,"",IF(AT$27=#REF!,Milestone_Marker_Old,"")),"")</f>
        <v/>
      </c>
      <c r="BU16" s="36" t="str">
        <f>IFERROR(IF(LEN(#REF!)=0,"",IF(AU$27=#REF!,Milestone_Marker_Old,"")),"")</f>
        <v/>
      </c>
      <c r="BV16" s="36" t="str">
        <f>IFERROR(IF(LEN(#REF!)=0,"",IF(AV$27=#REF!,Milestone_Marker_Old,"")),"")</f>
        <v/>
      </c>
      <c r="BW16" s="36" t="str">
        <f>IFERROR(IF(LEN(#REF!)=0,"",IF(AW$27=#REF!,Milestone_Marker_Old,"")),"")</f>
        <v/>
      </c>
      <c r="BX16" s="36" t="str">
        <f>IFERROR(IF(LEN(#REF!)=0,"",IF(AX$27=#REF!,Milestone_Marker_Old,"")),"")</f>
        <v/>
      </c>
      <c r="BY16" s="36" t="str">
        <f>IFERROR(IF(LEN(#REF!)=0,"",IF(AY$27=#REF!,Milestone_Marker_Old,"")),"")</f>
        <v/>
      </c>
      <c r="BZ16" s="36" t="str">
        <f>IFERROR(IF(LEN(#REF!)=0,"",IF(AZ$27=#REF!,Milestone_Marker_Old,"")),"")</f>
        <v/>
      </c>
      <c r="CA16" s="36" t="str">
        <f>IFERROR(IF(LEN(#REF!)=0,"",IF(BA$27=#REF!,Milestone_Marker_Old,"")),"")</f>
        <v/>
      </c>
      <c r="CB16" s="36" t="str">
        <f>IFERROR(IF(LEN(#REF!)=0,"",IF(BB$27=#REF!,Milestone_Marker_Old,"")),"")</f>
        <v/>
      </c>
      <c r="CC16" s="36" t="str">
        <f>IFERROR(IF(LEN(#REF!)=0,"",IF(BC$27=#REF!,Milestone_Marker_Old,"")),"")</f>
        <v/>
      </c>
      <c r="CD16" s="36" t="str">
        <f>IFERROR(IF(LEN(#REF!)=0,"",IF(BD$27=#REF!,Milestone_Marker_Old,"")),"")</f>
        <v/>
      </c>
      <c r="CE16" s="36" t="str">
        <f>IFERROR(IF(LEN(#REF!)=0,"",IF(BE$27=#REF!,Milestone_Marker_Old,"")),"")</f>
        <v/>
      </c>
      <c r="CF16" s="36" t="str">
        <f>IFERROR(IF(LEN(#REF!)=0,"",IF(BF$27=#REF!,Milestone_Marker_Old,"")),"")</f>
        <v/>
      </c>
      <c r="CG16" s="36" t="str">
        <f>IFERROR(IF(LEN(#REF!)=0,"",IF(BG$27=#REF!,Milestone_Marker_Old,"")),"")</f>
        <v/>
      </c>
      <c r="CH16" s="36" t="str">
        <f>IFERROR(IF(LEN(#REF!)=0,"",IF(BH$27=#REF!,Milestone_Marker_Old,"")),"")</f>
        <v/>
      </c>
      <c r="CI16" s="36" t="str">
        <f>IFERROR(IF(LEN(#REF!)=0,"",IF(BI$27=#REF!,Milestone_Marker_Old,"")),"")</f>
        <v/>
      </c>
      <c r="CJ16" s="36" t="str">
        <f>IFERROR(IF(LEN(#REF!)=0,"",IF(BJ$27=#REF!,Milestone_Marker_Old,"")),"")</f>
        <v/>
      </c>
      <c r="CK16" s="36" t="str">
        <f>IFERROR(IF(LEN(#REF!)=0,"",IF(BK$27=#REF!,Milestone_Marker_Old,"")),"")</f>
        <v/>
      </c>
      <c r="CL16" s="36" t="str">
        <f>IFERROR(IF(LEN(#REF!)=0,"",IF(BL$27=#REF!,Milestone_Marker_Old,"")),"")</f>
        <v/>
      </c>
      <c r="CM16" s="36" t="str">
        <f>IFERROR(IF(LEN(#REF!)=0,"",IF(BM$27=#REF!,Milestone_Marker_Old,"")),"")</f>
        <v/>
      </c>
      <c r="CN16" s="36" t="str">
        <f>IFERROR(IF(LEN(#REF!)=0,"",IF(BN$27=#REF!,Milestone_Marker_Old,"")),"")</f>
        <v/>
      </c>
      <c r="CO16" s="36" t="str">
        <f>IFERROR(IF(LEN(#REF!)=0,"",IF(BO$27=#REF!,Milestone_Marker_Old,"")),"")</f>
        <v/>
      </c>
      <c r="CP16" s="36" t="str">
        <f>IFERROR(IF(LEN(#REF!)=0,"",IF(BP$27=#REF!,Milestone_Marker_Old,"")),"")</f>
        <v/>
      </c>
      <c r="CQ16" s="36" t="str">
        <f>IFERROR(IF(LEN(#REF!)=0,"",IF(BQ$27=#REF!,Milestone_Marker_Old,"")),"")</f>
        <v/>
      </c>
      <c r="CR16" s="36" t="str">
        <f>IFERROR(IF(LEN(#REF!)=0,"",IF(BR$27=#REF!,Milestone_Marker_Old,"")),"")</f>
        <v/>
      </c>
      <c r="CS16" s="36" t="str">
        <f>IFERROR(IF(LEN(#REF!)=0,"",IF(BS$27=#REF!,Milestone_Marker_Old,"")),"")</f>
        <v/>
      </c>
      <c r="CT16" s="36" t="str">
        <f>IFERROR(IF(LEN(#REF!)=0,"",IF(BT$27=#REF!,Milestone_Marker_Old,"")),"")</f>
        <v/>
      </c>
      <c r="CU16" s="36" t="str">
        <f>IFERROR(IF(LEN(#REF!)=0,"",IF(BU$27=#REF!,Milestone_Marker_Old,"")),"")</f>
        <v/>
      </c>
      <c r="CV16" s="36" t="str">
        <f>IFERROR(IF(LEN(#REF!)=0,"",IF(BV$27=#REF!,Milestone_Marker_Old,"")),"")</f>
        <v/>
      </c>
      <c r="CW16" s="36" t="str">
        <f>IFERROR(IF(LEN(#REF!)=0,"",IF(BW$27=#REF!,Milestone_Marker_Old,"")),"")</f>
        <v/>
      </c>
      <c r="CX16" s="36" t="str">
        <f>IFERROR(IF(LEN(#REF!)=0,"",IF(BX$27=#REF!,Milestone_Marker_Old,"")),"")</f>
        <v/>
      </c>
      <c r="CY16" s="36" t="str">
        <f>IFERROR(IF(LEN(#REF!)=0,"",IF(BY$27=#REF!,Milestone_Marker_Old,"")),"")</f>
        <v/>
      </c>
      <c r="CZ16" s="36" t="str">
        <f>IFERROR(IF(LEN(#REF!)=0,"",IF(BZ$27=#REF!,Milestone_Marker_Old,"")),"")</f>
        <v/>
      </c>
      <c r="DA16" s="36" t="str">
        <f>IFERROR(IF(LEN(#REF!)=0,"",IF(CA$27=#REF!,Milestone_Marker_Old,"")),"")</f>
        <v/>
      </c>
      <c r="DB16" s="36" t="str">
        <f>IFERROR(IF(LEN(#REF!)=0,"",IF(CB$27=#REF!,Milestone_Marker_Old,"")),"")</f>
        <v/>
      </c>
      <c r="DC16" s="36" t="str">
        <f>IFERROR(IF(LEN(#REF!)=0,"",IF(CC$27=#REF!,Milestone_Marker_Old,"")),"")</f>
        <v/>
      </c>
      <c r="DD16" s="36" t="str">
        <f>IFERROR(IF(LEN(#REF!)=0,"",IF(CD$27=#REF!,Milestone_Marker_Old,"")),"")</f>
        <v/>
      </c>
      <c r="DE16" s="36" t="str">
        <f>IFERROR(IF(LEN(#REF!)=0,"",IF(CE$27=#REF!,Milestone_Marker_Old,"")),"")</f>
        <v/>
      </c>
      <c r="DF16" s="36" t="str">
        <f>IFERROR(IF(LEN(#REF!)=0,"",IF(CF$27=#REF!,Milestone_Marker_Old,"")),"")</f>
        <v/>
      </c>
      <c r="DG16" s="36" t="str">
        <f>IFERROR(IF(LEN(#REF!)=0,"",IF(CG$27=#REF!,Milestone_Marker_Old,"")),"")</f>
        <v/>
      </c>
      <c r="DH16" s="36" t="str">
        <f>IFERROR(IF(LEN(#REF!)=0,"",IF(CH$27=#REF!,Milestone_Marker_Old,"")),"")</f>
        <v/>
      </c>
      <c r="DI16" s="36" t="str">
        <f>IFERROR(IF(LEN(#REF!)=0,"",IF(CI$27=#REF!,Milestone_Marker_Old,"")),"")</f>
        <v/>
      </c>
      <c r="DJ16" s="36" t="str">
        <f>IFERROR(IF(LEN(#REF!)=0,"",IF(CJ$27=#REF!,Milestone_Marker_Old,"")),"")</f>
        <v/>
      </c>
      <c r="DK16" s="36" t="str">
        <f>IFERROR(IF(LEN(#REF!)=0,"",IF(CK$27=#REF!,Milestone_Marker_Old,"")),"")</f>
        <v/>
      </c>
      <c r="DL16" s="36" t="str">
        <f>IFERROR(IF(LEN(#REF!)=0,"",IF(CL$27=#REF!,Milestone_Marker_Old,"")),"")</f>
        <v/>
      </c>
      <c r="DM16" s="36" t="str">
        <f>IFERROR(IF(LEN(#REF!)=0,"",IF(CM$27=#REF!,Milestone_Marker_Old,"")),"")</f>
        <v/>
      </c>
      <c r="DN16" s="36" t="str">
        <f>IFERROR(IF(LEN(#REF!)=0,"",IF(CN$27=#REF!,Milestone_Marker_Old,"")),"")</f>
        <v/>
      </c>
      <c r="DO16" s="36" t="str">
        <f>IFERROR(IF(LEN(#REF!)=0,"",IF(CO$27=#REF!,Milestone_Marker_Old,"")),"")</f>
        <v/>
      </c>
      <c r="DP16" s="36" t="str">
        <f>IFERROR(IF(LEN(#REF!)=0,"",IF(CP$27=#REF!,Milestone_Marker_Old,"")),"")</f>
        <v/>
      </c>
      <c r="DQ16" s="36" t="str">
        <f>IFERROR(IF(LEN(#REF!)=0,"",IF(CQ$27=#REF!,Milestone_Marker_Old,"")),"")</f>
        <v/>
      </c>
      <c r="DR16" s="36" t="str">
        <f>IFERROR(IF(LEN(#REF!)=0,"",IF(CR$27=#REF!,Milestone_Marker_Old,"")),"")</f>
        <v/>
      </c>
      <c r="DS16" s="36" t="str">
        <f>IFERROR(IF(LEN(#REF!)=0,"",IF(CS$27=#REF!,Milestone_Marker_Old,"")),"")</f>
        <v/>
      </c>
      <c r="DT16" s="36" t="str">
        <f>IFERROR(IF(LEN(#REF!)=0,"",IF(CT$27=#REF!,Milestone_Marker_Old,"")),"")</f>
        <v/>
      </c>
      <c r="DU16" s="36" t="str">
        <f>IFERROR(IF(LEN(#REF!)=0,"",IF(CU$27=#REF!,Milestone_Marker_Old,"")),"")</f>
        <v/>
      </c>
    </row>
    <row r="17" spans="1:125" s="41" customFormat="1" ht="20.100000000000001" customHeight="1" x14ac:dyDescent="0.25">
      <c r="A17" s="84" t="str">
        <f>Profit!$E$1&amp;" Your Home"</f>
        <v>Buy Your Home</v>
      </c>
      <c r="B17" s="85">
        <f>+B15+1</f>
        <v>9</v>
      </c>
      <c r="C17" s="86"/>
      <c r="D17" s="84"/>
      <c r="E17" s="84" t="s">
        <v>253</v>
      </c>
      <c r="F17" s="85">
        <v>1</v>
      </c>
      <c r="G17" s="87">
        <f>+Exterior!F22</f>
        <v>0</v>
      </c>
      <c r="H17" s="87">
        <f t="shared" si="2"/>
        <v>0</v>
      </c>
      <c r="I17" s="88"/>
      <c r="J17" s="87"/>
      <c r="K17" s="89"/>
      <c r="L17" s="87"/>
      <c r="M17" s="87"/>
      <c r="N17" s="87">
        <f t="shared" si="3"/>
        <v>0</v>
      </c>
      <c r="O17" s="88"/>
      <c r="R17" s="35"/>
      <c r="S17" s="35"/>
      <c r="T17" s="35"/>
      <c r="U17" s="35"/>
      <c r="V17" s="35"/>
      <c r="W17" s="35"/>
      <c r="X17" s="35"/>
      <c r="Y17" s="35"/>
      <c r="Z17" s="35"/>
      <c r="AA17" s="35"/>
      <c r="AB17" s="35"/>
      <c r="AC17" s="35"/>
      <c r="AD17" s="35"/>
      <c r="AE17" s="35"/>
      <c r="AF17" s="35"/>
      <c r="AG17" s="35"/>
      <c r="AH17" s="35"/>
      <c r="AI17" s="35"/>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c r="BT17" s="36"/>
      <c r="BU17" s="36"/>
      <c r="BV17" s="36"/>
      <c r="BW17" s="36"/>
      <c r="BX17" s="36"/>
      <c r="BY17" s="36"/>
      <c r="BZ17" s="36"/>
      <c r="CA17" s="36"/>
      <c r="CB17" s="36"/>
      <c r="CC17" s="36"/>
      <c r="CD17" s="36"/>
      <c r="CE17" s="36"/>
      <c r="CF17" s="36"/>
      <c r="CG17" s="36"/>
      <c r="CH17" s="36"/>
      <c r="CI17" s="36"/>
      <c r="CJ17" s="36"/>
      <c r="CK17" s="36"/>
      <c r="CL17" s="36"/>
      <c r="CM17" s="36"/>
      <c r="CN17" s="36"/>
      <c r="CO17" s="36"/>
      <c r="CP17" s="36"/>
      <c r="CQ17" s="36"/>
      <c r="CR17" s="36"/>
      <c r="CS17" s="36"/>
      <c r="CT17" s="36"/>
      <c r="CU17" s="36"/>
      <c r="CV17" s="36"/>
      <c r="CW17" s="36"/>
      <c r="CX17" s="36"/>
      <c r="CY17" s="36"/>
      <c r="CZ17" s="36"/>
      <c r="DA17" s="36"/>
      <c r="DB17" s="36"/>
      <c r="DC17" s="36"/>
      <c r="DD17" s="36"/>
      <c r="DE17" s="36"/>
      <c r="DF17" s="36"/>
      <c r="DG17" s="36"/>
      <c r="DH17" s="36"/>
      <c r="DI17" s="36"/>
      <c r="DJ17" s="36"/>
      <c r="DK17" s="36"/>
      <c r="DL17" s="36"/>
      <c r="DM17" s="36"/>
      <c r="DN17" s="36"/>
      <c r="DO17" s="36"/>
      <c r="DP17" s="36"/>
      <c r="DQ17" s="36"/>
      <c r="DR17" s="36"/>
      <c r="DS17" s="36"/>
      <c r="DT17" s="36"/>
      <c r="DU17" s="36"/>
    </row>
    <row r="18" spans="1:125" s="41" customFormat="1" ht="20.100000000000001" customHeight="1" x14ac:dyDescent="0.25">
      <c r="A18" s="84" t="str">
        <f>Profit!$E$1&amp;" Your Home"</f>
        <v>Buy Your Home</v>
      </c>
      <c r="B18" s="85">
        <f t="shared" si="4"/>
        <v>10</v>
      </c>
      <c r="C18" s="86"/>
      <c r="D18" s="84"/>
      <c r="E18" s="84" t="s">
        <v>254</v>
      </c>
      <c r="F18" s="85">
        <v>1</v>
      </c>
      <c r="G18" s="87">
        <f>+Landscape!G17</f>
        <v>0</v>
      </c>
      <c r="H18" s="87">
        <f>+F18*G18</f>
        <v>0</v>
      </c>
      <c r="I18" s="88"/>
      <c r="J18" s="87"/>
      <c r="K18" s="89"/>
      <c r="L18" s="87"/>
      <c r="M18" s="87"/>
      <c r="N18" s="87">
        <f t="shared" si="3"/>
        <v>0</v>
      </c>
      <c r="O18" s="88"/>
      <c r="R18" s="35"/>
      <c r="S18" s="35"/>
      <c r="T18" s="35"/>
      <c r="U18" s="35"/>
      <c r="V18" s="35"/>
      <c r="W18" s="35"/>
      <c r="X18" s="35"/>
      <c r="Y18" s="35"/>
      <c r="Z18" s="35"/>
      <c r="AA18" s="35"/>
      <c r="AB18" s="35"/>
      <c r="AC18" s="35"/>
      <c r="AD18" s="35"/>
      <c r="AE18" s="35"/>
      <c r="AF18" s="35"/>
      <c r="AG18" s="35"/>
      <c r="AH18" s="35"/>
      <c r="AI18" s="35"/>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c r="BT18" s="36"/>
      <c r="BU18" s="36"/>
      <c r="BV18" s="36"/>
      <c r="BW18" s="36"/>
      <c r="BX18" s="36"/>
      <c r="BY18" s="36"/>
      <c r="BZ18" s="36"/>
      <c r="CA18" s="36"/>
      <c r="CB18" s="36"/>
      <c r="CC18" s="36"/>
      <c r="CD18" s="36"/>
      <c r="CE18" s="36"/>
      <c r="CF18" s="36"/>
      <c r="CG18" s="36"/>
      <c r="CH18" s="36"/>
      <c r="CI18" s="36"/>
      <c r="CJ18" s="36"/>
      <c r="CK18" s="36"/>
      <c r="CL18" s="36"/>
      <c r="CM18" s="36"/>
      <c r="CN18" s="36"/>
      <c r="CO18" s="36"/>
      <c r="CP18" s="36"/>
      <c r="CQ18" s="36"/>
      <c r="CR18" s="36"/>
      <c r="CS18" s="36"/>
      <c r="CT18" s="36"/>
      <c r="CU18" s="36"/>
      <c r="CV18" s="36"/>
      <c r="CW18" s="36"/>
      <c r="CX18" s="36"/>
      <c r="CY18" s="36"/>
      <c r="CZ18" s="36"/>
      <c r="DA18" s="36"/>
      <c r="DB18" s="36"/>
      <c r="DC18" s="36"/>
      <c r="DD18" s="36"/>
      <c r="DE18" s="36"/>
      <c r="DF18" s="36"/>
      <c r="DG18" s="36"/>
      <c r="DH18" s="36"/>
      <c r="DI18" s="36"/>
      <c r="DJ18" s="36"/>
      <c r="DK18" s="36"/>
      <c r="DL18" s="36"/>
      <c r="DM18" s="36"/>
      <c r="DN18" s="36"/>
      <c r="DO18" s="36"/>
      <c r="DP18" s="36"/>
      <c r="DQ18" s="36"/>
      <c r="DR18" s="36"/>
      <c r="DS18" s="36"/>
      <c r="DT18" s="36"/>
      <c r="DU18" s="36"/>
    </row>
    <row r="19" spans="1:125" s="41" customFormat="1" ht="20.100000000000001" customHeight="1" x14ac:dyDescent="0.25">
      <c r="A19" s="84" t="str">
        <f>Profit!$E$1&amp;" Your Home"</f>
        <v>Buy Your Home</v>
      </c>
      <c r="B19" s="85">
        <f t="shared" si="4"/>
        <v>11</v>
      </c>
      <c r="C19" s="86"/>
      <c r="D19" s="84"/>
      <c r="E19" s="84" t="s">
        <v>255</v>
      </c>
      <c r="F19" s="85">
        <v>1</v>
      </c>
      <c r="G19" s="87">
        <f>+HVAC!I18</f>
        <v>254.72</v>
      </c>
      <c r="H19" s="87">
        <f t="shared" si="2"/>
        <v>254.72</v>
      </c>
      <c r="I19" s="88"/>
      <c r="J19" s="87"/>
      <c r="K19" s="89"/>
      <c r="L19" s="87"/>
      <c r="M19" s="87"/>
      <c r="N19" s="87">
        <f t="shared" si="3"/>
        <v>0</v>
      </c>
      <c r="O19" s="88"/>
      <c r="R19" s="35"/>
      <c r="S19" s="35"/>
      <c r="T19" s="35"/>
      <c r="U19" s="35"/>
      <c r="V19" s="35"/>
      <c r="W19" s="35"/>
      <c r="X19" s="35"/>
      <c r="Y19" s="35"/>
      <c r="Z19" s="35"/>
      <c r="AA19" s="35"/>
      <c r="AB19" s="35"/>
      <c r="AC19" s="35"/>
      <c r="AD19" s="35"/>
      <c r="AE19" s="35"/>
      <c r="AF19" s="35"/>
      <c r="AG19" s="35"/>
      <c r="AH19" s="35"/>
      <c r="AI19" s="35"/>
      <c r="AP19" s="36" t="str">
        <f>IFERROR(IF(LEN(#REF!)=0,"",IF(P$27=#REF!,Milestone_Marker_Old,"")),"")</f>
        <v/>
      </c>
      <c r="AQ19" s="36" t="str">
        <f>IFERROR(IF(LEN(#REF!)=0,"",IF(Q$27=#REF!,Milestone_Marker_Old,"")),"")</f>
        <v/>
      </c>
      <c r="AR19" s="36" t="str">
        <f>IFERROR(IF(LEN(#REF!)=0,"",IF(R$27=#REF!,Milestone_Marker_Old,"")),"")</f>
        <v/>
      </c>
      <c r="AS19" s="36" t="str">
        <f>IFERROR(IF(LEN(#REF!)=0,"",IF(S$27=#REF!,Milestone_Marker_Old,"")),"")</f>
        <v/>
      </c>
      <c r="AT19" s="36" t="str">
        <f>IFERROR(IF(LEN(#REF!)=0,"",IF(T$27=#REF!,Milestone_Marker_Old,"")),"")</f>
        <v/>
      </c>
      <c r="AU19" s="36" t="str">
        <f>IFERROR(IF(LEN(#REF!)=0,"",IF(U$27=#REF!,Milestone_Marker_Old,"")),"")</f>
        <v/>
      </c>
      <c r="AV19" s="36" t="str">
        <f>IFERROR(IF(LEN(#REF!)=0,"",IF(V$27=#REF!,Milestone_Marker_Old,"")),"")</f>
        <v/>
      </c>
      <c r="AW19" s="36" t="str">
        <f>IFERROR(IF(LEN(#REF!)=0,"",IF(W$27=#REF!,Milestone_Marker_Old,"")),"")</f>
        <v/>
      </c>
      <c r="AX19" s="36" t="str">
        <f>IFERROR(IF(LEN(#REF!)=0,"",IF(X$27=#REF!,Milestone_Marker_Old,"")),"")</f>
        <v/>
      </c>
      <c r="AY19" s="36" t="str">
        <f>IFERROR(IF(LEN(#REF!)=0,"",IF(Y$27=#REF!,Milestone_Marker_Old,"")),"")</f>
        <v/>
      </c>
      <c r="AZ19" s="36" t="str">
        <f>IFERROR(IF(LEN(#REF!)=0,"",IF(Z$27=#REF!,Milestone_Marker_Old,"")),"")</f>
        <v/>
      </c>
      <c r="BA19" s="36" t="str">
        <f>IFERROR(IF(LEN(#REF!)=0,"",IF(AA$27=#REF!,Milestone_Marker_Old,"")),"")</f>
        <v/>
      </c>
      <c r="BB19" s="36" t="str">
        <f>IFERROR(IF(LEN(#REF!)=0,"",IF(AB$27=#REF!,Milestone_Marker_Old,"")),"")</f>
        <v/>
      </c>
      <c r="BC19" s="36" t="str">
        <f>IFERROR(IF(LEN(#REF!)=0,"",IF(AC$27=#REF!,Milestone_Marker_Old,"")),"")</f>
        <v/>
      </c>
      <c r="BD19" s="36" t="str">
        <f>IFERROR(IF(LEN(#REF!)=0,"",IF(AD$27=#REF!,Milestone_Marker_Old,"")),"")</f>
        <v/>
      </c>
      <c r="BE19" s="36" t="str">
        <f>IFERROR(IF(LEN(#REF!)=0,"",IF(AE$27=#REF!,Milestone_Marker_Old,"")),"")</f>
        <v/>
      </c>
      <c r="BF19" s="36" t="str">
        <f>IFERROR(IF(LEN(#REF!)=0,"",IF(AF$27=#REF!,Milestone_Marker_Old,"")),"")</f>
        <v/>
      </c>
      <c r="BG19" s="36" t="str">
        <f>IFERROR(IF(LEN(#REF!)=0,"",IF(AG$27=#REF!,Milestone_Marker_Old,"")),"")</f>
        <v/>
      </c>
      <c r="BH19" s="36" t="str">
        <f>IFERROR(IF(LEN(#REF!)=0,"",IF(AH$27=#REF!,Milestone_Marker_Old,"")),"")</f>
        <v/>
      </c>
      <c r="BI19" s="36" t="str">
        <f>IFERROR(IF(LEN(#REF!)=0,"",IF(AI$27=#REF!,Milestone_Marker_Old,"")),"")</f>
        <v/>
      </c>
      <c r="BJ19" s="36" t="str">
        <f>IFERROR(IF(LEN(#REF!)=0,"",IF(AJ$27=#REF!,Milestone_Marker_Old,"")),"")</f>
        <v/>
      </c>
      <c r="BK19" s="36" t="str">
        <f>IFERROR(IF(LEN(#REF!)=0,"",IF(AK$27=#REF!,Milestone_Marker_Old,"")),"")</f>
        <v/>
      </c>
      <c r="BL19" s="36" t="str">
        <f>IFERROR(IF(LEN(#REF!)=0,"",IF(AL$27=#REF!,Milestone_Marker_Old,"")),"")</f>
        <v/>
      </c>
      <c r="BM19" s="36" t="str">
        <f>IFERROR(IF(LEN(#REF!)=0,"",IF(AM$27=#REF!,Milestone_Marker_Old,"")),"")</f>
        <v/>
      </c>
      <c r="BN19" s="36" t="str">
        <f>IFERROR(IF(LEN(#REF!)=0,"",IF(AN$27=#REF!,Milestone_Marker_Old,"")),"")</f>
        <v/>
      </c>
      <c r="BO19" s="36" t="str">
        <f>IFERROR(IF(LEN(#REF!)=0,"",IF(AO$27=#REF!,Milestone_Marker_Old,"")),"")</f>
        <v/>
      </c>
      <c r="BP19" s="36" t="str">
        <f>IFERROR(IF(LEN(#REF!)=0,"",IF(AP$27=#REF!,Milestone_Marker_Old,"")),"")</f>
        <v/>
      </c>
      <c r="BQ19" s="36" t="str">
        <f>IFERROR(IF(LEN(#REF!)=0,"",IF(AQ$27=#REF!,Milestone_Marker_Old,"")),"")</f>
        <v/>
      </c>
      <c r="BR19" s="36" t="str">
        <f>IFERROR(IF(LEN(#REF!)=0,"",IF(AR$27=#REF!,Milestone_Marker_Old,"")),"")</f>
        <v/>
      </c>
      <c r="BS19" s="36" t="str">
        <f>IFERROR(IF(LEN(#REF!)=0,"",IF(AS$27=#REF!,Milestone_Marker_Old,"")),"")</f>
        <v/>
      </c>
      <c r="BT19" s="36" t="str">
        <f>IFERROR(IF(LEN(#REF!)=0,"",IF(AT$27=#REF!,Milestone_Marker_Old,"")),"")</f>
        <v/>
      </c>
      <c r="BU19" s="36" t="str">
        <f>IFERROR(IF(LEN(#REF!)=0,"",IF(AU$27=#REF!,Milestone_Marker_Old,"")),"")</f>
        <v/>
      </c>
      <c r="BV19" s="36" t="str">
        <f>IFERROR(IF(LEN(#REF!)=0,"",IF(AV$27=#REF!,Milestone_Marker_Old,"")),"")</f>
        <v/>
      </c>
      <c r="BW19" s="36" t="str">
        <f>IFERROR(IF(LEN(#REF!)=0,"",IF(AW$27=#REF!,Milestone_Marker_Old,"")),"")</f>
        <v/>
      </c>
      <c r="BX19" s="36" t="str">
        <f>IFERROR(IF(LEN(#REF!)=0,"",IF(AX$27=#REF!,Milestone_Marker_Old,"")),"")</f>
        <v/>
      </c>
      <c r="BY19" s="36" t="str">
        <f>IFERROR(IF(LEN(#REF!)=0,"",IF(AY$27=#REF!,Milestone_Marker_Old,"")),"")</f>
        <v/>
      </c>
      <c r="BZ19" s="36" t="str">
        <f>IFERROR(IF(LEN(#REF!)=0,"",IF(AZ$27=#REF!,Milestone_Marker_Old,"")),"")</f>
        <v/>
      </c>
      <c r="CA19" s="36" t="str">
        <f>IFERROR(IF(LEN(#REF!)=0,"",IF(BA$27=#REF!,Milestone_Marker_Old,"")),"")</f>
        <v/>
      </c>
      <c r="CB19" s="36" t="str">
        <f>IFERROR(IF(LEN(#REF!)=0,"",IF(BB$27=#REF!,Milestone_Marker_Old,"")),"")</f>
        <v/>
      </c>
      <c r="CC19" s="36" t="str">
        <f>IFERROR(IF(LEN(#REF!)=0,"",IF(BC$27=#REF!,Milestone_Marker_Old,"")),"")</f>
        <v/>
      </c>
      <c r="CD19" s="36" t="str">
        <f>IFERROR(IF(LEN(#REF!)=0,"",IF(BD$27=#REF!,Milestone_Marker_Old,"")),"")</f>
        <v/>
      </c>
      <c r="CE19" s="36" t="str">
        <f>IFERROR(IF(LEN(#REF!)=0,"",IF(BE$27=#REF!,Milestone_Marker_Old,"")),"")</f>
        <v/>
      </c>
      <c r="CF19" s="36" t="str">
        <f>IFERROR(IF(LEN(#REF!)=0,"",IF(BF$27=#REF!,Milestone_Marker_Old,"")),"")</f>
        <v/>
      </c>
      <c r="CG19" s="36" t="str">
        <f>IFERROR(IF(LEN(#REF!)=0,"",IF(BG$27=#REF!,Milestone_Marker_Old,"")),"")</f>
        <v/>
      </c>
      <c r="CH19" s="36" t="str">
        <f>IFERROR(IF(LEN(#REF!)=0,"",IF(BH$27=#REF!,Milestone_Marker_Old,"")),"")</f>
        <v/>
      </c>
      <c r="CI19" s="36" t="str">
        <f>IFERROR(IF(LEN(#REF!)=0,"",IF(BI$27=#REF!,Milestone_Marker_Old,"")),"")</f>
        <v/>
      </c>
      <c r="CJ19" s="36" t="str">
        <f>IFERROR(IF(LEN(#REF!)=0,"",IF(BJ$27=#REF!,Milestone_Marker_Old,"")),"")</f>
        <v/>
      </c>
      <c r="CK19" s="36" t="str">
        <f>IFERROR(IF(LEN(#REF!)=0,"",IF(BK$27=#REF!,Milestone_Marker_Old,"")),"")</f>
        <v/>
      </c>
      <c r="CL19" s="36" t="str">
        <f>IFERROR(IF(LEN(#REF!)=0,"",IF(BL$27=#REF!,Milestone_Marker_Old,"")),"")</f>
        <v/>
      </c>
      <c r="CM19" s="36" t="str">
        <f>IFERROR(IF(LEN(#REF!)=0,"",IF(BM$27=#REF!,Milestone_Marker_Old,"")),"")</f>
        <v/>
      </c>
      <c r="CN19" s="36" t="str">
        <f>IFERROR(IF(LEN(#REF!)=0,"",IF(BN$27=#REF!,Milestone_Marker_Old,"")),"")</f>
        <v/>
      </c>
      <c r="CO19" s="36" t="str">
        <f>IFERROR(IF(LEN(#REF!)=0,"",IF(BO$27=#REF!,Milestone_Marker_Old,"")),"")</f>
        <v/>
      </c>
      <c r="CP19" s="36" t="str">
        <f>IFERROR(IF(LEN(#REF!)=0,"",IF(BP$27=#REF!,Milestone_Marker_Old,"")),"")</f>
        <v/>
      </c>
      <c r="CQ19" s="36" t="str">
        <f>IFERROR(IF(LEN(#REF!)=0,"",IF(BQ$27=#REF!,Milestone_Marker_Old,"")),"")</f>
        <v/>
      </c>
      <c r="CR19" s="36" t="str">
        <f>IFERROR(IF(LEN(#REF!)=0,"",IF(BR$27=#REF!,Milestone_Marker_Old,"")),"")</f>
        <v/>
      </c>
      <c r="CS19" s="36" t="str">
        <f>IFERROR(IF(LEN(#REF!)=0,"",IF(BS$27=#REF!,Milestone_Marker_Old,"")),"")</f>
        <v/>
      </c>
      <c r="CT19" s="36" t="str">
        <f>IFERROR(IF(LEN(#REF!)=0,"",IF(BT$27=#REF!,Milestone_Marker_Old,"")),"")</f>
        <v/>
      </c>
      <c r="CU19" s="36" t="str">
        <f>IFERROR(IF(LEN(#REF!)=0,"",IF(BU$27=#REF!,Milestone_Marker_Old,"")),"")</f>
        <v/>
      </c>
      <c r="CV19" s="36" t="str">
        <f>IFERROR(IF(LEN(#REF!)=0,"",IF(BV$27=#REF!,Milestone_Marker_Old,"")),"")</f>
        <v/>
      </c>
      <c r="CW19" s="36" t="str">
        <f>IFERROR(IF(LEN(#REF!)=0,"",IF(BW$27=#REF!,Milestone_Marker_Old,"")),"")</f>
        <v/>
      </c>
      <c r="CX19" s="36" t="str">
        <f>IFERROR(IF(LEN(#REF!)=0,"",IF(BX$27=#REF!,Milestone_Marker_Old,"")),"")</f>
        <v/>
      </c>
      <c r="CY19" s="36" t="str">
        <f>IFERROR(IF(LEN(#REF!)=0,"",IF(BY$27=#REF!,Milestone_Marker_Old,"")),"")</f>
        <v/>
      </c>
      <c r="CZ19" s="36" t="str">
        <f>IFERROR(IF(LEN(#REF!)=0,"",IF(BZ$27=#REF!,Milestone_Marker_Old,"")),"")</f>
        <v/>
      </c>
      <c r="DA19" s="36" t="str">
        <f>IFERROR(IF(LEN(#REF!)=0,"",IF(CA$27=#REF!,Milestone_Marker_Old,"")),"")</f>
        <v/>
      </c>
      <c r="DB19" s="36" t="str">
        <f>IFERROR(IF(LEN(#REF!)=0,"",IF(CB$27=#REF!,Milestone_Marker_Old,"")),"")</f>
        <v/>
      </c>
      <c r="DC19" s="36" t="str">
        <f>IFERROR(IF(LEN(#REF!)=0,"",IF(CC$27=#REF!,Milestone_Marker_Old,"")),"")</f>
        <v/>
      </c>
      <c r="DD19" s="36" t="str">
        <f>IFERROR(IF(LEN(#REF!)=0,"",IF(CD$27=#REF!,Milestone_Marker_Old,"")),"")</f>
        <v/>
      </c>
      <c r="DE19" s="36" t="str">
        <f>IFERROR(IF(LEN(#REF!)=0,"",IF(CE$27=#REF!,Milestone_Marker_Old,"")),"")</f>
        <v/>
      </c>
      <c r="DF19" s="36" t="str">
        <f>IFERROR(IF(LEN(#REF!)=0,"",IF(CF$27=#REF!,Milestone_Marker_Old,"")),"")</f>
        <v/>
      </c>
      <c r="DG19" s="36" t="str">
        <f>IFERROR(IF(LEN(#REF!)=0,"",IF(CG$27=#REF!,Milestone_Marker_Old,"")),"")</f>
        <v/>
      </c>
      <c r="DH19" s="36" t="str">
        <f>IFERROR(IF(LEN(#REF!)=0,"",IF(CH$27=#REF!,Milestone_Marker_Old,"")),"")</f>
        <v/>
      </c>
      <c r="DI19" s="36" t="str">
        <f>IFERROR(IF(LEN(#REF!)=0,"",IF(CI$27=#REF!,Milestone_Marker_Old,"")),"")</f>
        <v/>
      </c>
      <c r="DJ19" s="36" t="str">
        <f>IFERROR(IF(LEN(#REF!)=0,"",IF(CJ$27=#REF!,Milestone_Marker_Old,"")),"")</f>
        <v/>
      </c>
      <c r="DK19" s="36" t="str">
        <f>IFERROR(IF(LEN(#REF!)=0,"",IF(CK$27=#REF!,Milestone_Marker_Old,"")),"")</f>
        <v/>
      </c>
      <c r="DL19" s="36" t="str">
        <f>IFERROR(IF(LEN(#REF!)=0,"",IF(CL$27=#REF!,Milestone_Marker_Old,"")),"")</f>
        <v/>
      </c>
      <c r="DM19" s="36" t="str">
        <f>IFERROR(IF(LEN(#REF!)=0,"",IF(CM$27=#REF!,Milestone_Marker_Old,"")),"")</f>
        <v/>
      </c>
      <c r="DN19" s="36" t="str">
        <f>IFERROR(IF(LEN(#REF!)=0,"",IF(CN$27=#REF!,Milestone_Marker_Old,"")),"")</f>
        <v/>
      </c>
      <c r="DO19" s="36" t="str">
        <f>IFERROR(IF(LEN(#REF!)=0,"",IF(CO$27=#REF!,Milestone_Marker_Old,"")),"")</f>
        <v/>
      </c>
      <c r="DP19" s="36" t="str">
        <f>IFERROR(IF(LEN(#REF!)=0,"",IF(CP$27=#REF!,Milestone_Marker_Old,"")),"")</f>
        <v/>
      </c>
      <c r="DQ19" s="36" t="str">
        <f>IFERROR(IF(LEN(#REF!)=0,"",IF(CQ$27=#REF!,Milestone_Marker_Old,"")),"")</f>
        <v/>
      </c>
      <c r="DR19" s="36" t="str">
        <f>IFERROR(IF(LEN(#REF!)=0,"",IF(CR$27=#REF!,Milestone_Marker_Old,"")),"")</f>
        <v/>
      </c>
      <c r="DS19" s="36" t="str">
        <f>IFERROR(IF(LEN(#REF!)=0,"",IF(CS$27=#REF!,Milestone_Marker_Old,"")),"")</f>
        <v/>
      </c>
      <c r="DT19" s="36" t="str">
        <f>IFERROR(IF(LEN(#REF!)=0,"",IF(CT$27=#REF!,Milestone_Marker_Old,"")),"")</f>
        <v/>
      </c>
      <c r="DU19" s="36" t="str">
        <f>IFERROR(IF(LEN(#REF!)=0,"",IF(CU$27=#REF!,Milestone_Marker_Old,"")),"")</f>
        <v/>
      </c>
    </row>
    <row r="20" spans="1:125" ht="20.100000000000001" customHeight="1" x14ac:dyDescent="0.25">
      <c r="A20" s="84" t="str">
        <f>Profit!$E$1&amp;" Your Home"</f>
        <v>Buy Your Home</v>
      </c>
      <c r="B20" s="85">
        <f t="shared" si="4"/>
        <v>12</v>
      </c>
      <c r="C20" s="86"/>
      <c r="D20" s="84"/>
      <c r="E20" s="84" t="s">
        <v>647</v>
      </c>
      <c r="F20" s="85">
        <v>0</v>
      </c>
      <c r="G20" s="87">
        <f>+Furnishing!G18</f>
        <v>0</v>
      </c>
      <c r="H20" s="87">
        <f t="shared" si="2"/>
        <v>0</v>
      </c>
      <c r="I20" s="88"/>
      <c r="J20" s="87"/>
      <c r="K20" s="89"/>
      <c r="L20" s="87"/>
      <c r="M20" s="87"/>
      <c r="N20" s="87"/>
      <c r="O20" s="88"/>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c r="BT20" s="36"/>
      <c r="BU20" s="36"/>
      <c r="BV20" s="36"/>
      <c r="BW20" s="36"/>
      <c r="BX20" s="36"/>
      <c r="BY20" s="36"/>
      <c r="BZ20" s="36"/>
      <c r="CA20" s="36"/>
      <c r="CB20" s="36"/>
      <c r="CC20" s="36"/>
      <c r="CD20" s="36"/>
      <c r="CE20" s="36"/>
      <c r="CF20" s="36"/>
      <c r="CG20" s="36"/>
      <c r="CH20" s="36"/>
      <c r="CI20" s="36"/>
      <c r="CJ20" s="36"/>
      <c r="CK20" s="36"/>
      <c r="CL20" s="36"/>
      <c r="CM20" s="36"/>
      <c r="CN20" s="36"/>
      <c r="CO20" s="36"/>
      <c r="CP20" s="36"/>
      <c r="CQ20" s="36"/>
      <c r="CR20" s="36"/>
      <c r="CS20" s="36"/>
      <c r="CT20" s="36"/>
      <c r="CU20" s="36"/>
      <c r="CV20" s="36"/>
      <c r="CW20" s="36"/>
      <c r="CX20" s="36"/>
      <c r="CY20" s="36"/>
      <c r="CZ20" s="36"/>
      <c r="DA20" s="36"/>
      <c r="DB20" s="36"/>
      <c r="DC20" s="36"/>
      <c r="DD20" s="36"/>
      <c r="DE20" s="36"/>
      <c r="DF20" s="36"/>
      <c r="DG20" s="36"/>
      <c r="DH20" s="36"/>
      <c r="DI20" s="36"/>
      <c r="DJ20" s="36"/>
      <c r="DK20" s="36"/>
      <c r="DL20" s="36"/>
      <c r="DM20" s="36"/>
      <c r="DN20" s="36"/>
      <c r="DO20" s="36"/>
      <c r="DP20" s="36"/>
      <c r="DQ20" s="36"/>
      <c r="DR20" s="36"/>
      <c r="DS20" s="36"/>
      <c r="DT20" s="36"/>
      <c r="DU20" s="36"/>
    </row>
    <row r="21" spans="1:125" s="41" customFormat="1" ht="21" x14ac:dyDescent="0.25">
      <c r="A21" s="90"/>
      <c r="B21" s="91"/>
      <c r="C21" s="92"/>
      <c r="D21" s="92"/>
      <c r="E21" s="93" t="str">
        <f>Profit!E1&amp;" Your Home's Paid Contractors"</f>
        <v>Buy Your Home's Paid Contractors</v>
      </c>
      <c r="F21" s="94"/>
      <c r="G21" s="92"/>
      <c r="H21" s="92"/>
      <c r="I21" s="92"/>
      <c r="J21" s="92"/>
      <c r="K21" s="95"/>
      <c r="L21" s="92"/>
      <c r="M21" s="92"/>
      <c r="N21" s="92"/>
      <c r="O21" s="92"/>
      <c r="R21" s="42"/>
      <c r="S21" s="42"/>
      <c r="T21" s="42"/>
      <c r="U21" s="42"/>
      <c r="V21" s="42"/>
      <c r="W21" s="42"/>
      <c r="X21" s="42"/>
      <c r="Y21" s="42"/>
      <c r="Z21" s="42"/>
      <c r="AA21" s="42"/>
      <c r="AB21" s="42"/>
      <c r="AC21" s="42"/>
      <c r="AD21" s="42"/>
      <c r="AE21" s="42"/>
      <c r="AF21" s="42"/>
      <c r="AG21" s="42"/>
      <c r="AH21" s="42"/>
      <c r="AI21" s="42"/>
      <c r="AJ21" s="42"/>
      <c r="AK21" s="42"/>
      <c r="AL21" s="42"/>
      <c r="AM21" s="42"/>
      <c r="AN21" s="42"/>
      <c r="AO21" s="42"/>
      <c r="AP21" s="36" t="str">
        <f>IFERROR(IF(LEN(#REF!)=0,"",IF(P$27=#REF!,Milestone_Marker_Old,"")),"")</f>
        <v/>
      </c>
      <c r="AQ21" s="36" t="str">
        <f>IFERROR(IF(LEN(#REF!)=0,"",IF(Q$27=#REF!,Milestone_Marker_Old,"")),"")</f>
        <v/>
      </c>
      <c r="AR21" s="36" t="str">
        <f>IFERROR(IF(LEN(#REF!)=0,"",IF(R$27=#REF!,Milestone_Marker_Old,"")),"")</f>
        <v/>
      </c>
      <c r="AS21" s="36" t="str">
        <f>IFERROR(IF(LEN(#REF!)=0,"",IF(S$27=#REF!,Milestone_Marker_Old,"")),"")</f>
        <v/>
      </c>
      <c r="AT21" s="36" t="str">
        <f>IFERROR(IF(LEN(#REF!)=0,"",IF(T$27=#REF!,Milestone_Marker_Old,"")),"")</f>
        <v/>
      </c>
      <c r="AU21" s="36" t="str">
        <f>IFERROR(IF(LEN(#REF!)=0,"",IF(U$27=#REF!,Milestone_Marker_Old,"")),"")</f>
        <v/>
      </c>
      <c r="AV21" s="36" t="str">
        <f>IFERROR(IF(LEN(#REF!)=0,"",IF(V$27=#REF!,Milestone_Marker_Old,"")),"")</f>
        <v/>
      </c>
      <c r="AW21" s="36" t="str">
        <f>IFERROR(IF(LEN(#REF!)=0,"",IF(W$27=#REF!,Milestone_Marker_Old,"")),"")</f>
        <v/>
      </c>
      <c r="AX21" s="36" t="str">
        <f>IFERROR(IF(LEN(#REF!)=0,"",IF(X$27=#REF!,Milestone_Marker_Old,"")),"")</f>
        <v/>
      </c>
      <c r="AY21" s="36" t="str">
        <f>IFERROR(IF(LEN(#REF!)=0,"",IF(Y$27=#REF!,Milestone_Marker_Old,"")),"")</f>
        <v/>
      </c>
      <c r="AZ21" s="36" t="str">
        <f>IFERROR(IF(LEN(#REF!)=0,"",IF(Z$27=#REF!,Milestone_Marker_Old,"")),"")</f>
        <v/>
      </c>
      <c r="BA21" s="36" t="str">
        <f>IFERROR(IF(LEN(#REF!)=0,"",IF(AA$27=#REF!,Milestone_Marker_Old,"")),"")</f>
        <v/>
      </c>
      <c r="BB21" s="36" t="str">
        <f>IFERROR(IF(LEN(#REF!)=0,"",IF(AB$27=#REF!,Milestone_Marker_Old,"")),"")</f>
        <v/>
      </c>
      <c r="BC21" s="36" t="str">
        <f>IFERROR(IF(LEN(#REF!)=0,"",IF(AC$27=#REF!,Milestone_Marker_Old,"")),"")</f>
        <v/>
      </c>
      <c r="BD21" s="36" t="str">
        <f>IFERROR(IF(LEN(#REF!)=0,"",IF(AD$27=#REF!,Milestone_Marker_Old,"")),"")</f>
        <v/>
      </c>
      <c r="BE21" s="36" t="str">
        <f>IFERROR(IF(LEN(#REF!)=0,"",IF(AE$27=#REF!,Milestone_Marker_Old,"")),"")</f>
        <v/>
      </c>
      <c r="BF21" s="36" t="str">
        <f>IFERROR(IF(LEN(#REF!)=0,"",IF(AF$27=#REF!,Milestone_Marker_Old,"")),"")</f>
        <v/>
      </c>
      <c r="BG21" s="36" t="str">
        <f>IFERROR(IF(LEN(#REF!)=0,"",IF(AG$27=#REF!,Milestone_Marker_Old,"")),"")</f>
        <v/>
      </c>
      <c r="BH21" s="36" t="str">
        <f>IFERROR(IF(LEN(#REF!)=0,"",IF(AH$27=#REF!,Milestone_Marker_Old,"")),"")</f>
        <v/>
      </c>
      <c r="BI21" s="36" t="str">
        <f>IFERROR(IF(LEN(#REF!)=0,"",IF(AI$27=#REF!,Milestone_Marker_Old,"")),"")</f>
        <v/>
      </c>
      <c r="BJ21" s="36" t="str">
        <f>IFERROR(IF(LEN(#REF!)=0,"",IF(AJ$27=#REF!,Milestone_Marker_Old,"")),"")</f>
        <v/>
      </c>
      <c r="BK21" s="36" t="str">
        <f>IFERROR(IF(LEN(#REF!)=0,"",IF(AK$27=#REF!,Milestone_Marker_Old,"")),"")</f>
        <v/>
      </c>
      <c r="BL21" s="36" t="str">
        <f>IFERROR(IF(LEN(#REF!)=0,"",IF(AL$27=#REF!,Milestone_Marker_Old,"")),"")</f>
        <v/>
      </c>
      <c r="BM21" s="36" t="str">
        <f>IFERROR(IF(LEN(#REF!)=0,"",IF(AM$27=#REF!,Milestone_Marker_Old,"")),"")</f>
        <v/>
      </c>
      <c r="BN21" s="36" t="str">
        <f>IFERROR(IF(LEN(#REF!)=0,"",IF(AN$27=#REF!,Milestone_Marker_Old,"")),"")</f>
        <v/>
      </c>
      <c r="BO21" s="36" t="str">
        <f>IFERROR(IF(LEN(#REF!)=0,"",IF(AO$27=#REF!,Milestone_Marker_Old,"")),"")</f>
        <v/>
      </c>
      <c r="BP21" s="36" t="str">
        <f>IFERROR(IF(LEN(#REF!)=0,"",IF(AP$27=#REF!,Milestone_Marker_Old,"")),"")</f>
        <v/>
      </c>
      <c r="BQ21" s="36" t="str">
        <f>IFERROR(IF(LEN(#REF!)=0,"",IF(AQ$27=#REF!,Milestone_Marker_Old,"")),"")</f>
        <v/>
      </c>
      <c r="BR21" s="36" t="str">
        <f>IFERROR(IF(LEN(#REF!)=0,"",IF(AR$27=#REF!,Milestone_Marker_Old,"")),"")</f>
        <v/>
      </c>
      <c r="BS21" s="36" t="str">
        <f>IFERROR(IF(LEN(#REF!)=0,"",IF(AS$27=#REF!,Milestone_Marker_Old,"")),"")</f>
        <v/>
      </c>
      <c r="BT21" s="36" t="str">
        <f>IFERROR(IF(LEN(#REF!)=0,"",IF(AT$27=#REF!,Milestone_Marker_Old,"")),"")</f>
        <v/>
      </c>
      <c r="BU21" s="36" t="str">
        <f>IFERROR(IF(LEN(#REF!)=0,"",IF(AU$27=#REF!,Milestone_Marker_Old,"")),"")</f>
        <v/>
      </c>
      <c r="BV21" s="36" t="str">
        <f>IFERROR(IF(LEN(#REF!)=0,"",IF(AV$27=#REF!,Milestone_Marker_Old,"")),"")</f>
        <v/>
      </c>
      <c r="BW21" s="36" t="str">
        <f>IFERROR(IF(LEN(#REF!)=0,"",IF(AW$27=#REF!,Milestone_Marker_Old,"")),"")</f>
        <v/>
      </c>
      <c r="BX21" s="36" t="str">
        <f>IFERROR(IF(LEN(#REF!)=0,"",IF(AX$27=#REF!,Milestone_Marker_Old,"")),"")</f>
        <v/>
      </c>
      <c r="BY21" s="36" t="str">
        <f>IFERROR(IF(LEN(#REF!)=0,"",IF(AY$27=#REF!,Milestone_Marker_Old,"")),"")</f>
        <v/>
      </c>
      <c r="BZ21" s="36" t="str">
        <f>IFERROR(IF(LEN(#REF!)=0,"",IF(AZ$27=#REF!,Milestone_Marker_Old,"")),"")</f>
        <v/>
      </c>
      <c r="CA21" s="36" t="str">
        <f>IFERROR(IF(LEN(#REF!)=0,"",IF(BA$27=#REF!,Milestone_Marker_Old,"")),"")</f>
        <v/>
      </c>
      <c r="CB21" s="36" t="str">
        <f>IFERROR(IF(LEN(#REF!)=0,"",IF(BB$27=#REF!,Milestone_Marker_Old,"")),"")</f>
        <v/>
      </c>
      <c r="CC21" s="36" t="str">
        <f>IFERROR(IF(LEN(#REF!)=0,"",IF(BC$27=#REF!,Milestone_Marker_Old,"")),"")</f>
        <v/>
      </c>
      <c r="CD21" s="36" t="str">
        <f>IFERROR(IF(LEN(#REF!)=0,"",IF(BD$27=#REF!,Milestone_Marker_Old,"")),"")</f>
        <v/>
      </c>
      <c r="CE21" s="36" t="str">
        <f>IFERROR(IF(LEN(#REF!)=0,"",IF(BE$27=#REF!,Milestone_Marker_Old,"")),"")</f>
        <v/>
      </c>
      <c r="CF21" s="36" t="str">
        <f>IFERROR(IF(LEN(#REF!)=0,"",IF(BF$27=#REF!,Milestone_Marker_Old,"")),"")</f>
        <v/>
      </c>
      <c r="CG21" s="36" t="str">
        <f>IFERROR(IF(LEN(#REF!)=0,"",IF(BG$27=#REF!,Milestone_Marker_Old,"")),"")</f>
        <v/>
      </c>
      <c r="CH21" s="36" t="str">
        <f>IFERROR(IF(LEN(#REF!)=0,"",IF(BH$27=#REF!,Milestone_Marker_Old,"")),"")</f>
        <v/>
      </c>
      <c r="CI21" s="36" t="str">
        <f>IFERROR(IF(LEN(#REF!)=0,"",IF(BI$27=#REF!,Milestone_Marker_Old,"")),"")</f>
        <v/>
      </c>
      <c r="CJ21" s="36" t="str">
        <f>IFERROR(IF(LEN(#REF!)=0,"",IF(BJ$27=#REF!,Milestone_Marker_Old,"")),"")</f>
        <v/>
      </c>
      <c r="CK21" s="36" t="str">
        <f>IFERROR(IF(LEN(#REF!)=0,"",IF(BK$27=#REF!,Milestone_Marker_Old,"")),"")</f>
        <v/>
      </c>
      <c r="CL21" s="36" t="str">
        <f>IFERROR(IF(LEN(#REF!)=0,"",IF(BL$27=#REF!,Milestone_Marker_Old,"")),"")</f>
        <v/>
      </c>
      <c r="CM21" s="36" t="str">
        <f>IFERROR(IF(LEN(#REF!)=0,"",IF(BM$27=#REF!,Milestone_Marker_Old,"")),"")</f>
        <v/>
      </c>
      <c r="CN21" s="36" t="str">
        <f>IFERROR(IF(LEN(#REF!)=0,"",IF(BN$27=#REF!,Milestone_Marker_Old,"")),"")</f>
        <v/>
      </c>
      <c r="CO21" s="36" t="str">
        <f>IFERROR(IF(LEN(#REF!)=0,"",IF(BO$27=#REF!,Milestone_Marker_Old,"")),"")</f>
        <v/>
      </c>
      <c r="CP21" s="36" t="str">
        <f>IFERROR(IF(LEN(#REF!)=0,"",IF(BP$27=#REF!,Milestone_Marker_Old,"")),"")</f>
        <v/>
      </c>
      <c r="CQ21" s="36" t="str">
        <f>IFERROR(IF(LEN(#REF!)=0,"",IF(BQ$27=#REF!,Milestone_Marker_Old,"")),"")</f>
        <v/>
      </c>
      <c r="CR21" s="36" t="str">
        <f>IFERROR(IF(LEN(#REF!)=0,"",IF(BR$27=#REF!,Milestone_Marker_Old,"")),"")</f>
        <v/>
      </c>
      <c r="CS21" s="36" t="str">
        <f>IFERROR(IF(LEN(#REF!)=0,"",IF(BS$27=#REF!,Milestone_Marker_Old,"")),"")</f>
        <v/>
      </c>
      <c r="CT21" s="36" t="str">
        <f>IFERROR(IF(LEN(#REF!)=0,"",IF(BT$27=#REF!,Milestone_Marker_Old,"")),"")</f>
        <v/>
      </c>
      <c r="CU21" s="36" t="str">
        <f>IFERROR(IF(LEN(#REF!)=0,"",IF(BU$27=#REF!,Milestone_Marker_Old,"")),"")</f>
        <v/>
      </c>
      <c r="CV21" s="36" t="str">
        <f>IFERROR(IF(LEN(#REF!)=0,"",IF(BV$27=#REF!,Milestone_Marker_Old,"")),"")</f>
        <v/>
      </c>
      <c r="CW21" s="36" t="str">
        <f>IFERROR(IF(LEN(#REF!)=0,"",IF(BW$27=#REF!,Milestone_Marker_Old,"")),"")</f>
        <v/>
      </c>
      <c r="CX21" s="36" t="str">
        <f>IFERROR(IF(LEN(#REF!)=0,"",IF(BX$27=#REF!,Milestone_Marker_Old,"")),"")</f>
        <v/>
      </c>
      <c r="CY21" s="36" t="str">
        <f>IFERROR(IF(LEN(#REF!)=0,"",IF(BY$27=#REF!,Milestone_Marker_Old,"")),"")</f>
        <v/>
      </c>
      <c r="CZ21" s="36" t="str">
        <f>IFERROR(IF(LEN(#REF!)=0,"",IF(BZ$27=#REF!,Milestone_Marker_Old,"")),"")</f>
        <v/>
      </c>
      <c r="DA21" s="36" t="str">
        <f>IFERROR(IF(LEN(#REF!)=0,"",IF(CA$27=#REF!,Milestone_Marker_Old,"")),"")</f>
        <v/>
      </c>
      <c r="DB21" s="36" t="str">
        <f>IFERROR(IF(LEN(#REF!)=0,"",IF(CB$27=#REF!,Milestone_Marker_Old,"")),"")</f>
        <v/>
      </c>
      <c r="DC21" s="36" t="str">
        <f>IFERROR(IF(LEN(#REF!)=0,"",IF(CC$27=#REF!,Milestone_Marker_Old,"")),"")</f>
        <v/>
      </c>
      <c r="DD21" s="36" t="str">
        <f>IFERROR(IF(LEN(#REF!)=0,"",IF(CD$27=#REF!,Milestone_Marker_Old,"")),"")</f>
        <v/>
      </c>
      <c r="DE21" s="36" t="str">
        <f>IFERROR(IF(LEN(#REF!)=0,"",IF(CE$27=#REF!,Milestone_Marker_Old,"")),"")</f>
        <v/>
      </c>
      <c r="DF21" s="36" t="str">
        <f>IFERROR(IF(LEN(#REF!)=0,"",IF(CF$27=#REF!,Milestone_Marker_Old,"")),"")</f>
        <v/>
      </c>
      <c r="DG21" s="36" t="str">
        <f>IFERROR(IF(LEN(#REF!)=0,"",IF(CG$27=#REF!,Milestone_Marker_Old,"")),"")</f>
        <v/>
      </c>
      <c r="DH21" s="36" t="str">
        <f>IFERROR(IF(LEN(#REF!)=0,"",IF(CH$27=#REF!,Milestone_Marker_Old,"")),"")</f>
        <v/>
      </c>
      <c r="DI21" s="36" t="str">
        <f>IFERROR(IF(LEN(#REF!)=0,"",IF(CI$27=#REF!,Milestone_Marker_Old,"")),"")</f>
        <v/>
      </c>
      <c r="DJ21" s="36" t="str">
        <f>IFERROR(IF(LEN(#REF!)=0,"",IF(CJ$27=#REF!,Milestone_Marker_Old,"")),"")</f>
        <v/>
      </c>
      <c r="DK21" s="36" t="str">
        <f>IFERROR(IF(LEN(#REF!)=0,"",IF(CK$27=#REF!,Milestone_Marker_Old,"")),"")</f>
        <v/>
      </c>
      <c r="DL21" s="36" t="str">
        <f>IFERROR(IF(LEN(#REF!)=0,"",IF(CL$27=#REF!,Milestone_Marker_Old,"")),"")</f>
        <v/>
      </c>
      <c r="DM21" s="36" t="str">
        <f>IFERROR(IF(LEN(#REF!)=0,"",IF(CM$27=#REF!,Milestone_Marker_Old,"")),"")</f>
        <v/>
      </c>
      <c r="DN21" s="36" t="str">
        <f>IFERROR(IF(LEN(#REF!)=0,"",IF(CN$27=#REF!,Milestone_Marker_Old,"")),"")</f>
        <v/>
      </c>
      <c r="DO21" s="36" t="str">
        <f>IFERROR(IF(LEN(#REF!)=0,"",IF(CO$27=#REF!,Milestone_Marker_Old,"")),"")</f>
        <v/>
      </c>
      <c r="DP21" s="36" t="str">
        <f>IFERROR(IF(LEN(#REF!)=0,"",IF(CP$27=#REF!,Milestone_Marker_Old,"")),"")</f>
        <v/>
      </c>
      <c r="DQ21" s="36" t="str">
        <f>IFERROR(IF(LEN(#REF!)=0,"",IF(CQ$27=#REF!,Milestone_Marker_Old,"")),"")</f>
        <v/>
      </c>
      <c r="DR21" s="36" t="str">
        <f>IFERROR(IF(LEN(#REF!)=0,"",IF(CR$27=#REF!,Milestone_Marker_Old,"")),"")</f>
        <v/>
      </c>
      <c r="DS21" s="36" t="str">
        <f>IFERROR(IF(LEN(#REF!)=0,"",IF(CS$27=#REF!,Milestone_Marker_Old,"")),"")</f>
        <v/>
      </c>
      <c r="DT21" s="36" t="str">
        <f>IFERROR(IF(LEN(#REF!)=0,"",IF(CT$27=#REF!,Milestone_Marker_Old,"")),"")</f>
        <v/>
      </c>
      <c r="DU21" s="36" t="str">
        <f>IFERROR(IF(LEN(#REF!)=0,"",IF(CU$27=#REF!,Milestone_Marker_Old,"")),"")</f>
        <v/>
      </c>
    </row>
    <row r="22" spans="1:125" s="41" customFormat="1" ht="20.100000000000001" customHeight="1" thickBot="1" x14ac:dyDescent="0.3">
      <c r="A22" s="96" t="s">
        <v>257</v>
      </c>
      <c r="B22" s="97">
        <f>+B20+1</f>
        <v>13</v>
      </c>
      <c r="C22" s="98"/>
      <c r="D22" s="99"/>
      <c r="E22" s="100" t="s">
        <v>258</v>
      </c>
      <c r="F22" s="101">
        <v>0</v>
      </c>
      <c r="G22" s="102">
        <v>5000</v>
      </c>
      <c r="H22" s="102">
        <f>+F22*G22</f>
        <v>0</v>
      </c>
      <c r="I22" s="103"/>
      <c r="J22" s="103"/>
      <c r="K22" s="104"/>
      <c r="L22" s="103"/>
      <c r="M22" s="103"/>
      <c r="N22" s="103">
        <f>IF(I22="Yes",H22,0)</f>
        <v>0</v>
      </c>
      <c r="O22" s="103"/>
      <c r="R22" s="43"/>
      <c r="S22" s="43"/>
      <c r="T22" s="43"/>
      <c r="U22" s="43"/>
      <c r="V22" s="43"/>
      <c r="W22" s="43"/>
      <c r="X22" s="43"/>
      <c r="Y22" s="43"/>
      <c r="Z22" s="43"/>
      <c r="AA22" s="767" t="s">
        <v>259</v>
      </c>
      <c r="AB22" s="768"/>
      <c r="AC22" s="768"/>
      <c r="AD22" s="768"/>
      <c r="AE22" s="768"/>
      <c r="AF22" s="768"/>
      <c r="AG22" s="768"/>
      <c r="AH22" s="768"/>
      <c r="AI22" s="42"/>
      <c r="AJ22" s="42"/>
      <c r="AK22" s="42"/>
      <c r="AL22" s="42"/>
      <c r="AM22" s="42"/>
      <c r="AN22" s="42"/>
      <c r="AO22" s="42"/>
      <c r="AP22" s="42" t="str">
        <f>IFERROR(IF(LEN(#REF!)=0,"",IF(P$27=#REF!,Milestone_Marker_Old,"")),"")</f>
        <v/>
      </c>
      <c r="AQ22" s="36" t="str">
        <f>IFERROR(IF(LEN(#REF!)=0,"",IF(Q$27=#REF!,Milestone_Marker_Old,"")),"")</f>
        <v/>
      </c>
      <c r="AR22" s="36" t="str">
        <f>IFERROR(IF(LEN(#REF!)=0,"",IF(R$27=#REF!,Milestone_Marker_Old,"")),"")</f>
        <v/>
      </c>
      <c r="AS22" s="36" t="str">
        <f>IFERROR(IF(LEN(#REF!)=0,"",IF(S$27=#REF!,Milestone_Marker_Old,"")),"")</f>
        <v/>
      </c>
      <c r="AT22" s="36" t="str">
        <f>IFERROR(IF(LEN(#REF!)=0,"",IF(T$27=#REF!,Milestone_Marker_Old,"")),"")</f>
        <v/>
      </c>
      <c r="AU22" s="36" t="str">
        <f>IFERROR(IF(LEN(#REF!)=0,"",IF(U$27=#REF!,Milestone_Marker_Old,"")),"")</f>
        <v/>
      </c>
      <c r="AV22" s="36" t="str">
        <f>IFERROR(IF(LEN(#REF!)=0,"",IF(V$27=#REF!,Milestone_Marker_Old,"")),"")</f>
        <v/>
      </c>
      <c r="AW22" s="36" t="str">
        <f>IFERROR(IF(LEN(#REF!)=0,"",IF(W$27=#REF!,Milestone_Marker_Old,"")),"")</f>
        <v/>
      </c>
      <c r="AX22" s="36" t="str">
        <f>IFERROR(IF(LEN(#REF!)=0,"",IF(X$27=#REF!,Milestone_Marker_Old,"")),"")</f>
        <v/>
      </c>
      <c r="AY22" s="36" t="str">
        <f>IFERROR(IF(LEN(#REF!)=0,"",IF(Y$27=#REF!,Milestone_Marker_Old,"")),"")</f>
        <v/>
      </c>
      <c r="AZ22" s="36" t="str">
        <f>IFERROR(IF(LEN(#REF!)=0,"",IF(Z$27=#REF!,Milestone_Marker_Old,"")),"")</f>
        <v/>
      </c>
      <c r="BA22" s="36" t="str">
        <f>IFERROR(IF(LEN(#REF!)=0,"",IF(AA$27=#REF!,Milestone_Marker_Old,"")),"")</f>
        <v/>
      </c>
      <c r="BB22" s="36" t="str">
        <f>IFERROR(IF(LEN(#REF!)=0,"",IF(AB$27=#REF!,Milestone_Marker_Old,"")),"")</f>
        <v/>
      </c>
      <c r="BC22" s="36" t="str">
        <f>IFERROR(IF(LEN(#REF!)=0,"",IF(AC$27=#REF!,Milestone_Marker_Old,"")),"")</f>
        <v/>
      </c>
      <c r="BD22" s="36" t="str">
        <f>IFERROR(IF(LEN(#REF!)=0,"",IF(AD$27=#REF!,Milestone_Marker_Old,"")),"")</f>
        <v/>
      </c>
      <c r="BE22" s="36" t="str">
        <f>IFERROR(IF(LEN(#REF!)=0,"",IF(AE$27=#REF!,Milestone_Marker_Old,"")),"")</f>
        <v/>
      </c>
      <c r="BF22" s="36" t="str">
        <f>IFERROR(IF(LEN(#REF!)=0,"",IF(AF$27=#REF!,Milestone_Marker_Old,"")),"")</f>
        <v/>
      </c>
      <c r="BG22" s="36" t="str">
        <f>IFERROR(IF(LEN(#REF!)=0,"",IF(AG$27=#REF!,Milestone_Marker_Old,"")),"")</f>
        <v/>
      </c>
      <c r="BH22" s="36" t="str">
        <f>IFERROR(IF(LEN(#REF!)=0,"",IF(AH$27=#REF!,Milestone_Marker_Old,"")),"")</f>
        <v/>
      </c>
      <c r="BI22" s="36" t="str">
        <f>IFERROR(IF(LEN(#REF!)=0,"",IF(AI$27=#REF!,Milestone_Marker_Old,"")),"")</f>
        <v/>
      </c>
      <c r="BJ22" s="36" t="str">
        <f>IFERROR(IF(LEN(#REF!)=0,"",IF(AJ$27=#REF!,Milestone_Marker_Old,"")),"")</f>
        <v/>
      </c>
      <c r="BK22" s="36" t="str">
        <f>IFERROR(IF(LEN(#REF!)=0,"",IF(AK$27=#REF!,Milestone_Marker_Old,"")),"")</f>
        <v/>
      </c>
      <c r="BL22" s="36" t="str">
        <f>IFERROR(IF(LEN(#REF!)=0,"",IF(AL$27=#REF!,Milestone_Marker_Old,"")),"")</f>
        <v/>
      </c>
      <c r="BM22" s="36" t="str">
        <f>IFERROR(IF(LEN(#REF!)=0,"",IF(AM$27=#REF!,Milestone_Marker_Old,"")),"")</f>
        <v/>
      </c>
      <c r="BN22" s="36" t="str">
        <f>IFERROR(IF(LEN(#REF!)=0,"",IF(AN$27=#REF!,Milestone_Marker_Old,"")),"")</f>
        <v/>
      </c>
      <c r="BO22" s="36" t="str">
        <f>IFERROR(IF(LEN(#REF!)=0,"",IF(AO$27=#REF!,Milestone_Marker_Old,"")),"")</f>
        <v/>
      </c>
      <c r="BP22" s="36" t="str">
        <f>IFERROR(IF(LEN(#REF!)=0,"",IF(AP$27=#REF!,Milestone_Marker_Old,"")),"")</f>
        <v/>
      </c>
      <c r="BQ22" s="36" t="str">
        <f>IFERROR(IF(LEN(#REF!)=0,"",IF(AQ$27=#REF!,Milestone_Marker_Old,"")),"")</f>
        <v/>
      </c>
      <c r="BR22" s="36" t="str">
        <f>IFERROR(IF(LEN(#REF!)=0,"",IF(AR$27=#REF!,Milestone_Marker_Old,"")),"")</f>
        <v/>
      </c>
      <c r="BS22" s="36" t="str">
        <f>IFERROR(IF(LEN(#REF!)=0,"",IF(AS$27=#REF!,Milestone_Marker_Old,"")),"")</f>
        <v/>
      </c>
      <c r="BT22" s="36" t="str">
        <f>IFERROR(IF(LEN(#REF!)=0,"",IF(AT$27=#REF!,Milestone_Marker_Old,"")),"")</f>
        <v/>
      </c>
      <c r="BU22" s="36" t="str">
        <f>IFERROR(IF(LEN(#REF!)=0,"",IF(AU$27=#REF!,Milestone_Marker_Old,"")),"")</f>
        <v/>
      </c>
      <c r="BV22" s="36" t="str">
        <f>IFERROR(IF(LEN(#REF!)=0,"",IF(AV$27=#REF!,Milestone_Marker_Old,"")),"")</f>
        <v/>
      </c>
      <c r="BW22" s="36" t="str">
        <f>IFERROR(IF(LEN(#REF!)=0,"",IF(AW$27=#REF!,Milestone_Marker_Old,"")),"")</f>
        <v/>
      </c>
      <c r="BX22" s="36" t="str">
        <f>IFERROR(IF(LEN(#REF!)=0,"",IF(AX$27=#REF!,Milestone_Marker_Old,"")),"")</f>
        <v/>
      </c>
      <c r="BY22" s="36" t="str">
        <f>IFERROR(IF(LEN(#REF!)=0,"",IF(AY$27=#REF!,Milestone_Marker_Old,"")),"")</f>
        <v/>
      </c>
      <c r="BZ22" s="36" t="str">
        <f>IFERROR(IF(LEN(#REF!)=0,"",IF(AZ$27=#REF!,Milestone_Marker_Old,"")),"")</f>
        <v/>
      </c>
      <c r="CA22" s="36" t="str">
        <f>IFERROR(IF(LEN(#REF!)=0,"",IF(BA$27=#REF!,Milestone_Marker_Old,"")),"")</f>
        <v/>
      </c>
      <c r="CB22" s="36" t="str">
        <f>IFERROR(IF(LEN(#REF!)=0,"",IF(BB$27=#REF!,Milestone_Marker_Old,"")),"")</f>
        <v/>
      </c>
      <c r="CC22" s="36" t="str">
        <f>IFERROR(IF(LEN(#REF!)=0,"",IF(BC$27=#REF!,Milestone_Marker_Old,"")),"")</f>
        <v/>
      </c>
      <c r="CD22" s="36" t="str">
        <f>IFERROR(IF(LEN(#REF!)=0,"",IF(BD$27=#REF!,Milestone_Marker_Old,"")),"")</f>
        <v/>
      </c>
      <c r="CE22" s="36" t="str">
        <f>IFERROR(IF(LEN(#REF!)=0,"",IF(BE$27=#REF!,Milestone_Marker_Old,"")),"")</f>
        <v/>
      </c>
      <c r="CF22" s="36" t="str">
        <f>IFERROR(IF(LEN(#REF!)=0,"",IF(BF$27=#REF!,Milestone_Marker_Old,"")),"")</f>
        <v/>
      </c>
      <c r="CG22" s="36" t="str">
        <f>IFERROR(IF(LEN(#REF!)=0,"",IF(BG$27=#REF!,Milestone_Marker_Old,"")),"")</f>
        <v/>
      </c>
      <c r="CH22" s="36" t="str">
        <f>IFERROR(IF(LEN(#REF!)=0,"",IF(BH$27=#REF!,Milestone_Marker_Old,"")),"")</f>
        <v/>
      </c>
      <c r="CI22" s="36" t="str">
        <f>IFERROR(IF(LEN(#REF!)=0,"",IF(BI$27=#REF!,Milestone_Marker_Old,"")),"")</f>
        <v/>
      </c>
      <c r="CJ22" s="36" t="str">
        <f>IFERROR(IF(LEN(#REF!)=0,"",IF(BJ$27=#REF!,Milestone_Marker_Old,"")),"")</f>
        <v/>
      </c>
      <c r="CK22" s="36" t="str">
        <f>IFERROR(IF(LEN(#REF!)=0,"",IF(BK$27=#REF!,Milestone_Marker_Old,"")),"")</f>
        <v/>
      </c>
      <c r="CL22" s="36" t="str">
        <f>IFERROR(IF(LEN(#REF!)=0,"",IF(BL$27=#REF!,Milestone_Marker_Old,"")),"")</f>
        <v/>
      </c>
      <c r="CM22" s="36" t="str">
        <f>IFERROR(IF(LEN(#REF!)=0,"",IF(BM$27=#REF!,Milestone_Marker_Old,"")),"")</f>
        <v/>
      </c>
      <c r="CN22" s="36" t="str">
        <f>IFERROR(IF(LEN(#REF!)=0,"",IF(BN$27=#REF!,Milestone_Marker_Old,"")),"")</f>
        <v/>
      </c>
      <c r="CO22" s="36" t="str">
        <f>IFERROR(IF(LEN(#REF!)=0,"",IF(BO$27=#REF!,Milestone_Marker_Old,"")),"")</f>
        <v/>
      </c>
      <c r="CP22" s="36" t="str">
        <f>IFERROR(IF(LEN(#REF!)=0,"",IF(BP$27=#REF!,Milestone_Marker_Old,"")),"")</f>
        <v/>
      </c>
      <c r="CQ22" s="36" t="str">
        <f>IFERROR(IF(LEN(#REF!)=0,"",IF(BQ$27=#REF!,Milestone_Marker_Old,"")),"")</f>
        <v/>
      </c>
      <c r="CR22" s="36" t="str">
        <f>IFERROR(IF(LEN(#REF!)=0,"",IF(BR$27=#REF!,Milestone_Marker_Old,"")),"")</f>
        <v/>
      </c>
      <c r="CS22" s="36" t="str">
        <f>IFERROR(IF(LEN(#REF!)=0,"",IF(BS$27=#REF!,Milestone_Marker_Old,"")),"")</f>
        <v/>
      </c>
      <c r="CT22" s="36" t="str">
        <f>IFERROR(IF(LEN(#REF!)=0,"",IF(BT$27=#REF!,Milestone_Marker_Old,"")),"")</f>
        <v/>
      </c>
      <c r="CU22" s="36" t="str">
        <f>IFERROR(IF(LEN(#REF!)=0,"",IF(BU$27=#REF!,Milestone_Marker_Old,"")),"")</f>
        <v/>
      </c>
      <c r="CV22" s="36" t="str">
        <f>IFERROR(IF(LEN(#REF!)=0,"",IF(BV$27=#REF!,Milestone_Marker_Old,"")),"")</f>
        <v/>
      </c>
      <c r="CW22" s="36" t="str">
        <f>IFERROR(IF(LEN(#REF!)=0,"",IF(BW$27=#REF!,Milestone_Marker_Old,"")),"")</f>
        <v/>
      </c>
      <c r="CX22" s="36" t="str">
        <f>IFERROR(IF(LEN(#REF!)=0,"",IF(BX$27=#REF!,Milestone_Marker_Old,"")),"")</f>
        <v/>
      </c>
      <c r="CY22" s="36" t="str">
        <f>IFERROR(IF(LEN(#REF!)=0,"",IF(BY$27=#REF!,Milestone_Marker_Old,"")),"")</f>
        <v/>
      </c>
      <c r="CZ22" s="36" t="str">
        <f>IFERROR(IF(LEN(#REF!)=0,"",IF(BZ$27=#REF!,Milestone_Marker_Old,"")),"")</f>
        <v/>
      </c>
      <c r="DA22" s="36" t="str">
        <f>IFERROR(IF(LEN(#REF!)=0,"",IF(CA$27=#REF!,Milestone_Marker_Old,"")),"")</f>
        <v/>
      </c>
      <c r="DB22" s="36" t="str">
        <f>IFERROR(IF(LEN(#REF!)=0,"",IF(CB$27=#REF!,Milestone_Marker_Old,"")),"")</f>
        <v/>
      </c>
      <c r="DC22" s="36" t="str">
        <f>IFERROR(IF(LEN(#REF!)=0,"",IF(CC$27=#REF!,Milestone_Marker_Old,"")),"")</f>
        <v/>
      </c>
      <c r="DD22" s="36" t="str">
        <f>IFERROR(IF(LEN(#REF!)=0,"",IF(CD$27=#REF!,Milestone_Marker_Old,"")),"")</f>
        <v/>
      </c>
      <c r="DE22" s="36" t="str">
        <f>IFERROR(IF(LEN(#REF!)=0,"",IF(CE$27=#REF!,Milestone_Marker_Old,"")),"")</f>
        <v/>
      </c>
      <c r="DF22" s="36" t="str">
        <f>IFERROR(IF(LEN(#REF!)=0,"",IF(CF$27=#REF!,Milestone_Marker_Old,"")),"")</f>
        <v/>
      </c>
      <c r="DG22" s="36" t="str">
        <f>IFERROR(IF(LEN(#REF!)=0,"",IF(CG$27=#REF!,Milestone_Marker_Old,"")),"")</f>
        <v/>
      </c>
      <c r="DH22" s="36" t="str">
        <f>IFERROR(IF(LEN(#REF!)=0,"",IF(CH$27=#REF!,Milestone_Marker_Old,"")),"")</f>
        <v/>
      </c>
      <c r="DI22" s="36" t="str">
        <f>IFERROR(IF(LEN(#REF!)=0,"",IF(CI$27=#REF!,Milestone_Marker_Old,"")),"")</f>
        <v/>
      </c>
      <c r="DJ22" s="36" t="str">
        <f>IFERROR(IF(LEN(#REF!)=0,"",IF(CJ$27=#REF!,Milestone_Marker_Old,"")),"")</f>
        <v/>
      </c>
      <c r="DK22" s="36" t="str">
        <f>IFERROR(IF(LEN(#REF!)=0,"",IF(CK$27=#REF!,Milestone_Marker_Old,"")),"")</f>
        <v/>
      </c>
      <c r="DL22" s="36" t="str">
        <f>IFERROR(IF(LEN(#REF!)=0,"",IF(CL$27=#REF!,Milestone_Marker_Old,"")),"")</f>
        <v/>
      </c>
      <c r="DM22" s="36" t="str">
        <f>IFERROR(IF(LEN(#REF!)=0,"",IF(CM$27=#REF!,Milestone_Marker_Old,"")),"")</f>
        <v/>
      </c>
      <c r="DN22" s="36" t="str">
        <f>IFERROR(IF(LEN(#REF!)=0,"",IF(CN$27=#REF!,Milestone_Marker_Old,"")),"")</f>
        <v/>
      </c>
      <c r="DO22" s="36" t="str">
        <f>IFERROR(IF(LEN(#REF!)=0,"",IF(CO$27=#REF!,Milestone_Marker_Old,"")),"")</f>
        <v/>
      </c>
      <c r="DP22" s="36" t="str">
        <f>IFERROR(IF(LEN(#REF!)=0,"",IF(CP$27=#REF!,Milestone_Marker_Old,"")),"")</f>
        <v/>
      </c>
      <c r="DQ22" s="36" t="str">
        <f>IFERROR(IF(LEN(#REF!)=0,"",IF(CQ$27=#REF!,Milestone_Marker_Old,"")),"")</f>
        <v/>
      </c>
      <c r="DR22" s="36" t="str">
        <f>IFERROR(IF(LEN(#REF!)=0,"",IF(CR$27=#REF!,Milestone_Marker_Old,"")),"")</f>
        <v/>
      </c>
      <c r="DS22" s="36" t="str">
        <f>IFERROR(IF(LEN(#REF!)=0,"",IF(CS$27=#REF!,Milestone_Marker_Old,"")),"")</f>
        <v/>
      </c>
      <c r="DT22" s="36" t="str">
        <f>IFERROR(IF(LEN(#REF!)=0,"",IF(CT$27=#REF!,Milestone_Marker_Old,"")),"")</f>
        <v/>
      </c>
      <c r="DU22" s="36" t="str">
        <f>IFERROR(IF(LEN(#REF!)=0,"",IF(CU$27=#REF!,Milestone_Marker_Old,"")),"")</f>
        <v/>
      </c>
    </row>
    <row r="23" spans="1:125" s="41" customFormat="1" ht="20.100000000000001" customHeight="1" x14ac:dyDescent="0.25">
      <c r="A23" s="96" t="s">
        <v>257</v>
      </c>
      <c r="B23" s="97">
        <f>+B22+1</f>
        <v>14</v>
      </c>
      <c r="C23" s="98"/>
      <c r="D23" s="99"/>
      <c r="E23" s="100" t="s">
        <v>258</v>
      </c>
      <c r="F23" s="101">
        <v>0</v>
      </c>
      <c r="G23" s="102">
        <v>400</v>
      </c>
      <c r="H23" s="102">
        <f>+F23*G23</f>
        <v>0</v>
      </c>
      <c r="I23" s="103"/>
      <c r="J23" s="103"/>
      <c r="K23" s="104"/>
      <c r="L23" s="103"/>
      <c r="M23" s="103"/>
      <c r="N23" s="103">
        <f>IF(I23="Yes",H23,0)</f>
        <v>0</v>
      </c>
      <c r="O23" s="103"/>
      <c r="R23" s="43"/>
      <c r="S23" s="43"/>
      <c r="T23" s="43"/>
      <c r="U23" s="43"/>
      <c r="V23" s="43"/>
      <c r="W23" s="43"/>
      <c r="X23" s="43"/>
      <c r="Y23" s="43"/>
      <c r="Z23" s="43"/>
      <c r="AA23" s="768"/>
      <c r="AB23" s="768"/>
      <c r="AC23" s="768"/>
      <c r="AD23" s="768"/>
      <c r="AE23" s="768"/>
      <c r="AF23" s="768"/>
      <c r="AG23" s="768"/>
      <c r="AH23" s="768"/>
      <c r="AI23" s="42"/>
      <c r="AJ23" s="42"/>
      <c r="AK23" s="42"/>
      <c r="AL23" s="42"/>
      <c r="AM23" s="42"/>
      <c r="AN23" s="42"/>
      <c r="AO23" s="42"/>
      <c r="AP23" s="42" t="str">
        <f>IFERROR(IF(LEN(#REF!)=0,"",IF(P$27=#REF!,Milestone_Marker_Old,"")),"")</f>
        <v/>
      </c>
      <c r="AQ23" s="36" t="str">
        <f>IFERROR(IF(LEN(#REF!)=0,"",IF(Q$27=#REF!,Milestone_Marker_Old,"")),"")</f>
        <v/>
      </c>
      <c r="AR23" s="36" t="str">
        <f>IFERROR(IF(LEN(#REF!)=0,"",IF(R$27=#REF!,Milestone_Marker_Old,"")),"")</f>
        <v/>
      </c>
      <c r="AS23" s="36" t="str">
        <f>IFERROR(IF(LEN(#REF!)=0,"",IF(S$27=#REF!,Milestone_Marker_Old,"")),"")</f>
        <v/>
      </c>
      <c r="AT23" s="36" t="str">
        <f>IFERROR(IF(LEN(#REF!)=0,"",IF(T$27=#REF!,Milestone_Marker_Old,"")),"")</f>
        <v/>
      </c>
      <c r="AU23" s="36" t="str">
        <f>IFERROR(IF(LEN(#REF!)=0,"",IF(U$27=#REF!,Milestone_Marker_Old,"")),"")</f>
        <v/>
      </c>
      <c r="AV23" s="36" t="str">
        <f>IFERROR(IF(LEN(#REF!)=0,"",IF(V$27=#REF!,Milestone_Marker_Old,"")),"")</f>
        <v/>
      </c>
      <c r="AW23" s="36" t="str">
        <f>IFERROR(IF(LEN(#REF!)=0,"",IF(W$27=#REF!,Milestone_Marker_Old,"")),"")</f>
        <v/>
      </c>
      <c r="AX23" s="36" t="str">
        <f>IFERROR(IF(LEN(#REF!)=0,"",IF(X$27=#REF!,Milestone_Marker_Old,"")),"")</f>
        <v/>
      </c>
      <c r="AY23" s="36" t="str">
        <f>IFERROR(IF(LEN(#REF!)=0,"",IF(Y$27=#REF!,Milestone_Marker_Old,"")),"")</f>
        <v/>
      </c>
      <c r="AZ23" s="36" t="str">
        <f>IFERROR(IF(LEN(#REF!)=0,"",IF(Z$27=#REF!,Milestone_Marker_Old,"")),"")</f>
        <v/>
      </c>
      <c r="BA23" s="36" t="str">
        <f>IFERROR(IF(LEN(#REF!)=0,"",IF(AA$27=#REF!,Milestone_Marker_Old,"")),"")</f>
        <v/>
      </c>
      <c r="BB23" s="36" t="str">
        <f>IFERROR(IF(LEN(#REF!)=0,"",IF(AB$27=#REF!,Milestone_Marker_Old,"")),"")</f>
        <v/>
      </c>
      <c r="BC23" s="36" t="str">
        <f>IFERROR(IF(LEN(#REF!)=0,"",IF(AC$27=#REF!,Milestone_Marker_Old,"")),"")</f>
        <v/>
      </c>
      <c r="BD23" s="36" t="str">
        <f>IFERROR(IF(LEN(#REF!)=0,"",IF(AD$27=#REF!,Milestone_Marker_Old,"")),"")</f>
        <v/>
      </c>
      <c r="BE23" s="36" t="str">
        <f>IFERROR(IF(LEN(#REF!)=0,"",IF(AE$27=#REF!,Milestone_Marker_Old,"")),"")</f>
        <v/>
      </c>
      <c r="BF23" s="36" t="str">
        <f>IFERROR(IF(LEN(#REF!)=0,"",IF(AF$27=#REF!,Milestone_Marker_Old,"")),"")</f>
        <v/>
      </c>
      <c r="BG23" s="36" t="str">
        <f>IFERROR(IF(LEN(#REF!)=0,"",IF(AG$27=#REF!,Milestone_Marker_Old,"")),"")</f>
        <v/>
      </c>
      <c r="BH23" s="36" t="str">
        <f>IFERROR(IF(LEN(#REF!)=0,"",IF(AH$27=#REF!,Milestone_Marker_Old,"")),"")</f>
        <v/>
      </c>
      <c r="BI23" s="36" t="str">
        <f>IFERROR(IF(LEN(#REF!)=0,"",IF(AI$27=#REF!,Milestone_Marker_Old,"")),"")</f>
        <v/>
      </c>
      <c r="BJ23" s="36" t="str">
        <f>IFERROR(IF(LEN(#REF!)=0,"",IF(AJ$27=#REF!,Milestone_Marker_Old,"")),"")</f>
        <v/>
      </c>
      <c r="BK23" s="36" t="str">
        <f>IFERROR(IF(LEN(#REF!)=0,"",IF(AK$27=#REF!,Milestone_Marker_Old,"")),"")</f>
        <v/>
      </c>
      <c r="BL23" s="36" t="str">
        <f>IFERROR(IF(LEN(#REF!)=0,"",IF(AL$27=#REF!,Milestone_Marker_Old,"")),"")</f>
        <v/>
      </c>
      <c r="BM23" s="36" t="str">
        <f>IFERROR(IF(LEN(#REF!)=0,"",IF(AM$27=#REF!,Milestone_Marker_Old,"")),"")</f>
        <v/>
      </c>
      <c r="BN23" s="36" t="str">
        <f>IFERROR(IF(LEN(#REF!)=0,"",IF(AN$27=#REF!,Milestone_Marker_Old,"")),"")</f>
        <v/>
      </c>
      <c r="BO23" s="36" t="str">
        <f>IFERROR(IF(LEN(#REF!)=0,"",IF(AO$27=#REF!,Milestone_Marker_Old,"")),"")</f>
        <v/>
      </c>
      <c r="BP23" s="36" t="str">
        <f>IFERROR(IF(LEN(#REF!)=0,"",IF(AP$27=#REF!,Milestone_Marker_Old,"")),"")</f>
        <v/>
      </c>
      <c r="BQ23" s="36" t="str">
        <f>IFERROR(IF(LEN(#REF!)=0,"",IF(AQ$27=#REF!,Milestone_Marker_Old,"")),"")</f>
        <v/>
      </c>
      <c r="BR23" s="36" t="str">
        <f>IFERROR(IF(LEN(#REF!)=0,"",IF(AR$27=#REF!,Milestone_Marker_Old,"")),"")</f>
        <v/>
      </c>
      <c r="BS23" s="36" t="str">
        <f>IFERROR(IF(LEN(#REF!)=0,"",IF(AS$27=#REF!,Milestone_Marker_Old,"")),"")</f>
        <v/>
      </c>
      <c r="BT23" s="36" t="str">
        <f>IFERROR(IF(LEN(#REF!)=0,"",IF(AT$27=#REF!,Milestone_Marker_Old,"")),"")</f>
        <v/>
      </c>
      <c r="BU23" s="36" t="str">
        <f>IFERROR(IF(LEN(#REF!)=0,"",IF(AU$27=#REF!,Milestone_Marker_Old,"")),"")</f>
        <v/>
      </c>
      <c r="BV23" s="36" t="str">
        <f>IFERROR(IF(LEN(#REF!)=0,"",IF(AV$27=#REF!,Milestone_Marker_Old,"")),"")</f>
        <v/>
      </c>
      <c r="BW23" s="36" t="str">
        <f>IFERROR(IF(LEN(#REF!)=0,"",IF(AW$27=#REF!,Milestone_Marker_Old,"")),"")</f>
        <v/>
      </c>
      <c r="BX23" s="36" t="str">
        <f>IFERROR(IF(LEN(#REF!)=0,"",IF(AX$27=#REF!,Milestone_Marker_Old,"")),"")</f>
        <v/>
      </c>
      <c r="BY23" s="36" t="str">
        <f>IFERROR(IF(LEN(#REF!)=0,"",IF(AY$27=#REF!,Milestone_Marker_Old,"")),"")</f>
        <v/>
      </c>
      <c r="BZ23" s="36" t="str">
        <f>IFERROR(IF(LEN(#REF!)=0,"",IF(AZ$27=#REF!,Milestone_Marker_Old,"")),"")</f>
        <v/>
      </c>
      <c r="CA23" s="36" t="str">
        <f>IFERROR(IF(LEN(#REF!)=0,"",IF(BA$27=#REF!,Milestone_Marker_Old,"")),"")</f>
        <v/>
      </c>
      <c r="CB23" s="36" t="str">
        <f>IFERROR(IF(LEN(#REF!)=0,"",IF(BB$27=#REF!,Milestone_Marker_Old,"")),"")</f>
        <v/>
      </c>
      <c r="CC23" s="36" t="str">
        <f>IFERROR(IF(LEN(#REF!)=0,"",IF(BC$27=#REF!,Milestone_Marker_Old,"")),"")</f>
        <v/>
      </c>
      <c r="CD23" s="36" t="str">
        <f>IFERROR(IF(LEN(#REF!)=0,"",IF(BD$27=#REF!,Milestone_Marker_Old,"")),"")</f>
        <v/>
      </c>
      <c r="CE23" s="36" t="str">
        <f>IFERROR(IF(LEN(#REF!)=0,"",IF(BE$27=#REF!,Milestone_Marker_Old,"")),"")</f>
        <v/>
      </c>
      <c r="CF23" s="36" t="str">
        <f>IFERROR(IF(LEN(#REF!)=0,"",IF(BF$27=#REF!,Milestone_Marker_Old,"")),"")</f>
        <v/>
      </c>
      <c r="CG23" s="36" t="str">
        <f>IFERROR(IF(LEN(#REF!)=0,"",IF(BG$27=#REF!,Milestone_Marker_Old,"")),"")</f>
        <v/>
      </c>
      <c r="CH23" s="36" t="str">
        <f>IFERROR(IF(LEN(#REF!)=0,"",IF(BH$27=#REF!,Milestone_Marker_Old,"")),"")</f>
        <v/>
      </c>
      <c r="CI23" s="36" t="str">
        <f>IFERROR(IF(LEN(#REF!)=0,"",IF(BI$27=#REF!,Milestone_Marker_Old,"")),"")</f>
        <v/>
      </c>
      <c r="CJ23" s="36" t="str">
        <f>IFERROR(IF(LEN(#REF!)=0,"",IF(BJ$27=#REF!,Milestone_Marker_Old,"")),"")</f>
        <v/>
      </c>
      <c r="CK23" s="36" t="str">
        <f>IFERROR(IF(LEN(#REF!)=0,"",IF(BK$27=#REF!,Milestone_Marker_Old,"")),"")</f>
        <v/>
      </c>
      <c r="CL23" s="36" t="str">
        <f>IFERROR(IF(LEN(#REF!)=0,"",IF(BL$27=#REF!,Milestone_Marker_Old,"")),"")</f>
        <v/>
      </c>
      <c r="CM23" s="36" t="str">
        <f>IFERROR(IF(LEN(#REF!)=0,"",IF(BM$27=#REF!,Milestone_Marker_Old,"")),"")</f>
        <v/>
      </c>
      <c r="CN23" s="36" t="str">
        <f>IFERROR(IF(LEN(#REF!)=0,"",IF(BN$27=#REF!,Milestone_Marker_Old,"")),"")</f>
        <v/>
      </c>
      <c r="CO23" s="36" t="str">
        <f>IFERROR(IF(LEN(#REF!)=0,"",IF(BO$27=#REF!,Milestone_Marker_Old,"")),"")</f>
        <v/>
      </c>
      <c r="CP23" s="36" t="str">
        <f>IFERROR(IF(LEN(#REF!)=0,"",IF(BP$27=#REF!,Milestone_Marker_Old,"")),"")</f>
        <v/>
      </c>
      <c r="CQ23" s="36" t="str">
        <f>IFERROR(IF(LEN(#REF!)=0,"",IF(BQ$27=#REF!,Milestone_Marker_Old,"")),"")</f>
        <v/>
      </c>
      <c r="CR23" s="36" t="str">
        <f>IFERROR(IF(LEN(#REF!)=0,"",IF(BR$27=#REF!,Milestone_Marker_Old,"")),"")</f>
        <v/>
      </c>
      <c r="CS23" s="36" t="str">
        <f>IFERROR(IF(LEN(#REF!)=0,"",IF(BS$27=#REF!,Milestone_Marker_Old,"")),"")</f>
        <v/>
      </c>
      <c r="CT23" s="36" t="str">
        <f>IFERROR(IF(LEN(#REF!)=0,"",IF(BT$27=#REF!,Milestone_Marker_Old,"")),"")</f>
        <v/>
      </c>
      <c r="CU23" s="36" t="str">
        <f>IFERROR(IF(LEN(#REF!)=0,"",IF(BU$27=#REF!,Milestone_Marker_Old,"")),"")</f>
        <v/>
      </c>
      <c r="CV23" s="36" t="str">
        <f>IFERROR(IF(LEN(#REF!)=0,"",IF(BV$27=#REF!,Milestone_Marker_Old,"")),"")</f>
        <v/>
      </c>
      <c r="CW23" s="36" t="str">
        <f>IFERROR(IF(LEN(#REF!)=0,"",IF(BW$27=#REF!,Milestone_Marker_Old,"")),"")</f>
        <v/>
      </c>
      <c r="CX23" s="36" t="str">
        <f>IFERROR(IF(LEN(#REF!)=0,"",IF(BX$27=#REF!,Milestone_Marker_Old,"")),"")</f>
        <v/>
      </c>
      <c r="CY23" s="36" t="str">
        <f>IFERROR(IF(LEN(#REF!)=0,"",IF(BY$27=#REF!,Milestone_Marker_Old,"")),"")</f>
        <v/>
      </c>
      <c r="CZ23" s="36" t="str">
        <f>IFERROR(IF(LEN(#REF!)=0,"",IF(BZ$27=#REF!,Milestone_Marker_Old,"")),"")</f>
        <v/>
      </c>
      <c r="DA23" s="36" t="str">
        <f>IFERROR(IF(LEN(#REF!)=0,"",IF(CA$27=#REF!,Milestone_Marker_Old,"")),"")</f>
        <v/>
      </c>
      <c r="DB23" s="36" t="str">
        <f>IFERROR(IF(LEN(#REF!)=0,"",IF(CB$27=#REF!,Milestone_Marker_Old,"")),"")</f>
        <v/>
      </c>
      <c r="DC23" s="36" t="str">
        <f>IFERROR(IF(LEN(#REF!)=0,"",IF(CC$27=#REF!,Milestone_Marker_Old,"")),"")</f>
        <v/>
      </c>
      <c r="DD23" s="36" t="str">
        <f>IFERROR(IF(LEN(#REF!)=0,"",IF(CD$27=#REF!,Milestone_Marker_Old,"")),"")</f>
        <v/>
      </c>
      <c r="DE23" s="36" t="str">
        <f>IFERROR(IF(LEN(#REF!)=0,"",IF(CE$27=#REF!,Milestone_Marker_Old,"")),"")</f>
        <v/>
      </c>
      <c r="DF23" s="36" t="str">
        <f>IFERROR(IF(LEN(#REF!)=0,"",IF(CF$27=#REF!,Milestone_Marker_Old,"")),"")</f>
        <v/>
      </c>
      <c r="DG23" s="36" t="str">
        <f>IFERROR(IF(LEN(#REF!)=0,"",IF(CG$27=#REF!,Milestone_Marker_Old,"")),"")</f>
        <v/>
      </c>
      <c r="DH23" s="36" t="str">
        <f>IFERROR(IF(LEN(#REF!)=0,"",IF(CH$27=#REF!,Milestone_Marker_Old,"")),"")</f>
        <v/>
      </c>
      <c r="DI23" s="36" t="str">
        <f>IFERROR(IF(LEN(#REF!)=0,"",IF(CI$27=#REF!,Milestone_Marker_Old,"")),"")</f>
        <v/>
      </c>
      <c r="DJ23" s="36" t="str">
        <f>IFERROR(IF(LEN(#REF!)=0,"",IF(CJ$27=#REF!,Milestone_Marker_Old,"")),"")</f>
        <v/>
      </c>
      <c r="DK23" s="36" t="str">
        <f>IFERROR(IF(LEN(#REF!)=0,"",IF(CK$27=#REF!,Milestone_Marker_Old,"")),"")</f>
        <v/>
      </c>
      <c r="DL23" s="36" t="str">
        <f>IFERROR(IF(LEN(#REF!)=0,"",IF(CL$27=#REF!,Milestone_Marker_Old,"")),"")</f>
        <v/>
      </c>
      <c r="DM23" s="36" t="str">
        <f>IFERROR(IF(LEN(#REF!)=0,"",IF(CM$27=#REF!,Milestone_Marker_Old,"")),"")</f>
        <v/>
      </c>
      <c r="DN23" s="36" t="str">
        <f>IFERROR(IF(LEN(#REF!)=0,"",IF(CN$27=#REF!,Milestone_Marker_Old,"")),"")</f>
        <v/>
      </c>
      <c r="DO23" s="36" t="str">
        <f>IFERROR(IF(LEN(#REF!)=0,"",IF(CO$27=#REF!,Milestone_Marker_Old,"")),"")</f>
        <v/>
      </c>
      <c r="DP23" s="36" t="str">
        <f>IFERROR(IF(LEN(#REF!)=0,"",IF(CP$27=#REF!,Milestone_Marker_Old,"")),"")</f>
        <v/>
      </c>
      <c r="DQ23" s="36" t="str">
        <f>IFERROR(IF(LEN(#REF!)=0,"",IF(CQ$27=#REF!,Milestone_Marker_Old,"")),"")</f>
        <v/>
      </c>
      <c r="DR23" s="36" t="str">
        <f>IFERROR(IF(LEN(#REF!)=0,"",IF(CR$27=#REF!,Milestone_Marker_Old,"")),"")</f>
        <v/>
      </c>
      <c r="DS23" s="36" t="str">
        <f>IFERROR(IF(LEN(#REF!)=0,"",IF(CS$27=#REF!,Milestone_Marker_Old,"")),"")</f>
        <v/>
      </c>
      <c r="DT23" s="36" t="str">
        <f>IFERROR(IF(LEN(#REF!)=0,"",IF(CT$27=#REF!,Milestone_Marker_Old,"")),"")</f>
        <v/>
      </c>
      <c r="DU23" s="36" t="str">
        <f>IFERROR(IF(LEN(#REF!)=0,"",IF(CU$27=#REF!,Milestone_Marker_Old,"")),"")</f>
        <v/>
      </c>
    </row>
    <row r="24" spans="1:125" s="41" customFormat="1" ht="20.100000000000001" customHeight="1" x14ac:dyDescent="0.25">
      <c r="A24" s="96" t="s">
        <v>260</v>
      </c>
      <c r="B24" s="97">
        <f>+B23+1</f>
        <v>15</v>
      </c>
      <c r="C24" s="98"/>
      <c r="D24" s="99"/>
      <c r="E24" s="100" t="s">
        <v>261</v>
      </c>
      <c r="F24" s="101">
        <v>1</v>
      </c>
      <c r="G24" s="102">
        <f>+HVAC!I18</f>
        <v>254.72</v>
      </c>
      <c r="H24" s="102">
        <f>+F24*G24</f>
        <v>254.72</v>
      </c>
      <c r="I24" s="103"/>
      <c r="J24" s="103"/>
      <c r="K24" s="104"/>
      <c r="L24" s="103"/>
      <c r="M24" s="103"/>
      <c r="N24" s="103">
        <f>IF(I24="Yes",H24,0)</f>
        <v>0</v>
      </c>
      <c r="O24" s="103"/>
      <c r="R24" s="43"/>
      <c r="S24" s="43"/>
      <c r="T24" s="43"/>
      <c r="U24" s="43"/>
      <c r="V24" s="43"/>
      <c r="W24" s="43"/>
      <c r="X24" s="43"/>
      <c r="Y24" s="43"/>
      <c r="Z24" s="43"/>
      <c r="AB24" s="67">
        <v>0</v>
      </c>
      <c r="AC24" s="42"/>
      <c r="AD24" s="42"/>
      <c r="AE24" s="42"/>
      <c r="AF24" s="42"/>
      <c r="AG24" s="42"/>
      <c r="AH24" s="42"/>
      <c r="AI24" s="42"/>
      <c r="AJ24" s="42"/>
      <c r="AK24" s="42"/>
      <c r="AL24" s="42"/>
      <c r="AM24" s="42"/>
      <c r="AN24" s="42"/>
      <c r="AO24" s="42"/>
      <c r="AP24" s="42"/>
    </row>
    <row r="25" spans="1:125" s="41" customFormat="1" ht="20.100000000000001" customHeight="1" x14ac:dyDescent="0.25">
      <c r="A25" s="96" t="s">
        <v>260</v>
      </c>
      <c r="B25" s="97">
        <f>+B24+1</f>
        <v>16</v>
      </c>
      <c r="C25" s="98"/>
      <c r="D25" s="99"/>
      <c r="E25" s="100" t="s">
        <v>262</v>
      </c>
      <c r="F25" s="101">
        <v>0</v>
      </c>
      <c r="G25" s="102">
        <v>4598</v>
      </c>
      <c r="H25" s="102">
        <f>+F25*G25</f>
        <v>0</v>
      </c>
      <c r="I25" s="103"/>
      <c r="J25" s="103"/>
      <c r="K25" s="104"/>
      <c r="L25" s="103"/>
      <c r="M25" s="103"/>
      <c r="N25" s="103">
        <f>IF(I25="Yes",H25,0)</f>
        <v>0</v>
      </c>
      <c r="O25" s="103"/>
      <c r="R25" s="43"/>
      <c r="S25" s="43"/>
      <c r="T25" s="43"/>
      <c r="U25" s="43"/>
      <c r="V25" s="43"/>
      <c r="W25" s="43"/>
      <c r="X25" s="43"/>
      <c r="Y25" s="43"/>
      <c r="Z25" s="43"/>
    </row>
    <row r="26" spans="1:125" s="41" customFormat="1" ht="21.75" thickBot="1" x14ac:dyDescent="0.25">
      <c r="A26" s="105"/>
      <c r="B26" s="106"/>
      <c r="C26" s="105"/>
      <c r="D26" s="105"/>
      <c r="E26" s="93" t="str">
        <f>+A2 &amp; "Items (all items should be updated from Proposal or ProposalUpdate tab)"</f>
        <v>Tim Flemming Items (all items should be updated from Proposal or ProposalUpdate tab)</v>
      </c>
      <c r="F26" s="105"/>
      <c r="G26" s="105"/>
      <c r="H26" s="105"/>
      <c r="I26" s="105"/>
      <c r="J26" s="105"/>
      <c r="K26" s="107"/>
      <c r="L26" s="105"/>
      <c r="M26" s="105"/>
      <c r="N26" s="105"/>
      <c r="O26" s="105"/>
      <c r="P26" s="58" t="str">
        <f ca="1">IF(TEXT(Project_Start,"mmmm")=TEXT(P27,"mmmm"),"",TEXT(P27,"mmmm"))</f>
        <v/>
      </c>
      <c r="Q26" s="58" t="str">
        <f t="shared" ref="Q26:AV26" ca="1" si="5">IF(TEXT(P27,"mmmm")=TEXT(Q27,"mmmm"),"",TEXT(Q27,"mmmm"))</f>
        <v/>
      </c>
      <c r="R26" s="58" t="str">
        <f t="shared" ca="1" si="5"/>
        <v/>
      </c>
      <c r="S26" s="58" t="str">
        <f t="shared" ca="1" si="5"/>
        <v/>
      </c>
      <c r="T26" s="58" t="str">
        <f t="shared" ca="1" si="5"/>
        <v/>
      </c>
      <c r="U26" s="58" t="str">
        <f t="shared" ca="1" si="5"/>
        <v/>
      </c>
      <c r="V26" s="58" t="str">
        <f t="shared" ca="1" si="5"/>
        <v/>
      </c>
      <c r="W26" s="58" t="str">
        <f t="shared" ca="1" si="5"/>
        <v/>
      </c>
      <c r="X26" s="58" t="str">
        <f t="shared" ca="1" si="5"/>
        <v/>
      </c>
      <c r="Y26" s="58" t="str">
        <f t="shared" ca="1" si="5"/>
        <v/>
      </c>
      <c r="Z26" s="58" t="str">
        <f t="shared" ca="1" si="5"/>
        <v/>
      </c>
      <c r="AA26" s="58" t="str">
        <f t="shared" ca="1" si="5"/>
        <v/>
      </c>
      <c r="AB26" s="58" t="str">
        <f t="shared" ca="1" si="5"/>
        <v/>
      </c>
      <c r="AC26" s="58" t="str">
        <f t="shared" ca="1" si="5"/>
        <v/>
      </c>
      <c r="AD26" s="58" t="str">
        <f t="shared" ca="1" si="5"/>
        <v/>
      </c>
      <c r="AE26" s="58" t="str">
        <f t="shared" ca="1" si="5"/>
        <v/>
      </c>
      <c r="AF26" s="58" t="str">
        <f t="shared" ca="1" si="5"/>
        <v/>
      </c>
      <c r="AG26" s="58" t="str">
        <f t="shared" ca="1" si="5"/>
        <v/>
      </c>
      <c r="AH26" s="58" t="str">
        <f t="shared" ca="1" si="5"/>
        <v/>
      </c>
      <c r="AI26" s="58" t="str">
        <f t="shared" ca="1" si="5"/>
        <v/>
      </c>
      <c r="AJ26" s="58" t="str">
        <f t="shared" ca="1" si="5"/>
        <v>April</v>
      </c>
      <c r="AK26" s="58" t="str">
        <f t="shared" ca="1" si="5"/>
        <v/>
      </c>
      <c r="AL26" s="58" t="str">
        <f t="shared" ca="1" si="5"/>
        <v/>
      </c>
      <c r="AM26" s="58" t="str">
        <f t="shared" ca="1" si="5"/>
        <v/>
      </c>
      <c r="AN26" s="58" t="str">
        <f t="shared" ca="1" si="5"/>
        <v/>
      </c>
      <c r="AO26" s="58" t="str">
        <f t="shared" ca="1" si="5"/>
        <v/>
      </c>
      <c r="AP26" s="58" t="str">
        <f t="shared" ca="1" si="5"/>
        <v/>
      </c>
      <c r="AQ26" s="58" t="str">
        <f t="shared" ca="1" si="5"/>
        <v/>
      </c>
      <c r="AR26" s="58" t="str">
        <f t="shared" ca="1" si="5"/>
        <v/>
      </c>
      <c r="AS26" s="58" t="str">
        <f t="shared" ca="1" si="5"/>
        <v/>
      </c>
      <c r="AT26" s="58" t="str">
        <f t="shared" ca="1" si="5"/>
        <v/>
      </c>
      <c r="AU26" s="58" t="str">
        <f t="shared" ca="1" si="5"/>
        <v/>
      </c>
      <c r="AV26" s="58" t="str">
        <f t="shared" ca="1" si="5"/>
        <v/>
      </c>
      <c r="AW26" s="58" t="str">
        <f t="shared" ref="AW26:CB26" ca="1" si="6">IF(TEXT(AV27,"mmmm")=TEXT(AW27,"mmmm"),"",TEXT(AW27,"mmmm"))</f>
        <v/>
      </c>
      <c r="AX26" s="58" t="str">
        <f t="shared" ca="1" si="6"/>
        <v/>
      </c>
      <c r="AY26" s="58" t="str">
        <f t="shared" ca="1" si="6"/>
        <v/>
      </c>
      <c r="AZ26" s="58" t="str">
        <f t="shared" ca="1" si="6"/>
        <v/>
      </c>
      <c r="BA26" s="58" t="str">
        <f t="shared" ca="1" si="6"/>
        <v/>
      </c>
      <c r="BB26" s="58" t="str">
        <f t="shared" ca="1" si="6"/>
        <v/>
      </c>
      <c r="BC26" s="58" t="str">
        <f t="shared" ca="1" si="6"/>
        <v/>
      </c>
      <c r="BD26" s="58" t="str">
        <f t="shared" ca="1" si="6"/>
        <v/>
      </c>
      <c r="BE26" s="58" t="str">
        <f t="shared" ca="1" si="6"/>
        <v/>
      </c>
      <c r="BF26" s="58" t="str">
        <f t="shared" ca="1" si="6"/>
        <v/>
      </c>
      <c r="BG26" s="58" t="str">
        <f t="shared" ca="1" si="6"/>
        <v/>
      </c>
      <c r="BH26" s="58" t="str">
        <f t="shared" ca="1" si="6"/>
        <v/>
      </c>
      <c r="BI26" s="58" t="str">
        <f t="shared" ca="1" si="6"/>
        <v/>
      </c>
      <c r="BJ26" s="58" t="str">
        <f t="shared" ca="1" si="6"/>
        <v/>
      </c>
      <c r="BK26" s="58" t="str">
        <f t="shared" ca="1" si="6"/>
        <v/>
      </c>
      <c r="BL26" s="58" t="str">
        <f t="shared" ca="1" si="6"/>
        <v/>
      </c>
      <c r="BM26" s="58" t="str">
        <f t="shared" ca="1" si="6"/>
        <v/>
      </c>
      <c r="BN26" s="58" t="str">
        <f t="shared" ca="1" si="6"/>
        <v>May</v>
      </c>
      <c r="BO26" s="58" t="str">
        <f t="shared" ca="1" si="6"/>
        <v/>
      </c>
      <c r="BP26" s="58" t="str">
        <f t="shared" ca="1" si="6"/>
        <v/>
      </c>
      <c r="BQ26" s="58" t="str">
        <f t="shared" ca="1" si="6"/>
        <v/>
      </c>
      <c r="BR26" s="58" t="str">
        <f t="shared" ca="1" si="6"/>
        <v/>
      </c>
      <c r="BS26" s="58" t="str">
        <f t="shared" ca="1" si="6"/>
        <v/>
      </c>
      <c r="BT26" s="58" t="str">
        <f t="shared" ca="1" si="6"/>
        <v/>
      </c>
      <c r="BU26" s="58" t="str">
        <f t="shared" ca="1" si="6"/>
        <v/>
      </c>
      <c r="BV26" s="58" t="str">
        <f t="shared" ca="1" si="6"/>
        <v/>
      </c>
      <c r="BW26" s="58" t="str">
        <f t="shared" ca="1" si="6"/>
        <v/>
      </c>
      <c r="BX26" s="58" t="str">
        <f t="shared" ca="1" si="6"/>
        <v/>
      </c>
      <c r="BY26" s="58" t="str">
        <f t="shared" ca="1" si="6"/>
        <v/>
      </c>
      <c r="BZ26" s="58" t="str">
        <f t="shared" ca="1" si="6"/>
        <v/>
      </c>
      <c r="CA26" s="58" t="str">
        <f t="shared" ca="1" si="6"/>
        <v/>
      </c>
      <c r="CB26" s="58" t="str">
        <f t="shared" ca="1" si="6"/>
        <v/>
      </c>
      <c r="CC26" s="58" t="str">
        <f t="shared" ref="CC26:CU26" ca="1" si="7">IF(TEXT(CB27,"mmmm")=TEXT(CC27,"mmmm"),"",TEXT(CC27,"mmmm"))</f>
        <v/>
      </c>
      <c r="CD26" s="58" t="str">
        <f t="shared" ca="1" si="7"/>
        <v/>
      </c>
      <c r="CE26" s="58" t="str">
        <f t="shared" ca="1" si="7"/>
        <v/>
      </c>
      <c r="CF26" s="58" t="str">
        <f t="shared" ca="1" si="7"/>
        <v/>
      </c>
      <c r="CG26" s="58" t="str">
        <f t="shared" ca="1" si="7"/>
        <v/>
      </c>
      <c r="CH26" s="58" t="str">
        <f t="shared" ca="1" si="7"/>
        <v/>
      </c>
      <c r="CI26" s="58" t="str">
        <f t="shared" ca="1" si="7"/>
        <v/>
      </c>
      <c r="CJ26" s="58" t="str">
        <f t="shared" ca="1" si="7"/>
        <v/>
      </c>
      <c r="CK26" s="58" t="str">
        <f t="shared" ca="1" si="7"/>
        <v/>
      </c>
      <c r="CL26" s="58" t="str">
        <f t="shared" ca="1" si="7"/>
        <v/>
      </c>
      <c r="CM26" s="58" t="str">
        <f t="shared" ca="1" si="7"/>
        <v/>
      </c>
      <c r="CN26" s="58" t="str">
        <f t="shared" ca="1" si="7"/>
        <v/>
      </c>
      <c r="CO26" s="58" t="str">
        <f t="shared" ca="1" si="7"/>
        <v/>
      </c>
      <c r="CP26" s="58" t="str">
        <f t="shared" ca="1" si="7"/>
        <v/>
      </c>
      <c r="CQ26" s="58" t="str">
        <f t="shared" ca="1" si="7"/>
        <v/>
      </c>
      <c r="CR26" s="58" t="str">
        <f t="shared" ca="1" si="7"/>
        <v/>
      </c>
      <c r="CS26" s="58" t="str">
        <f t="shared" ca="1" si="7"/>
        <v>June</v>
      </c>
      <c r="CT26" s="58" t="str">
        <f t="shared" ca="1" si="7"/>
        <v/>
      </c>
      <c r="CU26" s="58" t="str">
        <f t="shared" ca="1" si="7"/>
        <v/>
      </c>
    </row>
    <row r="27" spans="1:125" s="55" customFormat="1" ht="34.5" customHeight="1" thickTop="1" x14ac:dyDescent="0.25">
      <c r="A27" s="259" t="s">
        <v>222</v>
      </c>
      <c r="B27" s="259" t="s">
        <v>223</v>
      </c>
      <c r="C27" s="259" t="s">
        <v>224</v>
      </c>
      <c r="D27" s="259" t="s">
        <v>225</v>
      </c>
      <c r="E27" s="259" t="s">
        <v>226</v>
      </c>
      <c r="F27" s="259" t="s">
        <v>197</v>
      </c>
      <c r="G27" s="278" t="s">
        <v>198</v>
      </c>
      <c r="H27" s="278" t="s">
        <v>227</v>
      </c>
      <c r="I27" s="259" t="s">
        <v>228</v>
      </c>
      <c r="J27" s="259" t="s">
        <v>229</v>
      </c>
      <c r="K27" s="279" t="s">
        <v>230</v>
      </c>
      <c r="L27" s="259" t="s">
        <v>231</v>
      </c>
      <c r="M27" s="259" t="s">
        <v>232</v>
      </c>
      <c r="N27" s="22" t="s">
        <v>234</v>
      </c>
      <c r="O27" s="22" t="s">
        <v>137</v>
      </c>
      <c r="P27" s="61">
        <f ca="1">IFERROR(Project_Start+Scrolling_Increment,TODAY())</f>
        <v>45363</v>
      </c>
      <c r="Q27" s="61">
        <f t="shared" ref="Q27:AV27" ca="1" si="8">+P27+1</f>
        <v>45364</v>
      </c>
      <c r="R27" s="61">
        <f t="shared" ca="1" si="8"/>
        <v>45365</v>
      </c>
      <c r="S27" s="61">
        <f t="shared" ca="1" si="8"/>
        <v>45366</v>
      </c>
      <c r="T27" s="61">
        <f t="shared" ca="1" si="8"/>
        <v>45367</v>
      </c>
      <c r="U27" s="61">
        <f t="shared" ca="1" si="8"/>
        <v>45368</v>
      </c>
      <c r="V27" s="61">
        <f t="shared" ca="1" si="8"/>
        <v>45369</v>
      </c>
      <c r="W27" s="61">
        <f t="shared" ca="1" si="8"/>
        <v>45370</v>
      </c>
      <c r="X27" s="61">
        <f t="shared" ca="1" si="8"/>
        <v>45371</v>
      </c>
      <c r="Y27" s="61">
        <f t="shared" ca="1" si="8"/>
        <v>45372</v>
      </c>
      <c r="Z27" s="61">
        <f t="shared" ca="1" si="8"/>
        <v>45373</v>
      </c>
      <c r="AA27" s="61">
        <f t="shared" ca="1" si="8"/>
        <v>45374</v>
      </c>
      <c r="AB27" s="61">
        <f t="shared" ca="1" si="8"/>
        <v>45375</v>
      </c>
      <c r="AC27" s="61">
        <f t="shared" ca="1" si="8"/>
        <v>45376</v>
      </c>
      <c r="AD27" s="61">
        <f t="shared" ca="1" si="8"/>
        <v>45377</v>
      </c>
      <c r="AE27" s="61">
        <f t="shared" ca="1" si="8"/>
        <v>45378</v>
      </c>
      <c r="AF27" s="61">
        <f t="shared" ca="1" si="8"/>
        <v>45379</v>
      </c>
      <c r="AG27" s="61">
        <f t="shared" ca="1" si="8"/>
        <v>45380</v>
      </c>
      <c r="AH27" s="61">
        <f t="shared" ca="1" si="8"/>
        <v>45381</v>
      </c>
      <c r="AI27" s="61">
        <f t="shared" ca="1" si="8"/>
        <v>45382</v>
      </c>
      <c r="AJ27" s="61">
        <f t="shared" ca="1" si="8"/>
        <v>45383</v>
      </c>
      <c r="AK27" s="61">
        <f t="shared" ca="1" si="8"/>
        <v>45384</v>
      </c>
      <c r="AL27" s="61">
        <f t="shared" ca="1" si="8"/>
        <v>45385</v>
      </c>
      <c r="AM27" s="61">
        <f t="shared" ca="1" si="8"/>
        <v>45386</v>
      </c>
      <c r="AN27" s="61">
        <f t="shared" ca="1" si="8"/>
        <v>45387</v>
      </c>
      <c r="AO27" s="61">
        <f t="shared" ca="1" si="8"/>
        <v>45388</v>
      </c>
      <c r="AP27" s="61">
        <f t="shared" ca="1" si="8"/>
        <v>45389</v>
      </c>
      <c r="AQ27" s="61">
        <f t="shared" ca="1" si="8"/>
        <v>45390</v>
      </c>
      <c r="AR27" s="61">
        <f t="shared" ca="1" si="8"/>
        <v>45391</v>
      </c>
      <c r="AS27" s="61">
        <f t="shared" ca="1" si="8"/>
        <v>45392</v>
      </c>
      <c r="AT27" s="61">
        <f t="shared" ca="1" si="8"/>
        <v>45393</v>
      </c>
      <c r="AU27" s="61">
        <f t="shared" ca="1" si="8"/>
        <v>45394</v>
      </c>
      <c r="AV27" s="61">
        <f t="shared" ca="1" si="8"/>
        <v>45395</v>
      </c>
      <c r="AW27" s="61">
        <f t="shared" ref="AW27:CB27" ca="1" si="9">+AV27+1</f>
        <v>45396</v>
      </c>
      <c r="AX27" s="61">
        <f t="shared" ca="1" si="9"/>
        <v>45397</v>
      </c>
      <c r="AY27" s="61">
        <f t="shared" ca="1" si="9"/>
        <v>45398</v>
      </c>
      <c r="AZ27" s="61">
        <f t="shared" ca="1" si="9"/>
        <v>45399</v>
      </c>
      <c r="BA27" s="61">
        <f t="shared" ca="1" si="9"/>
        <v>45400</v>
      </c>
      <c r="BB27" s="61">
        <f t="shared" ca="1" si="9"/>
        <v>45401</v>
      </c>
      <c r="BC27" s="61">
        <f t="shared" ca="1" si="9"/>
        <v>45402</v>
      </c>
      <c r="BD27" s="61">
        <f t="shared" ca="1" si="9"/>
        <v>45403</v>
      </c>
      <c r="BE27" s="61">
        <f t="shared" ca="1" si="9"/>
        <v>45404</v>
      </c>
      <c r="BF27" s="61">
        <f t="shared" ca="1" si="9"/>
        <v>45405</v>
      </c>
      <c r="BG27" s="61">
        <f t="shared" ca="1" si="9"/>
        <v>45406</v>
      </c>
      <c r="BH27" s="61">
        <f t="shared" ca="1" si="9"/>
        <v>45407</v>
      </c>
      <c r="BI27" s="61">
        <f t="shared" ca="1" si="9"/>
        <v>45408</v>
      </c>
      <c r="BJ27" s="61">
        <f t="shared" ca="1" si="9"/>
        <v>45409</v>
      </c>
      <c r="BK27" s="61">
        <f t="shared" ca="1" si="9"/>
        <v>45410</v>
      </c>
      <c r="BL27" s="61">
        <f t="shared" ca="1" si="9"/>
        <v>45411</v>
      </c>
      <c r="BM27" s="61">
        <f t="shared" ca="1" si="9"/>
        <v>45412</v>
      </c>
      <c r="BN27" s="61">
        <f t="shared" ca="1" si="9"/>
        <v>45413</v>
      </c>
      <c r="BO27" s="61">
        <f t="shared" ca="1" si="9"/>
        <v>45414</v>
      </c>
      <c r="BP27" s="61">
        <f t="shared" ca="1" si="9"/>
        <v>45415</v>
      </c>
      <c r="BQ27" s="61">
        <f t="shared" ca="1" si="9"/>
        <v>45416</v>
      </c>
      <c r="BR27" s="61">
        <f t="shared" ca="1" si="9"/>
        <v>45417</v>
      </c>
      <c r="BS27" s="61">
        <f t="shared" ca="1" si="9"/>
        <v>45418</v>
      </c>
      <c r="BT27" s="61">
        <f t="shared" ca="1" si="9"/>
        <v>45419</v>
      </c>
      <c r="BU27" s="61">
        <f t="shared" ca="1" si="9"/>
        <v>45420</v>
      </c>
      <c r="BV27" s="61">
        <f t="shared" ca="1" si="9"/>
        <v>45421</v>
      </c>
      <c r="BW27" s="61">
        <f t="shared" ca="1" si="9"/>
        <v>45422</v>
      </c>
      <c r="BX27" s="61">
        <f t="shared" ca="1" si="9"/>
        <v>45423</v>
      </c>
      <c r="BY27" s="61">
        <f t="shared" ca="1" si="9"/>
        <v>45424</v>
      </c>
      <c r="BZ27" s="61">
        <f t="shared" ca="1" si="9"/>
        <v>45425</v>
      </c>
      <c r="CA27" s="61">
        <f t="shared" ca="1" si="9"/>
        <v>45426</v>
      </c>
      <c r="CB27" s="61">
        <f t="shared" ca="1" si="9"/>
        <v>45427</v>
      </c>
      <c r="CC27" s="61">
        <f t="shared" ref="CC27:CU27" ca="1" si="10">+CB27+1</f>
        <v>45428</v>
      </c>
      <c r="CD27" s="61">
        <f t="shared" ca="1" si="10"/>
        <v>45429</v>
      </c>
      <c r="CE27" s="61">
        <f t="shared" ca="1" si="10"/>
        <v>45430</v>
      </c>
      <c r="CF27" s="61">
        <f t="shared" ca="1" si="10"/>
        <v>45431</v>
      </c>
      <c r="CG27" s="61">
        <f t="shared" ca="1" si="10"/>
        <v>45432</v>
      </c>
      <c r="CH27" s="61">
        <f t="shared" ca="1" si="10"/>
        <v>45433</v>
      </c>
      <c r="CI27" s="61">
        <f t="shared" ca="1" si="10"/>
        <v>45434</v>
      </c>
      <c r="CJ27" s="61">
        <f t="shared" ca="1" si="10"/>
        <v>45435</v>
      </c>
      <c r="CK27" s="61">
        <f t="shared" ca="1" si="10"/>
        <v>45436</v>
      </c>
      <c r="CL27" s="61">
        <f t="shared" ca="1" si="10"/>
        <v>45437</v>
      </c>
      <c r="CM27" s="61">
        <f t="shared" ca="1" si="10"/>
        <v>45438</v>
      </c>
      <c r="CN27" s="61">
        <f t="shared" ca="1" si="10"/>
        <v>45439</v>
      </c>
      <c r="CO27" s="61">
        <f t="shared" ca="1" si="10"/>
        <v>45440</v>
      </c>
      <c r="CP27" s="61">
        <f t="shared" ca="1" si="10"/>
        <v>45441</v>
      </c>
      <c r="CQ27" s="61">
        <f t="shared" ca="1" si="10"/>
        <v>45442</v>
      </c>
      <c r="CR27" s="61">
        <f t="shared" ca="1" si="10"/>
        <v>45443</v>
      </c>
      <c r="CS27" s="61">
        <f t="shared" ca="1" si="10"/>
        <v>45444</v>
      </c>
      <c r="CT27" s="61">
        <f t="shared" ca="1" si="10"/>
        <v>45445</v>
      </c>
      <c r="CU27" s="61">
        <f t="shared" ca="1" si="10"/>
        <v>45446</v>
      </c>
    </row>
    <row r="28" spans="1:125" s="41" customFormat="1" ht="20.100000000000001" customHeight="1" x14ac:dyDescent="0.25">
      <c r="A28" t="s">
        <v>545</v>
      </c>
      <c r="B28">
        <v>1</v>
      </c>
      <c r="C28" t="s">
        <v>199</v>
      </c>
      <c r="D28" t="s">
        <v>199</v>
      </c>
      <c r="E28" t="s">
        <v>200</v>
      </c>
      <c r="F28">
        <v>0</v>
      </c>
      <c r="G28" s="14"/>
      <c r="H28" s="14"/>
      <c r="I28"/>
      <c r="J28">
        <v>4</v>
      </c>
      <c r="K28" s="246">
        <v>45363</v>
      </c>
      <c r="L28"/>
      <c r="M28" s="14"/>
      <c r="N28" s="299"/>
      <c r="O28" s="281"/>
      <c r="P28" s="36">
        <f ca="1">IFERROR(+IF(P$27=ProposalToGnatt[[#This Row],[Start Date]],Milestone_Marker,IF(AND(P$27&gt;ProposalToGnatt[[#This Row],[Start Date]],P$27&lt;ProposalToGnatt[[#This Row],[Start Date]]+ProposalToGnatt[[#This Row],[Days]]),$G$5,"")),"")</f>
        <v>1</v>
      </c>
      <c r="Q28" s="36" t="str">
        <f ca="1">IFERROR(+IF(Q$27=ProposalToGnatt[[#This Row],[Start Date]],Milestone_Marker,IF(AND(Q$27&gt;ProposalToGnatt[[#This Row],[Start Date]],Q$27&lt;ProposalToGnatt[[#This Row],[Start Date]]+ProposalToGnatt[[#This Row],[Days]]),$G$5,"")),"")</f>
        <v/>
      </c>
      <c r="R28" s="36" t="str">
        <f ca="1">IFERROR(+IF(R$27=ProposalToGnatt[[#This Row],[Start Date]],Milestone_Marker,IF(AND(R$27&gt;ProposalToGnatt[[#This Row],[Start Date]],R$27&lt;ProposalToGnatt[[#This Row],[Start Date]]+ProposalToGnatt[[#This Row],[Days]]),$G$5,"")),"")</f>
        <v/>
      </c>
      <c r="S28" s="36" t="str">
        <f ca="1">IFERROR(+IF(S$27=ProposalToGnatt[[#This Row],[Start Date]],Milestone_Marker,IF(AND(S$27&gt;ProposalToGnatt[[#This Row],[Start Date]],S$27&lt;ProposalToGnatt[[#This Row],[Start Date]]+ProposalToGnatt[[#This Row],[Days]]),$G$5,"")),"")</f>
        <v/>
      </c>
      <c r="T28" s="36" t="str">
        <f ca="1">IFERROR(+IF(T$27=ProposalToGnatt[[#This Row],[Start Date]],Milestone_Marker,IF(AND(T$27&gt;ProposalToGnatt[[#This Row],[Start Date]],T$27&lt;ProposalToGnatt[[#This Row],[Start Date]]+ProposalToGnatt[[#This Row],[Days]]),$G$5,"")),"")</f>
        <v/>
      </c>
      <c r="U28" s="36" t="str">
        <f ca="1">IFERROR(+IF(U$27=ProposalToGnatt[[#This Row],[Start Date]],Milestone_Marker,IF(AND(U$27&gt;ProposalToGnatt[[#This Row],[Start Date]],U$27&lt;ProposalToGnatt[[#This Row],[Start Date]]+ProposalToGnatt[[#This Row],[Days]]),$G$5,"")),"")</f>
        <v/>
      </c>
      <c r="V28" s="36" t="str">
        <f ca="1">IFERROR(+IF(V$27=ProposalToGnatt[[#This Row],[Start Date]],Milestone_Marker,IF(AND(V$27&gt;ProposalToGnatt[[#This Row],[Start Date]],V$27&lt;ProposalToGnatt[[#This Row],[Start Date]]+ProposalToGnatt[[#This Row],[Days]]),$G$5,"")),"")</f>
        <v/>
      </c>
      <c r="W28" s="36" t="str">
        <f ca="1">IFERROR(+IF(W$27=ProposalToGnatt[[#This Row],[Start Date]],Milestone_Marker,IF(AND(W$27&gt;ProposalToGnatt[[#This Row],[Start Date]],W$27&lt;ProposalToGnatt[[#This Row],[Start Date]]+ProposalToGnatt[[#This Row],[Days]]),$G$5,"")),"")</f>
        <v/>
      </c>
      <c r="X28" s="36" t="str">
        <f ca="1">IFERROR(+IF(X$27=ProposalToGnatt[[#This Row],[Start Date]],Milestone_Marker,IF(AND(X$27&gt;ProposalToGnatt[[#This Row],[Start Date]],X$27&lt;ProposalToGnatt[[#This Row],[Start Date]]+ProposalToGnatt[[#This Row],[Days]]),$G$5,"")),"")</f>
        <v/>
      </c>
      <c r="Y28" s="36" t="str">
        <f ca="1">IFERROR(+IF(Y$27=ProposalToGnatt[[#This Row],[Start Date]],Milestone_Marker,IF(AND(Y$27&gt;ProposalToGnatt[[#This Row],[Start Date]],Y$27&lt;ProposalToGnatt[[#This Row],[Start Date]]+ProposalToGnatt[[#This Row],[Days]]),$G$5,"")),"")</f>
        <v/>
      </c>
      <c r="Z28" s="36" t="str">
        <f ca="1">IFERROR(+IF(Z$27=ProposalToGnatt[[#This Row],[Start Date]],Milestone_Marker,IF(AND(Z$27&gt;ProposalToGnatt[[#This Row],[Start Date]],Z$27&lt;ProposalToGnatt[[#This Row],[Start Date]]+ProposalToGnatt[[#This Row],[Days]]),$G$5,"")),"")</f>
        <v/>
      </c>
      <c r="AA28" s="36" t="str">
        <f ca="1">IFERROR(+IF(AA$27=ProposalToGnatt[[#This Row],[Start Date]],Milestone_Marker,IF(AND(AA$27&gt;ProposalToGnatt[[#This Row],[Start Date]],AA$27&lt;ProposalToGnatt[[#This Row],[Start Date]]+ProposalToGnatt[[#This Row],[Days]]),$G$5,"")),"")</f>
        <v/>
      </c>
      <c r="AB28" s="36" t="str">
        <f ca="1">IFERROR(+IF(AB$27=ProposalToGnatt[[#This Row],[Start Date]],Milestone_Marker,IF(AND(AB$27&gt;ProposalToGnatt[[#This Row],[Start Date]],AB$27&lt;ProposalToGnatt[[#This Row],[Start Date]]+ProposalToGnatt[[#This Row],[Days]]),$G$5,"")),"")</f>
        <v/>
      </c>
      <c r="AC28" s="36" t="str">
        <f ca="1">IFERROR(+IF(AC$27=ProposalToGnatt[[#This Row],[Start Date]],Milestone_Marker,IF(AND(AC$27&gt;ProposalToGnatt[[#This Row],[Start Date]],AC$27&lt;ProposalToGnatt[[#This Row],[Start Date]]+ProposalToGnatt[[#This Row],[Days]]),$G$5,"")),"")</f>
        <v/>
      </c>
      <c r="AD28" s="36" t="str">
        <f ca="1">IFERROR(+IF(AD$27=ProposalToGnatt[[#This Row],[Start Date]],Milestone_Marker,IF(AND(AD$27&gt;ProposalToGnatt[[#This Row],[Start Date]],AD$27&lt;ProposalToGnatt[[#This Row],[Start Date]]+ProposalToGnatt[[#This Row],[Days]]),$G$5,"")),"")</f>
        <v/>
      </c>
      <c r="AE28" s="36" t="str">
        <f ca="1">IFERROR(+IF(AE$27=ProposalToGnatt[[#This Row],[Start Date]],Milestone_Marker,IF(AND(AE$27&gt;ProposalToGnatt[[#This Row],[Start Date]],AE$27&lt;ProposalToGnatt[[#This Row],[Start Date]]+ProposalToGnatt[[#This Row],[Days]]),$G$5,"")),"")</f>
        <v/>
      </c>
      <c r="AF28" s="36" t="str">
        <f ca="1">IFERROR(+IF(AF$27=ProposalToGnatt[[#This Row],[Start Date]],Milestone_Marker,IF(AND(AF$27&gt;ProposalToGnatt[[#This Row],[Start Date]],AF$27&lt;ProposalToGnatt[[#This Row],[Start Date]]+ProposalToGnatt[[#This Row],[Days]]),$G$5,"")),"")</f>
        <v/>
      </c>
      <c r="AG28" s="36" t="str">
        <f ca="1">IFERROR(+IF(AG$27=ProposalToGnatt[[#This Row],[Start Date]],Milestone_Marker,IF(AND(AG$27&gt;ProposalToGnatt[[#This Row],[Start Date]],AG$27&lt;ProposalToGnatt[[#This Row],[Start Date]]+ProposalToGnatt[[#This Row],[Days]]),$G$5,"")),"")</f>
        <v/>
      </c>
      <c r="AH28" s="36" t="str">
        <f ca="1">IFERROR(+IF(AH$27=ProposalToGnatt[[#This Row],[Start Date]],Milestone_Marker,IF(AND(AH$27&gt;ProposalToGnatt[[#This Row],[Start Date]],AH$27&lt;ProposalToGnatt[[#This Row],[Start Date]]+ProposalToGnatt[[#This Row],[Days]]),$G$5,"")),"")</f>
        <v/>
      </c>
      <c r="AI28" s="36" t="str">
        <f ca="1">IFERROR(+IF(AI$27=ProposalToGnatt[[#This Row],[Start Date]],Milestone_Marker,IF(AND(AI$27&gt;ProposalToGnatt[[#This Row],[Start Date]],AI$27&lt;ProposalToGnatt[[#This Row],[Start Date]]+ProposalToGnatt[[#This Row],[Days]]),$G$5,"")),"")</f>
        <v/>
      </c>
      <c r="AJ28" s="36" t="str">
        <f ca="1">IFERROR(+IF(AJ$27=ProposalToGnatt[[#This Row],[Start Date]],Milestone_Marker,IF(AND(AJ$27&gt;ProposalToGnatt[[#This Row],[Start Date]],AJ$27&lt;ProposalToGnatt[[#This Row],[Start Date]]+ProposalToGnatt[[#This Row],[Days]]),$G$5,"")),"")</f>
        <v/>
      </c>
      <c r="AK28" s="36" t="str">
        <f ca="1">IFERROR(+IF(AK$27=ProposalToGnatt[[#This Row],[Start Date]],Milestone_Marker,IF(AND(AK$27&gt;ProposalToGnatt[[#This Row],[Start Date]],AK$27&lt;ProposalToGnatt[[#This Row],[Start Date]]+ProposalToGnatt[[#This Row],[Days]]),$G$5,"")),"")</f>
        <v/>
      </c>
      <c r="AL28" s="36" t="str">
        <f ca="1">IFERROR(+IF(AL$27=ProposalToGnatt[[#This Row],[Start Date]],Milestone_Marker,IF(AND(AL$27&gt;ProposalToGnatt[[#This Row],[Start Date]],AL$27&lt;ProposalToGnatt[[#This Row],[Start Date]]+ProposalToGnatt[[#This Row],[Days]]),$G$5,"")),"")</f>
        <v/>
      </c>
      <c r="AM28" s="36" t="str">
        <f ca="1">IFERROR(+IF(AM$27=ProposalToGnatt[[#This Row],[Start Date]],Milestone_Marker,IF(AND(AM$27&gt;ProposalToGnatt[[#This Row],[Start Date]],AM$27&lt;ProposalToGnatt[[#This Row],[Start Date]]+ProposalToGnatt[[#This Row],[Days]]),$G$5,"")),"")</f>
        <v/>
      </c>
      <c r="AN28" s="36" t="str">
        <f ca="1">IFERROR(+IF(AN$27=ProposalToGnatt[[#This Row],[Start Date]],Milestone_Marker,IF(AND(AN$27&gt;ProposalToGnatt[[#This Row],[Start Date]],AN$27&lt;ProposalToGnatt[[#This Row],[Start Date]]+ProposalToGnatt[[#This Row],[Days]]),$G$5,"")),"")</f>
        <v/>
      </c>
      <c r="AO28" s="36" t="str">
        <f ca="1">IFERROR(+IF(AO$27=ProposalToGnatt[[#This Row],[Start Date]],Milestone_Marker,IF(AND(AO$27&gt;ProposalToGnatt[[#This Row],[Start Date]],AO$27&lt;ProposalToGnatt[[#This Row],[Start Date]]+ProposalToGnatt[[#This Row],[Days]]),$G$5,"")),"")</f>
        <v/>
      </c>
      <c r="AP28" s="36" t="str">
        <f ca="1">IFERROR(+IF(AP$27=ProposalToGnatt[[#This Row],[Start Date]],Milestone_Marker,IF(AND(AP$27&gt;ProposalToGnatt[[#This Row],[Start Date]],AP$27&lt;ProposalToGnatt[[#This Row],[Start Date]]+ProposalToGnatt[[#This Row],[Days]]),$G$5,"")),"")</f>
        <v/>
      </c>
      <c r="AQ28" s="36" t="str">
        <f ca="1">IFERROR(+IF(AQ$27=ProposalToGnatt[[#This Row],[Start Date]],Milestone_Marker,IF(AND(AQ$27&gt;ProposalToGnatt[[#This Row],[Start Date]],AQ$27&lt;ProposalToGnatt[[#This Row],[Start Date]]+ProposalToGnatt[[#This Row],[Days]]),$G$5,"")),"")</f>
        <v/>
      </c>
      <c r="AR28" s="36" t="str">
        <f ca="1">IFERROR(+IF(AR$27=ProposalToGnatt[[#This Row],[Start Date]],Milestone_Marker,IF(AND(AR$27&gt;ProposalToGnatt[[#This Row],[Start Date]],AR$27&lt;ProposalToGnatt[[#This Row],[Start Date]]+ProposalToGnatt[[#This Row],[Days]]),$G$5,"")),"")</f>
        <v/>
      </c>
      <c r="AS28" s="36" t="str">
        <f ca="1">IFERROR(+IF(AS$27=ProposalToGnatt[[#This Row],[Start Date]],Milestone_Marker,IF(AND(AS$27&gt;ProposalToGnatt[[#This Row],[Start Date]],AS$27&lt;ProposalToGnatt[[#This Row],[Start Date]]+ProposalToGnatt[[#This Row],[Days]]),$G$5,"")),"")</f>
        <v/>
      </c>
      <c r="AT28" s="36" t="str">
        <f ca="1">IFERROR(+IF(AT$27=ProposalToGnatt[[#This Row],[Start Date]],Milestone_Marker,IF(AND(AT$27&gt;ProposalToGnatt[[#This Row],[Start Date]],AT$27&lt;ProposalToGnatt[[#This Row],[Start Date]]+ProposalToGnatt[[#This Row],[Days]]),$G$5,"")),"")</f>
        <v/>
      </c>
      <c r="AU28" s="36" t="str">
        <f ca="1">IFERROR(+IF(AU$27=ProposalToGnatt[[#This Row],[Start Date]],Milestone_Marker,IF(AND(AU$27&gt;ProposalToGnatt[[#This Row],[Start Date]],AU$27&lt;ProposalToGnatt[[#This Row],[Start Date]]+ProposalToGnatt[[#This Row],[Days]]),$G$5,"")),"")</f>
        <v/>
      </c>
      <c r="AV28" s="36" t="str">
        <f ca="1">IFERROR(+IF(AV$27=ProposalToGnatt[[#This Row],[Start Date]],Milestone_Marker,IF(AND(AV$27&gt;ProposalToGnatt[[#This Row],[Start Date]],AV$27&lt;ProposalToGnatt[[#This Row],[Start Date]]+ProposalToGnatt[[#This Row],[Days]]),$G$5,"")),"")</f>
        <v/>
      </c>
      <c r="AW28" s="36" t="str">
        <f ca="1">IFERROR(+IF(AW$27=ProposalToGnatt[[#This Row],[Start Date]],Milestone_Marker,IF(AND(AW$27&gt;ProposalToGnatt[[#This Row],[Start Date]],AW$27&lt;ProposalToGnatt[[#This Row],[Start Date]]+ProposalToGnatt[[#This Row],[Days]]),$G$5,"")),"")</f>
        <v/>
      </c>
      <c r="AX28" s="36" t="str">
        <f ca="1">IFERROR(+IF(AX$27=ProposalToGnatt[[#This Row],[Start Date]],Milestone_Marker,IF(AND(AX$27&gt;ProposalToGnatt[[#This Row],[Start Date]],AX$27&lt;ProposalToGnatt[[#This Row],[Start Date]]+ProposalToGnatt[[#This Row],[Days]]),$G$5,"")),"")</f>
        <v/>
      </c>
      <c r="AY28" s="36" t="str">
        <f ca="1">IFERROR(+IF(AY$27=ProposalToGnatt[[#This Row],[Start Date]],Milestone_Marker,IF(AND(AY$27&gt;ProposalToGnatt[[#This Row],[Start Date]],AY$27&lt;ProposalToGnatt[[#This Row],[Start Date]]+ProposalToGnatt[[#This Row],[Days]]),$G$5,"")),"")</f>
        <v/>
      </c>
      <c r="AZ28" s="36" t="str">
        <f ca="1">IFERROR(+IF(AZ$27=ProposalToGnatt[[#This Row],[Start Date]],Milestone_Marker,IF(AND(AZ$27&gt;ProposalToGnatt[[#This Row],[Start Date]],AZ$27&lt;ProposalToGnatt[[#This Row],[Start Date]]+ProposalToGnatt[[#This Row],[Days]]),$G$5,"")),"")</f>
        <v/>
      </c>
      <c r="BA28" s="36" t="str">
        <f ca="1">IFERROR(+IF(BA$27=ProposalToGnatt[[#This Row],[Start Date]],Milestone_Marker,IF(AND(BA$27&gt;ProposalToGnatt[[#This Row],[Start Date]],BA$27&lt;ProposalToGnatt[[#This Row],[Start Date]]+ProposalToGnatt[[#This Row],[Days]]),$G$5,"")),"")</f>
        <v/>
      </c>
      <c r="BB28" s="36" t="str">
        <f ca="1">IFERROR(+IF(BB$27=ProposalToGnatt[[#This Row],[Start Date]],Milestone_Marker,IF(AND(BB$27&gt;ProposalToGnatt[[#This Row],[Start Date]],BB$27&lt;ProposalToGnatt[[#This Row],[Start Date]]+ProposalToGnatt[[#This Row],[Days]]),$G$5,"")),"")</f>
        <v/>
      </c>
      <c r="BC28" s="36" t="str">
        <f ca="1">IFERROR(+IF(BC$27=ProposalToGnatt[[#This Row],[Start Date]],Milestone_Marker,IF(AND(BC$27&gt;ProposalToGnatt[[#This Row],[Start Date]],BC$27&lt;ProposalToGnatt[[#This Row],[Start Date]]+ProposalToGnatt[[#This Row],[Days]]),$G$5,"")),"")</f>
        <v/>
      </c>
      <c r="BD28" s="36" t="str">
        <f ca="1">IFERROR(+IF(BD$27=ProposalToGnatt[[#This Row],[Start Date]],Milestone_Marker,IF(AND(BD$27&gt;ProposalToGnatt[[#This Row],[Start Date]],BD$27&lt;ProposalToGnatt[[#This Row],[Start Date]]+ProposalToGnatt[[#This Row],[Days]]),$G$5,"")),"")</f>
        <v/>
      </c>
      <c r="BE28" s="36" t="str">
        <f ca="1">IFERROR(+IF(BE$27=ProposalToGnatt[[#This Row],[Start Date]],Milestone_Marker,IF(AND(BE$27&gt;ProposalToGnatt[[#This Row],[Start Date]],BE$27&lt;ProposalToGnatt[[#This Row],[Start Date]]+ProposalToGnatt[[#This Row],[Days]]),$G$5,"")),"")</f>
        <v/>
      </c>
      <c r="BF28" s="36" t="str">
        <f ca="1">IFERROR(+IF(BF$27=ProposalToGnatt[[#This Row],[Start Date]],Milestone_Marker,IF(AND(BF$27&gt;ProposalToGnatt[[#This Row],[Start Date]],BF$27&lt;ProposalToGnatt[[#This Row],[Start Date]]+ProposalToGnatt[[#This Row],[Days]]),$G$5,"")),"")</f>
        <v/>
      </c>
      <c r="BG28" s="36" t="str">
        <f ca="1">IFERROR(+IF(BG$27=ProposalToGnatt[[#This Row],[Start Date]],Milestone_Marker,IF(AND(BG$27&gt;ProposalToGnatt[[#This Row],[Start Date]],BG$27&lt;ProposalToGnatt[[#This Row],[Start Date]]+ProposalToGnatt[[#This Row],[Days]]),$G$5,"")),"")</f>
        <v/>
      </c>
      <c r="BH28" s="36" t="str">
        <f ca="1">IFERROR(+IF(BH$27=ProposalToGnatt[[#This Row],[Start Date]],Milestone_Marker,IF(AND(BH$27&gt;ProposalToGnatt[[#This Row],[Start Date]],BH$27&lt;ProposalToGnatt[[#This Row],[Start Date]]+ProposalToGnatt[[#This Row],[Days]]),$G$5,"")),"")</f>
        <v/>
      </c>
      <c r="BI28" s="36" t="str">
        <f ca="1">IFERROR(+IF(BI$27=ProposalToGnatt[[#This Row],[Start Date]],Milestone_Marker,IF(AND(BI$27&gt;ProposalToGnatt[[#This Row],[Start Date]],BI$27&lt;ProposalToGnatt[[#This Row],[Start Date]]+ProposalToGnatt[[#This Row],[Days]]),$G$5,"")),"")</f>
        <v/>
      </c>
      <c r="BJ28" s="36" t="str">
        <f ca="1">IFERROR(+IF(BJ$27=ProposalToGnatt[[#This Row],[Start Date]],Milestone_Marker,IF(AND(BJ$27&gt;ProposalToGnatt[[#This Row],[Start Date]],BJ$27&lt;ProposalToGnatt[[#This Row],[Start Date]]+ProposalToGnatt[[#This Row],[Days]]),$G$5,"")),"")</f>
        <v/>
      </c>
      <c r="BK28" s="36" t="str">
        <f ca="1">IFERROR(+IF(BK$27=ProposalToGnatt[[#This Row],[Start Date]],Milestone_Marker,IF(AND(BK$27&gt;ProposalToGnatt[[#This Row],[Start Date]],BK$27&lt;ProposalToGnatt[[#This Row],[Start Date]]+ProposalToGnatt[[#This Row],[Days]]),$G$5,"")),"")</f>
        <v/>
      </c>
      <c r="BL28" s="36" t="str">
        <f ca="1">IFERROR(+IF(BL$27=ProposalToGnatt[[#This Row],[Start Date]],Milestone_Marker,IF(AND(BL$27&gt;ProposalToGnatt[[#This Row],[Start Date]],BL$27&lt;ProposalToGnatt[[#This Row],[Start Date]]+ProposalToGnatt[[#This Row],[Days]]),$G$5,"")),"")</f>
        <v/>
      </c>
      <c r="BM28" s="36" t="str">
        <f ca="1">IFERROR(+IF(BM$27=ProposalToGnatt[[#This Row],[Start Date]],Milestone_Marker,IF(AND(BM$27&gt;ProposalToGnatt[[#This Row],[Start Date]],BM$27&lt;ProposalToGnatt[[#This Row],[Start Date]]+ProposalToGnatt[[#This Row],[Days]]),$G$5,"")),"")</f>
        <v/>
      </c>
      <c r="BN28" s="36" t="str">
        <f ca="1">IFERROR(+IF(BN$27=ProposalToGnatt[[#This Row],[Start Date]],Milestone_Marker,IF(AND(BN$27&gt;ProposalToGnatt[[#This Row],[Start Date]],BN$27&lt;ProposalToGnatt[[#This Row],[Start Date]]+ProposalToGnatt[[#This Row],[Days]]),$G$5,"")),"")</f>
        <v/>
      </c>
      <c r="BO28" s="36" t="str">
        <f ca="1">IFERROR(+IF(BO$27=ProposalToGnatt[[#This Row],[Start Date]],Milestone_Marker,IF(AND(BO$27&gt;ProposalToGnatt[[#This Row],[Start Date]],BO$27&lt;ProposalToGnatt[[#This Row],[Start Date]]+ProposalToGnatt[[#This Row],[Days]]),$G$5,"")),"")</f>
        <v/>
      </c>
      <c r="BP28" s="36" t="str">
        <f ca="1">IFERROR(+IF(BP$27=ProposalToGnatt[[#This Row],[Start Date]],Milestone_Marker,IF(AND(BP$27&gt;ProposalToGnatt[[#This Row],[Start Date]],BP$27&lt;ProposalToGnatt[[#This Row],[Start Date]]+ProposalToGnatt[[#This Row],[Days]]),$G$5,"")),"")</f>
        <v/>
      </c>
      <c r="BQ28" s="36" t="str">
        <f ca="1">IFERROR(+IF(BQ$27=ProposalToGnatt[[#This Row],[Start Date]],Milestone_Marker,IF(AND(BQ$27&gt;ProposalToGnatt[[#This Row],[Start Date]],BQ$27&lt;ProposalToGnatt[[#This Row],[Start Date]]+ProposalToGnatt[[#This Row],[Days]]),$G$5,"")),"")</f>
        <v/>
      </c>
      <c r="BR28" s="36" t="str">
        <f ca="1">IFERROR(+IF(BR$27=ProposalToGnatt[[#This Row],[Start Date]],Milestone_Marker,IF(AND(BR$27&gt;ProposalToGnatt[[#This Row],[Start Date]],BR$27&lt;ProposalToGnatt[[#This Row],[Start Date]]+ProposalToGnatt[[#This Row],[Days]]),$G$5,"")),"")</f>
        <v/>
      </c>
      <c r="BS28" s="36" t="str">
        <f ca="1">IFERROR(+IF(BS$27=ProposalToGnatt[[#This Row],[Start Date]],Milestone_Marker,IF(AND(BS$27&gt;ProposalToGnatt[[#This Row],[Start Date]],BS$27&lt;ProposalToGnatt[[#This Row],[Start Date]]+ProposalToGnatt[[#This Row],[Days]]),$G$5,"")),"")</f>
        <v/>
      </c>
      <c r="BT28" s="36" t="str">
        <f ca="1">IFERROR(+IF(BT$27=ProposalToGnatt[[#This Row],[Start Date]],Milestone_Marker,IF(AND(BT$27&gt;ProposalToGnatt[[#This Row],[Start Date]],BT$27&lt;ProposalToGnatt[[#This Row],[Start Date]]+ProposalToGnatt[[#This Row],[Days]]),$G$5,"")),"")</f>
        <v/>
      </c>
      <c r="BU28" s="36" t="str">
        <f ca="1">IFERROR(+IF(BU$27=ProposalToGnatt[[#This Row],[Start Date]],Milestone_Marker,IF(AND(BU$27&gt;ProposalToGnatt[[#This Row],[Start Date]],BU$27&lt;ProposalToGnatt[[#This Row],[Start Date]]+ProposalToGnatt[[#This Row],[Days]]),$G$5,"")),"")</f>
        <v/>
      </c>
      <c r="BV28" s="36" t="str">
        <f ca="1">IFERROR(+IF(BV$27=ProposalToGnatt[[#This Row],[Start Date]],Milestone_Marker,IF(AND(BV$27&gt;ProposalToGnatt[[#This Row],[Start Date]],BV$27&lt;ProposalToGnatt[[#This Row],[Start Date]]+ProposalToGnatt[[#This Row],[Days]]),$G$5,"")),"")</f>
        <v/>
      </c>
      <c r="BW28" s="36" t="str">
        <f ca="1">IFERROR(+IF(BW$27=ProposalToGnatt[[#This Row],[Start Date]],Milestone_Marker,IF(AND(BW$27&gt;ProposalToGnatt[[#This Row],[Start Date]],BW$27&lt;ProposalToGnatt[[#This Row],[Start Date]]+ProposalToGnatt[[#This Row],[Days]]),$G$5,"")),"")</f>
        <v/>
      </c>
      <c r="BX28" s="36" t="str">
        <f ca="1">IFERROR(+IF(BX$27=ProposalToGnatt[[#This Row],[Start Date]],Milestone_Marker,IF(AND(BX$27&gt;ProposalToGnatt[[#This Row],[Start Date]],BX$27&lt;ProposalToGnatt[[#This Row],[Start Date]]+ProposalToGnatt[[#This Row],[Days]]),$G$5,"")),"")</f>
        <v/>
      </c>
      <c r="BY28" s="36" t="str">
        <f ca="1">IFERROR(+IF(BY$27=ProposalToGnatt[[#This Row],[Start Date]],Milestone_Marker,IF(AND(BY$27&gt;ProposalToGnatt[[#This Row],[Start Date]],BY$27&lt;ProposalToGnatt[[#This Row],[Start Date]]+ProposalToGnatt[[#This Row],[Days]]),$G$5,"")),"")</f>
        <v/>
      </c>
      <c r="BZ28" s="36" t="str">
        <f ca="1">IFERROR(+IF(BZ$27=ProposalToGnatt[[#This Row],[Start Date]],Milestone_Marker,IF(AND(BZ$27&gt;ProposalToGnatt[[#This Row],[Start Date]],BZ$27&lt;ProposalToGnatt[[#This Row],[Start Date]]+ProposalToGnatt[[#This Row],[Days]]),$G$5,"")),"")</f>
        <v/>
      </c>
      <c r="CA28" s="36" t="str">
        <f ca="1">IFERROR(+IF(CA$27=ProposalToGnatt[[#This Row],[Start Date]],Milestone_Marker,IF(AND(CA$27&gt;ProposalToGnatt[[#This Row],[Start Date]],CA$27&lt;ProposalToGnatt[[#This Row],[Start Date]]+ProposalToGnatt[[#This Row],[Days]]),$G$5,"")),"")</f>
        <v/>
      </c>
      <c r="CB28" s="36" t="str">
        <f ca="1">IFERROR(+IF(CB$27=ProposalToGnatt[[#This Row],[Start Date]],Milestone_Marker,IF(AND(CB$27&gt;ProposalToGnatt[[#This Row],[Start Date]],CB$27&lt;ProposalToGnatt[[#This Row],[Start Date]]+ProposalToGnatt[[#This Row],[Days]]),$G$5,"")),"")</f>
        <v/>
      </c>
      <c r="CC28" s="36" t="str">
        <f ca="1">IFERROR(+IF(CC$27=ProposalToGnatt[[#This Row],[Start Date]],Milestone_Marker,IF(AND(CC$27&gt;ProposalToGnatt[[#This Row],[Start Date]],CC$27&lt;ProposalToGnatt[[#This Row],[Start Date]]+ProposalToGnatt[[#This Row],[Days]]),$G$5,"")),"")</f>
        <v/>
      </c>
      <c r="CD28" s="36" t="str">
        <f ca="1">IFERROR(+IF(CD$27=ProposalToGnatt[[#This Row],[Start Date]],Milestone_Marker,IF(AND(CD$27&gt;ProposalToGnatt[[#This Row],[Start Date]],CD$27&lt;ProposalToGnatt[[#This Row],[Start Date]]+ProposalToGnatt[[#This Row],[Days]]),$G$5,"")),"")</f>
        <v/>
      </c>
      <c r="CE28" s="36" t="str">
        <f ca="1">IFERROR(+IF(CE$27=ProposalToGnatt[[#This Row],[Start Date]],Milestone_Marker,IF(AND(CE$27&gt;ProposalToGnatt[[#This Row],[Start Date]],CE$27&lt;ProposalToGnatt[[#This Row],[Start Date]]+ProposalToGnatt[[#This Row],[Days]]),$G$5,"")),"")</f>
        <v/>
      </c>
      <c r="CF28" s="36" t="str">
        <f ca="1">IFERROR(+IF(CF$27=ProposalToGnatt[[#This Row],[Start Date]],Milestone_Marker,IF(AND(CF$27&gt;ProposalToGnatt[[#This Row],[Start Date]],CF$27&lt;ProposalToGnatt[[#This Row],[Start Date]]+ProposalToGnatt[[#This Row],[Days]]),$G$5,"")),"")</f>
        <v/>
      </c>
      <c r="CG28" s="36" t="str">
        <f ca="1">IFERROR(+IF(CG$27=ProposalToGnatt[[#This Row],[Start Date]],Milestone_Marker,IF(AND(CG$27&gt;ProposalToGnatt[[#This Row],[Start Date]],CG$27&lt;ProposalToGnatt[[#This Row],[Start Date]]+ProposalToGnatt[[#This Row],[Days]]),$G$5,"")),"")</f>
        <v/>
      </c>
      <c r="CH28" s="36" t="str">
        <f ca="1">IFERROR(+IF(CH$27=ProposalToGnatt[[#This Row],[Start Date]],Milestone_Marker,IF(AND(CH$27&gt;ProposalToGnatt[[#This Row],[Start Date]],CH$27&lt;ProposalToGnatt[[#This Row],[Start Date]]+ProposalToGnatt[[#This Row],[Days]]),$G$5,"")),"")</f>
        <v/>
      </c>
      <c r="CI28" s="36" t="str">
        <f ca="1">IFERROR(+IF(CI$27=ProposalToGnatt[[#This Row],[Start Date]],Milestone_Marker,IF(AND(CI$27&gt;ProposalToGnatt[[#This Row],[Start Date]],CI$27&lt;ProposalToGnatt[[#This Row],[Start Date]]+ProposalToGnatt[[#This Row],[Days]]),$G$5,"")),"")</f>
        <v/>
      </c>
      <c r="CJ28" s="36" t="str">
        <f ca="1">IFERROR(+IF(CJ$27=ProposalToGnatt[[#This Row],[Start Date]],Milestone_Marker,IF(AND(CJ$27&gt;ProposalToGnatt[[#This Row],[Start Date]],CJ$27&lt;ProposalToGnatt[[#This Row],[Start Date]]+ProposalToGnatt[[#This Row],[Days]]),$G$5,"")),"")</f>
        <v/>
      </c>
      <c r="CK28" s="36" t="str">
        <f ca="1">IFERROR(+IF(CK$27=ProposalToGnatt[[#This Row],[Start Date]],Milestone_Marker,IF(AND(CK$27&gt;ProposalToGnatt[[#This Row],[Start Date]],CK$27&lt;ProposalToGnatt[[#This Row],[Start Date]]+ProposalToGnatt[[#This Row],[Days]]),$G$5,"")),"")</f>
        <v/>
      </c>
      <c r="CL28" s="36" t="str">
        <f ca="1">IFERROR(+IF(CL$27=ProposalToGnatt[[#This Row],[Start Date]],Milestone_Marker,IF(AND(CL$27&gt;ProposalToGnatt[[#This Row],[Start Date]],CL$27&lt;ProposalToGnatt[[#This Row],[Start Date]]+ProposalToGnatt[[#This Row],[Days]]),$G$5,"")),"")</f>
        <v/>
      </c>
      <c r="CM28" s="36" t="str">
        <f ca="1">IFERROR(+IF(CM$27=ProposalToGnatt[[#This Row],[Start Date]],Milestone_Marker,IF(AND(CM$27&gt;ProposalToGnatt[[#This Row],[Start Date]],CM$27&lt;ProposalToGnatt[[#This Row],[Start Date]]+ProposalToGnatt[[#This Row],[Days]]),$G$5,"")),"")</f>
        <v/>
      </c>
      <c r="CN28" s="36" t="str">
        <f ca="1">IFERROR(+IF(CN$27=ProposalToGnatt[[#This Row],[Start Date]],Milestone_Marker,IF(AND(CN$27&gt;ProposalToGnatt[[#This Row],[Start Date]],CN$27&lt;ProposalToGnatt[[#This Row],[Start Date]]+ProposalToGnatt[[#This Row],[Days]]),$G$5,"")),"")</f>
        <v/>
      </c>
      <c r="CO28" s="36" t="str">
        <f ca="1">IFERROR(+IF(CO$27=ProposalToGnatt[[#This Row],[Start Date]],Milestone_Marker,IF(AND(CO$27&gt;ProposalToGnatt[[#This Row],[Start Date]],CO$27&lt;ProposalToGnatt[[#This Row],[Start Date]]+ProposalToGnatt[[#This Row],[Days]]),$G$5,"")),"")</f>
        <v/>
      </c>
      <c r="CP28" s="36" t="str">
        <f ca="1">IFERROR(+IF(CP$27=ProposalToGnatt[[#This Row],[Start Date]],Milestone_Marker,IF(AND(CP$27&gt;ProposalToGnatt[[#This Row],[Start Date]],CP$27&lt;ProposalToGnatt[[#This Row],[Start Date]]+ProposalToGnatt[[#This Row],[Days]]),$G$5,"")),"")</f>
        <v/>
      </c>
      <c r="CQ28" s="36" t="str">
        <f ca="1">IFERROR(+IF(CQ$27=ProposalToGnatt[[#This Row],[Start Date]],Milestone_Marker,IF(AND(CQ$27&gt;ProposalToGnatt[[#This Row],[Start Date]],CQ$27&lt;ProposalToGnatt[[#This Row],[Start Date]]+ProposalToGnatt[[#This Row],[Days]]),$G$5,"")),"")</f>
        <v/>
      </c>
      <c r="CR28" s="36" t="str">
        <f ca="1">IFERROR(+IF(CR$27=ProposalToGnatt[[#This Row],[Start Date]],Milestone_Marker,IF(AND(CR$27&gt;ProposalToGnatt[[#This Row],[Start Date]],CR$27&lt;ProposalToGnatt[[#This Row],[Start Date]]+ProposalToGnatt[[#This Row],[Days]]),$G$5,"")),"")</f>
        <v/>
      </c>
      <c r="CS28" s="36" t="str">
        <f ca="1">IFERROR(+IF(CS$27=ProposalToGnatt[[#This Row],[Start Date]],Milestone_Marker,IF(AND(CS$27&gt;ProposalToGnatt[[#This Row],[Start Date]],CS$27&lt;ProposalToGnatt[[#This Row],[Start Date]]+ProposalToGnatt[[#This Row],[Days]]),$G$5,"")),"")</f>
        <v/>
      </c>
      <c r="CT28" s="36" t="str">
        <f ca="1">IFERROR(+IF(CT$27=ProposalToGnatt[[#This Row],[Start Date]],Milestone_Marker,IF(AND(CT$27&gt;ProposalToGnatt[[#This Row],[Start Date]],CT$27&lt;ProposalToGnatt[[#This Row],[Start Date]]+ProposalToGnatt[[#This Row],[Days]]),$G$5,"")),"")</f>
        <v/>
      </c>
      <c r="CU28" s="36" t="str">
        <f ca="1">IFERROR(+IF(CU$27=ProposalToGnatt[[#This Row],[Start Date]],Milestone_Marker,IF(AND(CU$27&gt;ProposalToGnatt[[#This Row],[Start Date]],CU$27&lt;ProposalToGnatt[[#This Row],[Start Date]]+ProposalToGnatt[[#This Row],[Days]]),$G$5,"")),"")</f>
        <v/>
      </c>
      <c r="CV28" s="36"/>
      <c r="CW28" s="36"/>
      <c r="CX28" s="36"/>
      <c r="CY28" s="36"/>
      <c r="CZ28" s="36"/>
      <c r="DA28" s="36"/>
      <c r="DB28" s="36"/>
      <c r="DC28" s="36"/>
      <c r="DD28" s="36"/>
      <c r="DE28" s="36"/>
      <c r="DF28" s="36"/>
      <c r="DG28" s="36"/>
      <c r="DH28" s="36"/>
      <c r="DI28" s="36"/>
      <c r="DJ28" s="36"/>
      <c r="DK28" s="36"/>
      <c r="DL28" s="36"/>
      <c r="DM28" s="36"/>
      <c r="DN28" s="36"/>
      <c r="DO28" s="36"/>
      <c r="DP28" s="36"/>
      <c r="DQ28" s="36"/>
      <c r="DR28" s="36"/>
      <c r="DS28" s="36"/>
      <c r="DT28" s="36"/>
      <c r="DU28" s="36"/>
    </row>
    <row r="29" spans="1:125" s="41" customFormat="1" ht="20.100000000000001" customHeight="1" x14ac:dyDescent="0.25">
      <c r="A29" t="s">
        <v>545</v>
      </c>
      <c r="B29">
        <v>2</v>
      </c>
      <c r="C29" t="s">
        <v>201</v>
      </c>
      <c r="D29" t="s">
        <v>202</v>
      </c>
      <c r="E29" t="s">
        <v>203</v>
      </c>
      <c r="F29">
        <v>0</v>
      </c>
      <c r="G29" s="14"/>
      <c r="H29" s="14"/>
      <c r="I29"/>
      <c r="J29">
        <v>4</v>
      </c>
      <c r="K29" s="246"/>
      <c r="L29"/>
      <c r="M29" s="14"/>
      <c r="N29" s="299"/>
      <c r="O29" s="281"/>
      <c r="P29" s="36" t="str">
        <f ca="1">IFERROR(+IF(P$27=ProposalToGnatt[[#This Row],[Start Date]],Milestone_Marker,IF(AND(P$27&gt;ProposalToGnatt[[#This Row],[Start Date]],P$27&lt;ProposalToGnatt[[#This Row],[Start Date]]+ProposalToGnatt[[#This Row],[Days]]),$G$5,"")),"")</f>
        <v/>
      </c>
      <c r="Q29" s="36" t="str">
        <f ca="1">IFERROR(+IF(Q$27=ProposalToGnatt[[#This Row],[Start Date]],Milestone_Marker,IF(AND(Q$27&gt;ProposalToGnatt[[#This Row],[Start Date]],Q$27&lt;ProposalToGnatt[[#This Row],[Start Date]]+ProposalToGnatt[[#This Row],[Days]]),$G$5,"")),"")</f>
        <v/>
      </c>
      <c r="R29" s="36" t="str">
        <f ca="1">IFERROR(+IF(R$27=ProposalToGnatt[[#This Row],[Start Date]],Milestone_Marker,IF(AND(R$27&gt;ProposalToGnatt[[#This Row],[Start Date]],R$27&lt;ProposalToGnatt[[#This Row],[Start Date]]+ProposalToGnatt[[#This Row],[Days]]),$G$5,"")),"")</f>
        <v/>
      </c>
      <c r="S29" s="36" t="str">
        <f ca="1">IFERROR(+IF(S$27=ProposalToGnatt[[#This Row],[Start Date]],Milestone_Marker,IF(AND(S$27&gt;ProposalToGnatt[[#This Row],[Start Date]],S$27&lt;ProposalToGnatt[[#This Row],[Start Date]]+ProposalToGnatt[[#This Row],[Days]]),$G$5,"")),"")</f>
        <v/>
      </c>
      <c r="T29" s="36" t="str">
        <f ca="1">IFERROR(+IF(T$27=ProposalToGnatt[[#This Row],[Start Date]],Milestone_Marker,IF(AND(T$27&gt;ProposalToGnatt[[#This Row],[Start Date]],T$27&lt;ProposalToGnatt[[#This Row],[Start Date]]+ProposalToGnatt[[#This Row],[Days]]),$G$5,"")),"")</f>
        <v/>
      </c>
      <c r="U29" s="36" t="str">
        <f ca="1">IFERROR(+IF(U$27=ProposalToGnatt[[#This Row],[Start Date]],Milestone_Marker,IF(AND(U$27&gt;ProposalToGnatt[[#This Row],[Start Date]],U$27&lt;ProposalToGnatt[[#This Row],[Start Date]]+ProposalToGnatt[[#This Row],[Days]]),$G$5,"")),"")</f>
        <v/>
      </c>
      <c r="V29" s="36" t="str">
        <f ca="1">IFERROR(+IF(V$27=ProposalToGnatt[[#This Row],[Start Date]],Milestone_Marker,IF(AND(V$27&gt;ProposalToGnatt[[#This Row],[Start Date]],V$27&lt;ProposalToGnatt[[#This Row],[Start Date]]+ProposalToGnatt[[#This Row],[Days]]),$G$5,"")),"")</f>
        <v/>
      </c>
      <c r="W29" s="36" t="str">
        <f ca="1">IFERROR(+IF(W$27=ProposalToGnatt[[#This Row],[Start Date]],Milestone_Marker,IF(AND(W$27&gt;ProposalToGnatt[[#This Row],[Start Date]],W$27&lt;ProposalToGnatt[[#This Row],[Start Date]]+ProposalToGnatt[[#This Row],[Days]]),$G$5,"")),"")</f>
        <v/>
      </c>
      <c r="X29" s="36" t="str">
        <f ca="1">IFERROR(+IF(X$27=ProposalToGnatt[[#This Row],[Start Date]],Milestone_Marker,IF(AND(X$27&gt;ProposalToGnatt[[#This Row],[Start Date]],X$27&lt;ProposalToGnatt[[#This Row],[Start Date]]+ProposalToGnatt[[#This Row],[Days]]),$G$5,"")),"")</f>
        <v/>
      </c>
      <c r="Y29" s="36" t="str">
        <f ca="1">IFERROR(+IF(Y$27=ProposalToGnatt[[#This Row],[Start Date]],Milestone_Marker,IF(AND(Y$27&gt;ProposalToGnatt[[#This Row],[Start Date]],Y$27&lt;ProposalToGnatt[[#This Row],[Start Date]]+ProposalToGnatt[[#This Row],[Days]]),$G$5,"")),"")</f>
        <v/>
      </c>
      <c r="Z29" s="36" t="str">
        <f ca="1">IFERROR(+IF(Z$27=ProposalToGnatt[[#This Row],[Start Date]],Milestone_Marker,IF(AND(Z$27&gt;ProposalToGnatt[[#This Row],[Start Date]],Z$27&lt;ProposalToGnatt[[#This Row],[Start Date]]+ProposalToGnatt[[#This Row],[Days]]),$G$5,"")),"")</f>
        <v/>
      </c>
      <c r="AA29" s="36" t="str">
        <f ca="1">IFERROR(+IF(AA$27=ProposalToGnatt[[#This Row],[Start Date]],Milestone_Marker,IF(AND(AA$27&gt;ProposalToGnatt[[#This Row],[Start Date]],AA$27&lt;ProposalToGnatt[[#This Row],[Start Date]]+ProposalToGnatt[[#This Row],[Days]]),$G$5,"")),"")</f>
        <v/>
      </c>
      <c r="AB29" s="36" t="str">
        <f ca="1">IFERROR(+IF(AB$27=ProposalToGnatt[[#This Row],[Start Date]],Milestone_Marker,IF(AND(AB$27&gt;ProposalToGnatt[[#This Row],[Start Date]],AB$27&lt;ProposalToGnatt[[#This Row],[Start Date]]+ProposalToGnatt[[#This Row],[Days]]),$G$5,"")),"")</f>
        <v/>
      </c>
      <c r="AC29" s="36" t="str">
        <f ca="1">IFERROR(+IF(AC$27=ProposalToGnatt[[#This Row],[Start Date]],Milestone_Marker,IF(AND(AC$27&gt;ProposalToGnatt[[#This Row],[Start Date]],AC$27&lt;ProposalToGnatt[[#This Row],[Start Date]]+ProposalToGnatt[[#This Row],[Days]]),$G$5,"")),"")</f>
        <v/>
      </c>
      <c r="AD29" s="36" t="str">
        <f ca="1">IFERROR(+IF(AD$27=ProposalToGnatt[[#This Row],[Start Date]],Milestone_Marker,IF(AND(AD$27&gt;ProposalToGnatt[[#This Row],[Start Date]],AD$27&lt;ProposalToGnatt[[#This Row],[Start Date]]+ProposalToGnatt[[#This Row],[Days]]),$G$5,"")),"")</f>
        <v/>
      </c>
      <c r="AE29" s="36" t="str">
        <f ca="1">IFERROR(+IF(AE$27=ProposalToGnatt[[#This Row],[Start Date]],Milestone_Marker,IF(AND(AE$27&gt;ProposalToGnatt[[#This Row],[Start Date]],AE$27&lt;ProposalToGnatt[[#This Row],[Start Date]]+ProposalToGnatt[[#This Row],[Days]]),$G$5,"")),"")</f>
        <v/>
      </c>
      <c r="AF29" s="36" t="str">
        <f ca="1">IFERROR(+IF(AF$27=ProposalToGnatt[[#This Row],[Start Date]],Milestone_Marker,IF(AND(AF$27&gt;ProposalToGnatt[[#This Row],[Start Date]],AF$27&lt;ProposalToGnatt[[#This Row],[Start Date]]+ProposalToGnatt[[#This Row],[Days]]),$G$5,"")),"")</f>
        <v/>
      </c>
      <c r="AG29" s="36" t="str">
        <f ca="1">IFERROR(+IF(AG$27=ProposalToGnatt[[#This Row],[Start Date]],Milestone_Marker,IF(AND(AG$27&gt;ProposalToGnatt[[#This Row],[Start Date]],AG$27&lt;ProposalToGnatt[[#This Row],[Start Date]]+ProposalToGnatt[[#This Row],[Days]]),$G$5,"")),"")</f>
        <v/>
      </c>
      <c r="AH29" s="36" t="str">
        <f ca="1">IFERROR(+IF(AH$27=ProposalToGnatt[[#This Row],[Start Date]],Milestone_Marker,IF(AND(AH$27&gt;ProposalToGnatt[[#This Row],[Start Date]],AH$27&lt;ProposalToGnatt[[#This Row],[Start Date]]+ProposalToGnatt[[#This Row],[Days]]),$G$5,"")),"")</f>
        <v/>
      </c>
      <c r="AI29" s="36" t="str">
        <f ca="1">IFERROR(+IF(AI$27=ProposalToGnatt[[#This Row],[Start Date]],Milestone_Marker,IF(AND(AI$27&gt;ProposalToGnatt[[#This Row],[Start Date]],AI$27&lt;ProposalToGnatt[[#This Row],[Start Date]]+ProposalToGnatt[[#This Row],[Days]]),$G$5,"")),"")</f>
        <v/>
      </c>
      <c r="AJ29" s="36" t="str">
        <f ca="1">IFERROR(+IF(AJ$27=ProposalToGnatt[[#This Row],[Start Date]],Milestone_Marker,IF(AND(AJ$27&gt;ProposalToGnatt[[#This Row],[Start Date]],AJ$27&lt;ProposalToGnatt[[#This Row],[Start Date]]+ProposalToGnatt[[#This Row],[Days]]),$G$5,"")),"")</f>
        <v/>
      </c>
      <c r="AK29" s="36" t="str">
        <f ca="1">IFERROR(+IF(AK$27=ProposalToGnatt[[#This Row],[Start Date]],Milestone_Marker,IF(AND(AK$27&gt;ProposalToGnatt[[#This Row],[Start Date]],AK$27&lt;ProposalToGnatt[[#This Row],[Start Date]]+ProposalToGnatt[[#This Row],[Days]]),$G$5,"")),"")</f>
        <v/>
      </c>
      <c r="AL29" s="36" t="str">
        <f ca="1">IFERROR(+IF(AL$27=ProposalToGnatt[[#This Row],[Start Date]],Milestone_Marker,IF(AND(AL$27&gt;ProposalToGnatt[[#This Row],[Start Date]],AL$27&lt;ProposalToGnatt[[#This Row],[Start Date]]+ProposalToGnatt[[#This Row],[Days]]),$G$5,"")),"")</f>
        <v/>
      </c>
      <c r="AM29" s="36" t="str">
        <f ca="1">IFERROR(+IF(AM$27=ProposalToGnatt[[#This Row],[Start Date]],Milestone_Marker,IF(AND(AM$27&gt;ProposalToGnatt[[#This Row],[Start Date]],AM$27&lt;ProposalToGnatt[[#This Row],[Start Date]]+ProposalToGnatt[[#This Row],[Days]]),$G$5,"")),"")</f>
        <v/>
      </c>
      <c r="AN29" s="36" t="str">
        <f ca="1">IFERROR(+IF(AN$27=ProposalToGnatt[[#This Row],[Start Date]],Milestone_Marker,IF(AND(AN$27&gt;ProposalToGnatt[[#This Row],[Start Date]],AN$27&lt;ProposalToGnatt[[#This Row],[Start Date]]+ProposalToGnatt[[#This Row],[Days]]),$G$5,"")),"")</f>
        <v/>
      </c>
      <c r="AO29" s="36" t="str">
        <f ca="1">IFERROR(+IF(AO$27=ProposalToGnatt[[#This Row],[Start Date]],Milestone_Marker,IF(AND(AO$27&gt;ProposalToGnatt[[#This Row],[Start Date]],AO$27&lt;ProposalToGnatt[[#This Row],[Start Date]]+ProposalToGnatt[[#This Row],[Days]]),$G$5,"")),"")</f>
        <v/>
      </c>
      <c r="AP29" s="36" t="str">
        <f ca="1">IFERROR(+IF(AP$27=ProposalToGnatt[[#This Row],[Start Date]],Milestone_Marker,IF(AND(AP$27&gt;ProposalToGnatt[[#This Row],[Start Date]],AP$27&lt;ProposalToGnatt[[#This Row],[Start Date]]+ProposalToGnatt[[#This Row],[Days]]),$G$5,"")),"")</f>
        <v/>
      </c>
      <c r="AQ29" s="36" t="str">
        <f ca="1">IFERROR(+IF(AQ$27=ProposalToGnatt[[#This Row],[Start Date]],Milestone_Marker,IF(AND(AQ$27&gt;ProposalToGnatt[[#This Row],[Start Date]],AQ$27&lt;ProposalToGnatt[[#This Row],[Start Date]]+ProposalToGnatt[[#This Row],[Days]]),$G$5,"")),"")</f>
        <v/>
      </c>
      <c r="AR29" s="36" t="str">
        <f ca="1">IFERROR(+IF(AR$27=ProposalToGnatt[[#This Row],[Start Date]],Milestone_Marker,IF(AND(AR$27&gt;ProposalToGnatt[[#This Row],[Start Date]],AR$27&lt;ProposalToGnatt[[#This Row],[Start Date]]+ProposalToGnatt[[#This Row],[Days]]),$G$5,"")),"")</f>
        <v/>
      </c>
      <c r="AS29" s="36" t="str">
        <f ca="1">IFERROR(+IF(AS$27=ProposalToGnatt[[#This Row],[Start Date]],Milestone_Marker,IF(AND(AS$27&gt;ProposalToGnatt[[#This Row],[Start Date]],AS$27&lt;ProposalToGnatt[[#This Row],[Start Date]]+ProposalToGnatt[[#This Row],[Days]]),$G$5,"")),"")</f>
        <v/>
      </c>
      <c r="AT29" s="36" t="str">
        <f ca="1">IFERROR(+IF(AT$27=ProposalToGnatt[[#This Row],[Start Date]],Milestone_Marker,IF(AND(AT$27&gt;ProposalToGnatt[[#This Row],[Start Date]],AT$27&lt;ProposalToGnatt[[#This Row],[Start Date]]+ProposalToGnatt[[#This Row],[Days]]),$G$5,"")),"")</f>
        <v/>
      </c>
      <c r="AU29" s="36" t="str">
        <f ca="1">IFERROR(+IF(AU$27=ProposalToGnatt[[#This Row],[Start Date]],Milestone_Marker,IF(AND(AU$27&gt;ProposalToGnatt[[#This Row],[Start Date]],AU$27&lt;ProposalToGnatt[[#This Row],[Start Date]]+ProposalToGnatt[[#This Row],[Days]]),$G$5,"")),"")</f>
        <v/>
      </c>
      <c r="AV29" s="36" t="str">
        <f ca="1">IFERROR(+IF(AV$27=ProposalToGnatt[[#This Row],[Start Date]],Milestone_Marker,IF(AND(AV$27&gt;ProposalToGnatt[[#This Row],[Start Date]],AV$27&lt;ProposalToGnatt[[#This Row],[Start Date]]+ProposalToGnatt[[#This Row],[Days]]),$G$5,"")),"")</f>
        <v/>
      </c>
      <c r="AW29" s="36" t="str">
        <f ca="1">IFERROR(+IF(AW$27=ProposalToGnatt[[#This Row],[Start Date]],Milestone_Marker,IF(AND(AW$27&gt;ProposalToGnatt[[#This Row],[Start Date]],AW$27&lt;ProposalToGnatt[[#This Row],[Start Date]]+ProposalToGnatt[[#This Row],[Days]]),$G$5,"")),"")</f>
        <v/>
      </c>
      <c r="AX29" s="36" t="str">
        <f ca="1">IFERROR(+IF(AX$27=ProposalToGnatt[[#This Row],[Start Date]],Milestone_Marker,IF(AND(AX$27&gt;ProposalToGnatt[[#This Row],[Start Date]],AX$27&lt;ProposalToGnatt[[#This Row],[Start Date]]+ProposalToGnatt[[#This Row],[Days]]),$G$5,"")),"")</f>
        <v/>
      </c>
      <c r="AY29" s="36" t="str">
        <f ca="1">IFERROR(+IF(AY$27=ProposalToGnatt[[#This Row],[Start Date]],Milestone_Marker,IF(AND(AY$27&gt;ProposalToGnatt[[#This Row],[Start Date]],AY$27&lt;ProposalToGnatt[[#This Row],[Start Date]]+ProposalToGnatt[[#This Row],[Days]]),$G$5,"")),"")</f>
        <v/>
      </c>
      <c r="AZ29" s="36" t="str">
        <f ca="1">IFERROR(+IF(AZ$27=ProposalToGnatt[[#This Row],[Start Date]],Milestone_Marker,IF(AND(AZ$27&gt;ProposalToGnatt[[#This Row],[Start Date]],AZ$27&lt;ProposalToGnatt[[#This Row],[Start Date]]+ProposalToGnatt[[#This Row],[Days]]),$G$5,"")),"")</f>
        <v/>
      </c>
      <c r="BA29" s="36" t="str">
        <f ca="1">IFERROR(+IF(BA$27=ProposalToGnatt[[#This Row],[Start Date]],Milestone_Marker,IF(AND(BA$27&gt;ProposalToGnatt[[#This Row],[Start Date]],BA$27&lt;ProposalToGnatt[[#This Row],[Start Date]]+ProposalToGnatt[[#This Row],[Days]]),$G$5,"")),"")</f>
        <v/>
      </c>
      <c r="BB29" s="36" t="str">
        <f ca="1">IFERROR(+IF(BB$27=ProposalToGnatt[[#This Row],[Start Date]],Milestone_Marker,IF(AND(BB$27&gt;ProposalToGnatt[[#This Row],[Start Date]],BB$27&lt;ProposalToGnatt[[#This Row],[Start Date]]+ProposalToGnatt[[#This Row],[Days]]),$G$5,"")),"")</f>
        <v/>
      </c>
      <c r="BC29" s="36" t="str">
        <f ca="1">IFERROR(+IF(BC$27=ProposalToGnatt[[#This Row],[Start Date]],Milestone_Marker,IF(AND(BC$27&gt;ProposalToGnatt[[#This Row],[Start Date]],BC$27&lt;ProposalToGnatt[[#This Row],[Start Date]]+ProposalToGnatt[[#This Row],[Days]]),$G$5,"")),"")</f>
        <v/>
      </c>
      <c r="BD29" s="36" t="str">
        <f ca="1">IFERROR(+IF(BD$27=ProposalToGnatt[[#This Row],[Start Date]],Milestone_Marker,IF(AND(BD$27&gt;ProposalToGnatt[[#This Row],[Start Date]],BD$27&lt;ProposalToGnatt[[#This Row],[Start Date]]+ProposalToGnatt[[#This Row],[Days]]),$G$5,"")),"")</f>
        <v/>
      </c>
      <c r="BE29" s="36" t="str">
        <f ca="1">IFERROR(+IF(BE$27=ProposalToGnatt[[#This Row],[Start Date]],Milestone_Marker,IF(AND(BE$27&gt;ProposalToGnatt[[#This Row],[Start Date]],BE$27&lt;ProposalToGnatt[[#This Row],[Start Date]]+ProposalToGnatt[[#This Row],[Days]]),$G$5,"")),"")</f>
        <v/>
      </c>
      <c r="BF29" s="36" t="str">
        <f ca="1">IFERROR(+IF(BF$27=ProposalToGnatt[[#This Row],[Start Date]],Milestone_Marker,IF(AND(BF$27&gt;ProposalToGnatt[[#This Row],[Start Date]],BF$27&lt;ProposalToGnatt[[#This Row],[Start Date]]+ProposalToGnatt[[#This Row],[Days]]),$G$5,"")),"")</f>
        <v/>
      </c>
      <c r="BG29" s="36" t="str">
        <f ca="1">IFERROR(+IF(BG$27=ProposalToGnatt[[#This Row],[Start Date]],Milestone_Marker,IF(AND(BG$27&gt;ProposalToGnatt[[#This Row],[Start Date]],BG$27&lt;ProposalToGnatt[[#This Row],[Start Date]]+ProposalToGnatt[[#This Row],[Days]]),$G$5,"")),"")</f>
        <v/>
      </c>
      <c r="BH29" s="36" t="str">
        <f ca="1">IFERROR(+IF(BH$27=ProposalToGnatt[[#This Row],[Start Date]],Milestone_Marker,IF(AND(BH$27&gt;ProposalToGnatt[[#This Row],[Start Date]],BH$27&lt;ProposalToGnatt[[#This Row],[Start Date]]+ProposalToGnatt[[#This Row],[Days]]),$G$5,"")),"")</f>
        <v/>
      </c>
      <c r="BI29" s="36" t="str">
        <f ca="1">IFERROR(+IF(BI$27=ProposalToGnatt[[#This Row],[Start Date]],Milestone_Marker,IF(AND(BI$27&gt;ProposalToGnatt[[#This Row],[Start Date]],BI$27&lt;ProposalToGnatt[[#This Row],[Start Date]]+ProposalToGnatt[[#This Row],[Days]]),$G$5,"")),"")</f>
        <v/>
      </c>
      <c r="BJ29" s="36" t="str">
        <f ca="1">IFERROR(+IF(BJ$27=ProposalToGnatt[[#This Row],[Start Date]],Milestone_Marker,IF(AND(BJ$27&gt;ProposalToGnatt[[#This Row],[Start Date]],BJ$27&lt;ProposalToGnatt[[#This Row],[Start Date]]+ProposalToGnatt[[#This Row],[Days]]),$G$5,"")),"")</f>
        <v/>
      </c>
      <c r="BK29" s="36" t="str">
        <f ca="1">IFERROR(+IF(BK$27=ProposalToGnatt[[#This Row],[Start Date]],Milestone_Marker,IF(AND(BK$27&gt;ProposalToGnatt[[#This Row],[Start Date]],BK$27&lt;ProposalToGnatt[[#This Row],[Start Date]]+ProposalToGnatt[[#This Row],[Days]]),$G$5,"")),"")</f>
        <v/>
      </c>
      <c r="BL29" s="36" t="str">
        <f ca="1">IFERROR(+IF(BL$27=ProposalToGnatt[[#This Row],[Start Date]],Milestone_Marker,IF(AND(BL$27&gt;ProposalToGnatt[[#This Row],[Start Date]],BL$27&lt;ProposalToGnatt[[#This Row],[Start Date]]+ProposalToGnatt[[#This Row],[Days]]),$G$5,"")),"")</f>
        <v/>
      </c>
      <c r="BM29" s="36" t="str">
        <f ca="1">IFERROR(+IF(BM$27=ProposalToGnatt[[#This Row],[Start Date]],Milestone_Marker,IF(AND(BM$27&gt;ProposalToGnatt[[#This Row],[Start Date]],BM$27&lt;ProposalToGnatt[[#This Row],[Start Date]]+ProposalToGnatt[[#This Row],[Days]]),$G$5,"")),"")</f>
        <v/>
      </c>
      <c r="BN29" s="36" t="str">
        <f ca="1">IFERROR(+IF(BN$27=ProposalToGnatt[[#This Row],[Start Date]],Milestone_Marker,IF(AND(BN$27&gt;ProposalToGnatt[[#This Row],[Start Date]],BN$27&lt;ProposalToGnatt[[#This Row],[Start Date]]+ProposalToGnatt[[#This Row],[Days]]),$G$5,"")),"")</f>
        <v/>
      </c>
      <c r="BO29" s="36" t="str">
        <f ca="1">IFERROR(+IF(BO$27=ProposalToGnatt[[#This Row],[Start Date]],Milestone_Marker,IF(AND(BO$27&gt;ProposalToGnatt[[#This Row],[Start Date]],BO$27&lt;ProposalToGnatt[[#This Row],[Start Date]]+ProposalToGnatt[[#This Row],[Days]]),$G$5,"")),"")</f>
        <v/>
      </c>
      <c r="BP29" s="36" t="str">
        <f ca="1">IFERROR(+IF(BP$27=ProposalToGnatt[[#This Row],[Start Date]],Milestone_Marker,IF(AND(BP$27&gt;ProposalToGnatt[[#This Row],[Start Date]],BP$27&lt;ProposalToGnatt[[#This Row],[Start Date]]+ProposalToGnatt[[#This Row],[Days]]),$G$5,"")),"")</f>
        <v/>
      </c>
      <c r="BQ29" s="36" t="str">
        <f ca="1">IFERROR(+IF(BQ$27=ProposalToGnatt[[#This Row],[Start Date]],Milestone_Marker,IF(AND(BQ$27&gt;ProposalToGnatt[[#This Row],[Start Date]],BQ$27&lt;ProposalToGnatt[[#This Row],[Start Date]]+ProposalToGnatt[[#This Row],[Days]]),$G$5,"")),"")</f>
        <v/>
      </c>
      <c r="BR29" s="36" t="str">
        <f ca="1">IFERROR(+IF(BR$27=ProposalToGnatt[[#This Row],[Start Date]],Milestone_Marker,IF(AND(BR$27&gt;ProposalToGnatt[[#This Row],[Start Date]],BR$27&lt;ProposalToGnatt[[#This Row],[Start Date]]+ProposalToGnatt[[#This Row],[Days]]),$G$5,"")),"")</f>
        <v/>
      </c>
      <c r="BS29" s="36" t="str">
        <f ca="1">IFERROR(+IF(BS$27=ProposalToGnatt[[#This Row],[Start Date]],Milestone_Marker,IF(AND(BS$27&gt;ProposalToGnatt[[#This Row],[Start Date]],BS$27&lt;ProposalToGnatt[[#This Row],[Start Date]]+ProposalToGnatt[[#This Row],[Days]]),$G$5,"")),"")</f>
        <v/>
      </c>
      <c r="BT29" s="36" t="str">
        <f ca="1">IFERROR(+IF(BT$27=ProposalToGnatt[[#This Row],[Start Date]],Milestone_Marker,IF(AND(BT$27&gt;ProposalToGnatt[[#This Row],[Start Date]],BT$27&lt;ProposalToGnatt[[#This Row],[Start Date]]+ProposalToGnatt[[#This Row],[Days]]),$G$5,"")),"")</f>
        <v/>
      </c>
      <c r="BU29" s="36" t="str">
        <f ca="1">IFERROR(+IF(BU$27=ProposalToGnatt[[#This Row],[Start Date]],Milestone_Marker,IF(AND(BU$27&gt;ProposalToGnatt[[#This Row],[Start Date]],BU$27&lt;ProposalToGnatt[[#This Row],[Start Date]]+ProposalToGnatt[[#This Row],[Days]]),$G$5,"")),"")</f>
        <v/>
      </c>
      <c r="BV29" s="36" t="str">
        <f ca="1">IFERROR(+IF(BV$27=ProposalToGnatt[[#This Row],[Start Date]],Milestone_Marker,IF(AND(BV$27&gt;ProposalToGnatt[[#This Row],[Start Date]],BV$27&lt;ProposalToGnatt[[#This Row],[Start Date]]+ProposalToGnatt[[#This Row],[Days]]),$G$5,"")),"")</f>
        <v/>
      </c>
      <c r="BW29" s="36" t="str">
        <f ca="1">IFERROR(+IF(BW$27=ProposalToGnatt[[#This Row],[Start Date]],Milestone_Marker,IF(AND(BW$27&gt;ProposalToGnatt[[#This Row],[Start Date]],BW$27&lt;ProposalToGnatt[[#This Row],[Start Date]]+ProposalToGnatt[[#This Row],[Days]]),$G$5,"")),"")</f>
        <v/>
      </c>
      <c r="BX29" s="36" t="str">
        <f ca="1">IFERROR(+IF(BX$27=ProposalToGnatt[[#This Row],[Start Date]],Milestone_Marker,IF(AND(BX$27&gt;ProposalToGnatt[[#This Row],[Start Date]],BX$27&lt;ProposalToGnatt[[#This Row],[Start Date]]+ProposalToGnatt[[#This Row],[Days]]),$G$5,"")),"")</f>
        <v/>
      </c>
      <c r="BY29" s="36" t="str">
        <f ca="1">IFERROR(+IF(BY$27=ProposalToGnatt[[#This Row],[Start Date]],Milestone_Marker,IF(AND(BY$27&gt;ProposalToGnatt[[#This Row],[Start Date]],BY$27&lt;ProposalToGnatt[[#This Row],[Start Date]]+ProposalToGnatt[[#This Row],[Days]]),$G$5,"")),"")</f>
        <v/>
      </c>
      <c r="BZ29" s="36" t="str">
        <f ca="1">IFERROR(+IF(BZ$27=ProposalToGnatt[[#This Row],[Start Date]],Milestone_Marker,IF(AND(BZ$27&gt;ProposalToGnatt[[#This Row],[Start Date]],BZ$27&lt;ProposalToGnatt[[#This Row],[Start Date]]+ProposalToGnatt[[#This Row],[Days]]),$G$5,"")),"")</f>
        <v/>
      </c>
      <c r="CA29" s="36" t="str">
        <f ca="1">IFERROR(+IF(CA$27=ProposalToGnatt[[#This Row],[Start Date]],Milestone_Marker,IF(AND(CA$27&gt;ProposalToGnatt[[#This Row],[Start Date]],CA$27&lt;ProposalToGnatt[[#This Row],[Start Date]]+ProposalToGnatt[[#This Row],[Days]]),$G$5,"")),"")</f>
        <v/>
      </c>
      <c r="CB29" s="36" t="str">
        <f ca="1">IFERROR(+IF(CB$27=ProposalToGnatt[[#This Row],[Start Date]],Milestone_Marker,IF(AND(CB$27&gt;ProposalToGnatt[[#This Row],[Start Date]],CB$27&lt;ProposalToGnatt[[#This Row],[Start Date]]+ProposalToGnatt[[#This Row],[Days]]),$G$5,"")),"")</f>
        <v/>
      </c>
      <c r="CC29" s="36" t="str">
        <f ca="1">IFERROR(+IF(CC$27=ProposalToGnatt[[#This Row],[Start Date]],Milestone_Marker,IF(AND(CC$27&gt;ProposalToGnatt[[#This Row],[Start Date]],CC$27&lt;ProposalToGnatt[[#This Row],[Start Date]]+ProposalToGnatt[[#This Row],[Days]]),$G$5,"")),"")</f>
        <v/>
      </c>
      <c r="CD29" s="36" t="str">
        <f ca="1">IFERROR(+IF(CD$27=ProposalToGnatt[[#This Row],[Start Date]],Milestone_Marker,IF(AND(CD$27&gt;ProposalToGnatt[[#This Row],[Start Date]],CD$27&lt;ProposalToGnatt[[#This Row],[Start Date]]+ProposalToGnatt[[#This Row],[Days]]),$G$5,"")),"")</f>
        <v/>
      </c>
      <c r="CE29" s="36" t="str">
        <f ca="1">IFERROR(+IF(CE$27=ProposalToGnatt[[#This Row],[Start Date]],Milestone_Marker,IF(AND(CE$27&gt;ProposalToGnatt[[#This Row],[Start Date]],CE$27&lt;ProposalToGnatt[[#This Row],[Start Date]]+ProposalToGnatt[[#This Row],[Days]]),$G$5,"")),"")</f>
        <v/>
      </c>
      <c r="CF29" s="36" t="str">
        <f ca="1">IFERROR(+IF(CF$27=ProposalToGnatt[[#This Row],[Start Date]],Milestone_Marker,IF(AND(CF$27&gt;ProposalToGnatt[[#This Row],[Start Date]],CF$27&lt;ProposalToGnatt[[#This Row],[Start Date]]+ProposalToGnatt[[#This Row],[Days]]),$G$5,"")),"")</f>
        <v/>
      </c>
      <c r="CG29" s="36" t="str">
        <f ca="1">IFERROR(+IF(CG$27=ProposalToGnatt[[#This Row],[Start Date]],Milestone_Marker,IF(AND(CG$27&gt;ProposalToGnatt[[#This Row],[Start Date]],CG$27&lt;ProposalToGnatt[[#This Row],[Start Date]]+ProposalToGnatt[[#This Row],[Days]]),$G$5,"")),"")</f>
        <v/>
      </c>
      <c r="CH29" s="36" t="str">
        <f ca="1">IFERROR(+IF(CH$27=ProposalToGnatt[[#This Row],[Start Date]],Milestone_Marker,IF(AND(CH$27&gt;ProposalToGnatt[[#This Row],[Start Date]],CH$27&lt;ProposalToGnatt[[#This Row],[Start Date]]+ProposalToGnatt[[#This Row],[Days]]),$G$5,"")),"")</f>
        <v/>
      </c>
      <c r="CI29" s="36" t="str">
        <f ca="1">IFERROR(+IF(CI$27=ProposalToGnatt[[#This Row],[Start Date]],Milestone_Marker,IF(AND(CI$27&gt;ProposalToGnatt[[#This Row],[Start Date]],CI$27&lt;ProposalToGnatt[[#This Row],[Start Date]]+ProposalToGnatt[[#This Row],[Days]]),$G$5,"")),"")</f>
        <v/>
      </c>
      <c r="CJ29" s="36" t="str">
        <f ca="1">IFERROR(+IF(CJ$27=ProposalToGnatt[[#This Row],[Start Date]],Milestone_Marker,IF(AND(CJ$27&gt;ProposalToGnatt[[#This Row],[Start Date]],CJ$27&lt;ProposalToGnatt[[#This Row],[Start Date]]+ProposalToGnatt[[#This Row],[Days]]),$G$5,"")),"")</f>
        <v/>
      </c>
      <c r="CK29" s="36" t="str">
        <f ca="1">IFERROR(+IF(CK$27=ProposalToGnatt[[#This Row],[Start Date]],Milestone_Marker,IF(AND(CK$27&gt;ProposalToGnatt[[#This Row],[Start Date]],CK$27&lt;ProposalToGnatt[[#This Row],[Start Date]]+ProposalToGnatt[[#This Row],[Days]]),$G$5,"")),"")</f>
        <v/>
      </c>
      <c r="CL29" s="36" t="str">
        <f ca="1">IFERROR(+IF(CL$27=ProposalToGnatt[[#This Row],[Start Date]],Milestone_Marker,IF(AND(CL$27&gt;ProposalToGnatt[[#This Row],[Start Date]],CL$27&lt;ProposalToGnatt[[#This Row],[Start Date]]+ProposalToGnatt[[#This Row],[Days]]),$G$5,"")),"")</f>
        <v/>
      </c>
      <c r="CM29" s="36" t="str">
        <f ca="1">IFERROR(+IF(CM$27=ProposalToGnatt[[#This Row],[Start Date]],Milestone_Marker,IF(AND(CM$27&gt;ProposalToGnatt[[#This Row],[Start Date]],CM$27&lt;ProposalToGnatt[[#This Row],[Start Date]]+ProposalToGnatt[[#This Row],[Days]]),$G$5,"")),"")</f>
        <v/>
      </c>
      <c r="CN29" s="36" t="str">
        <f ca="1">IFERROR(+IF(CN$27=ProposalToGnatt[[#This Row],[Start Date]],Milestone_Marker,IF(AND(CN$27&gt;ProposalToGnatt[[#This Row],[Start Date]],CN$27&lt;ProposalToGnatt[[#This Row],[Start Date]]+ProposalToGnatt[[#This Row],[Days]]),$G$5,"")),"")</f>
        <v/>
      </c>
      <c r="CO29" s="36" t="str">
        <f ca="1">IFERROR(+IF(CO$27=ProposalToGnatt[[#This Row],[Start Date]],Milestone_Marker,IF(AND(CO$27&gt;ProposalToGnatt[[#This Row],[Start Date]],CO$27&lt;ProposalToGnatt[[#This Row],[Start Date]]+ProposalToGnatt[[#This Row],[Days]]),$G$5,"")),"")</f>
        <v/>
      </c>
      <c r="CP29" s="36" t="str">
        <f ca="1">IFERROR(+IF(CP$27=ProposalToGnatt[[#This Row],[Start Date]],Milestone_Marker,IF(AND(CP$27&gt;ProposalToGnatt[[#This Row],[Start Date]],CP$27&lt;ProposalToGnatt[[#This Row],[Start Date]]+ProposalToGnatt[[#This Row],[Days]]),$G$5,"")),"")</f>
        <v/>
      </c>
      <c r="CQ29" s="36" t="str">
        <f ca="1">IFERROR(+IF(CQ$27=ProposalToGnatt[[#This Row],[Start Date]],Milestone_Marker,IF(AND(CQ$27&gt;ProposalToGnatt[[#This Row],[Start Date]],CQ$27&lt;ProposalToGnatt[[#This Row],[Start Date]]+ProposalToGnatt[[#This Row],[Days]]),$G$5,"")),"")</f>
        <v/>
      </c>
      <c r="CR29" s="36" t="str">
        <f ca="1">IFERROR(+IF(CR$27=ProposalToGnatt[[#This Row],[Start Date]],Milestone_Marker,IF(AND(CR$27&gt;ProposalToGnatt[[#This Row],[Start Date]],CR$27&lt;ProposalToGnatt[[#This Row],[Start Date]]+ProposalToGnatt[[#This Row],[Days]]),$G$5,"")),"")</f>
        <v/>
      </c>
      <c r="CS29" s="36" t="str">
        <f ca="1">IFERROR(+IF(CS$27=ProposalToGnatt[[#This Row],[Start Date]],Milestone_Marker,IF(AND(CS$27&gt;ProposalToGnatt[[#This Row],[Start Date]],CS$27&lt;ProposalToGnatt[[#This Row],[Start Date]]+ProposalToGnatt[[#This Row],[Days]]),$G$5,"")),"")</f>
        <v/>
      </c>
      <c r="CT29" s="36" t="str">
        <f ca="1">IFERROR(+IF(CT$27=ProposalToGnatt[[#This Row],[Start Date]],Milestone_Marker,IF(AND(CT$27&gt;ProposalToGnatt[[#This Row],[Start Date]],CT$27&lt;ProposalToGnatt[[#This Row],[Start Date]]+ProposalToGnatt[[#This Row],[Days]]),$G$5,"")),"")</f>
        <v/>
      </c>
      <c r="CU29" s="36" t="str">
        <f ca="1">IFERROR(+IF(CU$27=ProposalToGnatt[[#This Row],[Start Date]],Milestone_Marker,IF(AND(CU$27&gt;ProposalToGnatt[[#This Row],[Start Date]],CU$27&lt;ProposalToGnatt[[#This Row],[Start Date]]+ProposalToGnatt[[#This Row],[Days]]),$G$5,"")),"")</f>
        <v/>
      </c>
      <c r="CV29" s="36"/>
      <c r="CW29" s="36"/>
      <c r="CX29" s="36"/>
      <c r="CY29" s="36"/>
      <c r="CZ29" s="36"/>
      <c r="DA29" s="36"/>
      <c r="DB29" s="36"/>
      <c r="DC29" s="36"/>
      <c r="DD29" s="36"/>
      <c r="DE29" s="36"/>
      <c r="DF29" s="36"/>
      <c r="DG29" s="36"/>
      <c r="DH29" s="36"/>
      <c r="DI29" s="36"/>
      <c r="DJ29" s="36"/>
      <c r="DK29" s="36"/>
      <c r="DL29" s="36"/>
      <c r="DM29" s="36"/>
      <c r="DN29" s="36"/>
      <c r="DO29" s="36"/>
      <c r="DP29" s="36"/>
      <c r="DQ29" s="36"/>
      <c r="DR29" s="36"/>
      <c r="DS29" s="36"/>
      <c r="DT29" s="36"/>
      <c r="DU29" s="36"/>
    </row>
    <row r="30" spans="1:125" s="41" customFormat="1" ht="20.100000000000001" customHeight="1" x14ac:dyDescent="0.25">
      <c r="A30" t="s">
        <v>545</v>
      </c>
      <c r="B30">
        <v>3</v>
      </c>
      <c r="C30" t="s">
        <v>201</v>
      </c>
      <c r="D30" t="s">
        <v>204</v>
      </c>
      <c r="E30" t="s">
        <v>204</v>
      </c>
      <c r="F30">
        <v>0</v>
      </c>
      <c r="G30" s="14"/>
      <c r="H30" s="14"/>
      <c r="I30"/>
      <c r="J30">
        <v>4</v>
      </c>
      <c r="K30" s="246"/>
      <c r="L30"/>
      <c r="M30" s="14"/>
      <c r="N30" s="299"/>
      <c r="O30" s="281"/>
      <c r="P30" s="36" t="str">
        <f ca="1">IFERROR(+IF(P$27=ProposalToGnatt[[#This Row],[Start Date]],Milestone_Marker,IF(AND(P$27&gt;ProposalToGnatt[[#This Row],[Start Date]],P$27&lt;ProposalToGnatt[[#This Row],[Start Date]]+ProposalToGnatt[[#This Row],[Days]]),$G$5,"")),"")</f>
        <v/>
      </c>
      <c r="Q30" s="36" t="str">
        <f ca="1">IFERROR(+IF(Q$27=ProposalToGnatt[[#This Row],[Start Date]],Milestone_Marker,IF(AND(Q$27&gt;ProposalToGnatt[[#This Row],[Start Date]],Q$27&lt;ProposalToGnatt[[#This Row],[Start Date]]+ProposalToGnatt[[#This Row],[Days]]),$G$5,"")),"")</f>
        <v/>
      </c>
      <c r="R30" s="36" t="str">
        <f ca="1">IFERROR(+IF(R$27=ProposalToGnatt[[#This Row],[Start Date]],Milestone_Marker,IF(AND(R$27&gt;ProposalToGnatt[[#This Row],[Start Date]],R$27&lt;ProposalToGnatt[[#This Row],[Start Date]]+ProposalToGnatt[[#This Row],[Days]]),$G$5,"")),"")</f>
        <v/>
      </c>
      <c r="S30" s="36" t="str">
        <f ca="1">IFERROR(+IF(S$27=ProposalToGnatt[[#This Row],[Start Date]],Milestone_Marker,IF(AND(S$27&gt;ProposalToGnatt[[#This Row],[Start Date]],S$27&lt;ProposalToGnatt[[#This Row],[Start Date]]+ProposalToGnatt[[#This Row],[Days]]),$G$5,"")),"")</f>
        <v/>
      </c>
      <c r="T30" s="36" t="str">
        <f ca="1">IFERROR(+IF(T$27=ProposalToGnatt[[#This Row],[Start Date]],Milestone_Marker,IF(AND(T$27&gt;ProposalToGnatt[[#This Row],[Start Date]],T$27&lt;ProposalToGnatt[[#This Row],[Start Date]]+ProposalToGnatt[[#This Row],[Days]]),$G$5,"")),"")</f>
        <v/>
      </c>
      <c r="U30" s="36" t="str">
        <f ca="1">IFERROR(+IF(U$27=ProposalToGnatt[[#This Row],[Start Date]],Milestone_Marker,IF(AND(U$27&gt;ProposalToGnatt[[#This Row],[Start Date]],U$27&lt;ProposalToGnatt[[#This Row],[Start Date]]+ProposalToGnatt[[#This Row],[Days]]),$G$5,"")),"")</f>
        <v/>
      </c>
      <c r="V30" s="36" t="str">
        <f ca="1">IFERROR(+IF(V$27=ProposalToGnatt[[#This Row],[Start Date]],Milestone_Marker,IF(AND(V$27&gt;ProposalToGnatt[[#This Row],[Start Date]],V$27&lt;ProposalToGnatt[[#This Row],[Start Date]]+ProposalToGnatt[[#This Row],[Days]]),$G$5,"")),"")</f>
        <v/>
      </c>
      <c r="W30" s="36" t="str">
        <f ca="1">IFERROR(+IF(W$27=ProposalToGnatt[[#This Row],[Start Date]],Milestone_Marker,IF(AND(W$27&gt;ProposalToGnatt[[#This Row],[Start Date]],W$27&lt;ProposalToGnatt[[#This Row],[Start Date]]+ProposalToGnatt[[#This Row],[Days]]),$G$5,"")),"")</f>
        <v/>
      </c>
      <c r="X30" s="36" t="str">
        <f ca="1">IFERROR(+IF(X$27=ProposalToGnatt[[#This Row],[Start Date]],Milestone_Marker,IF(AND(X$27&gt;ProposalToGnatt[[#This Row],[Start Date]],X$27&lt;ProposalToGnatt[[#This Row],[Start Date]]+ProposalToGnatt[[#This Row],[Days]]),$G$5,"")),"")</f>
        <v/>
      </c>
      <c r="Y30" s="36" t="str">
        <f ca="1">IFERROR(+IF(Y$27=ProposalToGnatt[[#This Row],[Start Date]],Milestone_Marker,IF(AND(Y$27&gt;ProposalToGnatt[[#This Row],[Start Date]],Y$27&lt;ProposalToGnatt[[#This Row],[Start Date]]+ProposalToGnatt[[#This Row],[Days]]),$G$5,"")),"")</f>
        <v/>
      </c>
      <c r="Z30" s="36" t="str">
        <f ca="1">IFERROR(+IF(Z$27=ProposalToGnatt[[#This Row],[Start Date]],Milestone_Marker,IF(AND(Z$27&gt;ProposalToGnatt[[#This Row],[Start Date]],Z$27&lt;ProposalToGnatt[[#This Row],[Start Date]]+ProposalToGnatt[[#This Row],[Days]]),$G$5,"")),"")</f>
        <v/>
      </c>
      <c r="AA30" s="36" t="str">
        <f ca="1">IFERROR(+IF(AA$27=ProposalToGnatt[[#This Row],[Start Date]],Milestone_Marker,IF(AND(AA$27&gt;ProposalToGnatt[[#This Row],[Start Date]],AA$27&lt;ProposalToGnatt[[#This Row],[Start Date]]+ProposalToGnatt[[#This Row],[Days]]),$G$5,"")),"")</f>
        <v/>
      </c>
      <c r="AB30" s="36" t="str">
        <f ca="1">IFERROR(+IF(AB$27=ProposalToGnatt[[#This Row],[Start Date]],Milestone_Marker,IF(AND(AB$27&gt;ProposalToGnatt[[#This Row],[Start Date]],AB$27&lt;ProposalToGnatt[[#This Row],[Start Date]]+ProposalToGnatt[[#This Row],[Days]]),$G$5,"")),"")</f>
        <v/>
      </c>
      <c r="AC30" s="36" t="str">
        <f ca="1">IFERROR(+IF(AC$27=ProposalToGnatt[[#This Row],[Start Date]],Milestone_Marker,IF(AND(AC$27&gt;ProposalToGnatt[[#This Row],[Start Date]],AC$27&lt;ProposalToGnatt[[#This Row],[Start Date]]+ProposalToGnatt[[#This Row],[Days]]),$G$5,"")),"")</f>
        <v/>
      </c>
      <c r="AD30" s="36" t="str">
        <f ca="1">IFERROR(+IF(AD$27=ProposalToGnatt[[#This Row],[Start Date]],Milestone_Marker,IF(AND(AD$27&gt;ProposalToGnatt[[#This Row],[Start Date]],AD$27&lt;ProposalToGnatt[[#This Row],[Start Date]]+ProposalToGnatt[[#This Row],[Days]]),$G$5,"")),"")</f>
        <v/>
      </c>
      <c r="AE30" s="36" t="str">
        <f ca="1">IFERROR(+IF(AE$27=ProposalToGnatt[[#This Row],[Start Date]],Milestone_Marker,IF(AND(AE$27&gt;ProposalToGnatt[[#This Row],[Start Date]],AE$27&lt;ProposalToGnatt[[#This Row],[Start Date]]+ProposalToGnatt[[#This Row],[Days]]),$G$5,"")),"")</f>
        <v/>
      </c>
      <c r="AF30" s="36" t="str">
        <f ca="1">IFERROR(+IF(AF$27=ProposalToGnatt[[#This Row],[Start Date]],Milestone_Marker,IF(AND(AF$27&gt;ProposalToGnatt[[#This Row],[Start Date]],AF$27&lt;ProposalToGnatt[[#This Row],[Start Date]]+ProposalToGnatt[[#This Row],[Days]]),$G$5,"")),"")</f>
        <v/>
      </c>
      <c r="AG30" s="36" t="str">
        <f ca="1">IFERROR(+IF(AG$27=ProposalToGnatt[[#This Row],[Start Date]],Milestone_Marker,IF(AND(AG$27&gt;ProposalToGnatt[[#This Row],[Start Date]],AG$27&lt;ProposalToGnatt[[#This Row],[Start Date]]+ProposalToGnatt[[#This Row],[Days]]),$G$5,"")),"")</f>
        <v/>
      </c>
      <c r="AH30" s="36" t="str">
        <f ca="1">IFERROR(+IF(AH$27=ProposalToGnatt[[#This Row],[Start Date]],Milestone_Marker,IF(AND(AH$27&gt;ProposalToGnatt[[#This Row],[Start Date]],AH$27&lt;ProposalToGnatt[[#This Row],[Start Date]]+ProposalToGnatt[[#This Row],[Days]]),$G$5,"")),"")</f>
        <v/>
      </c>
      <c r="AI30" s="36" t="str">
        <f ca="1">IFERROR(+IF(AI$27=ProposalToGnatt[[#This Row],[Start Date]],Milestone_Marker,IF(AND(AI$27&gt;ProposalToGnatt[[#This Row],[Start Date]],AI$27&lt;ProposalToGnatt[[#This Row],[Start Date]]+ProposalToGnatt[[#This Row],[Days]]),$G$5,"")),"")</f>
        <v/>
      </c>
      <c r="AJ30" s="36" t="str">
        <f ca="1">IFERROR(+IF(AJ$27=ProposalToGnatt[[#This Row],[Start Date]],Milestone_Marker,IF(AND(AJ$27&gt;ProposalToGnatt[[#This Row],[Start Date]],AJ$27&lt;ProposalToGnatt[[#This Row],[Start Date]]+ProposalToGnatt[[#This Row],[Days]]),$G$5,"")),"")</f>
        <v/>
      </c>
      <c r="AK30" s="36" t="str">
        <f ca="1">IFERROR(+IF(AK$27=ProposalToGnatt[[#This Row],[Start Date]],Milestone_Marker,IF(AND(AK$27&gt;ProposalToGnatt[[#This Row],[Start Date]],AK$27&lt;ProposalToGnatt[[#This Row],[Start Date]]+ProposalToGnatt[[#This Row],[Days]]),$G$5,"")),"")</f>
        <v/>
      </c>
      <c r="AL30" s="36" t="str">
        <f ca="1">IFERROR(+IF(AL$27=ProposalToGnatt[[#This Row],[Start Date]],Milestone_Marker,IF(AND(AL$27&gt;ProposalToGnatt[[#This Row],[Start Date]],AL$27&lt;ProposalToGnatt[[#This Row],[Start Date]]+ProposalToGnatt[[#This Row],[Days]]),$G$5,"")),"")</f>
        <v/>
      </c>
      <c r="AM30" s="36" t="str">
        <f ca="1">IFERROR(+IF(AM$27=ProposalToGnatt[[#This Row],[Start Date]],Milestone_Marker,IF(AND(AM$27&gt;ProposalToGnatt[[#This Row],[Start Date]],AM$27&lt;ProposalToGnatt[[#This Row],[Start Date]]+ProposalToGnatt[[#This Row],[Days]]),$G$5,"")),"")</f>
        <v/>
      </c>
      <c r="AN30" s="36" t="str">
        <f ca="1">IFERROR(+IF(AN$27=ProposalToGnatt[[#This Row],[Start Date]],Milestone_Marker,IF(AND(AN$27&gt;ProposalToGnatt[[#This Row],[Start Date]],AN$27&lt;ProposalToGnatt[[#This Row],[Start Date]]+ProposalToGnatt[[#This Row],[Days]]),$G$5,"")),"")</f>
        <v/>
      </c>
      <c r="AO30" s="36" t="str">
        <f ca="1">IFERROR(+IF(AO$27=ProposalToGnatt[[#This Row],[Start Date]],Milestone_Marker,IF(AND(AO$27&gt;ProposalToGnatt[[#This Row],[Start Date]],AO$27&lt;ProposalToGnatt[[#This Row],[Start Date]]+ProposalToGnatt[[#This Row],[Days]]),$G$5,"")),"")</f>
        <v/>
      </c>
      <c r="AP30" s="36" t="str">
        <f ca="1">IFERROR(+IF(AP$27=ProposalToGnatt[[#This Row],[Start Date]],Milestone_Marker,IF(AND(AP$27&gt;ProposalToGnatt[[#This Row],[Start Date]],AP$27&lt;ProposalToGnatt[[#This Row],[Start Date]]+ProposalToGnatt[[#This Row],[Days]]),$G$5,"")),"")</f>
        <v/>
      </c>
      <c r="AQ30" s="36" t="str">
        <f ca="1">IFERROR(+IF(AQ$27=ProposalToGnatt[[#This Row],[Start Date]],Milestone_Marker,IF(AND(AQ$27&gt;ProposalToGnatt[[#This Row],[Start Date]],AQ$27&lt;ProposalToGnatt[[#This Row],[Start Date]]+ProposalToGnatt[[#This Row],[Days]]),$G$5,"")),"")</f>
        <v/>
      </c>
      <c r="AR30" s="36" t="str">
        <f ca="1">IFERROR(+IF(AR$27=ProposalToGnatt[[#This Row],[Start Date]],Milestone_Marker,IF(AND(AR$27&gt;ProposalToGnatt[[#This Row],[Start Date]],AR$27&lt;ProposalToGnatt[[#This Row],[Start Date]]+ProposalToGnatt[[#This Row],[Days]]),$G$5,"")),"")</f>
        <v/>
      </c>
      <c r="AS30" s="36" t="str">
        <f ca="1">IFERROR(+IF(AS$27=ProposalToGnatt[[#This Row],[Start Date]],Milestone_Marker,IF(AND(AS$27&gt;ProposalToGnatt[[#This Row],[Start Date]],AS$27&lt;ProposalToGnatt[[#This Row],[Start Date]]+ProposalToGnatt[[#This Row],[Days]]),$G$5,"")),"")</f>
        <v/>
      </c>
      <c r="AT30" s="36" t="str">
        <f ca="1">IFERROR(+IF(AT$27=ProposalToGnatt[[#This Row],[Start Date]],Milestone_Marker,IF(AND(AT$27&gt;ProposalToGnatt[[#This Row],[Start Date]],AT$27&lt;ProposalToGnatt[[#This Row],[Start Date]]+ProposalToGnatt[[#This Row],[Days]]),$G$5,"")),"")</f>
        <v/>
      </c>
      <c r="AU30" s="36" t="str">
        <f ca="1">IFERROR(+IF(AU$27=ProposalToGnatt[[#This Row],[Start Date]],Milestone_Marker,IF(AND(AU$27&gt;ProposalToGnatt[[#This Row],[Start Date]],AU$27&lt;ProposalToGnatt[[#This Row],[Start Date]]+ProposalToGnatt[[#This Row],[Days]]),$G$5,"")),"")</f>
        <v/>
      </c>
      <c r="AV30" s="36" t="str">
        <f ca="1">IFERROR(+IF(AV$27=ProposalToGnatt[[#This Row],[Start Date]],Milestone_Marker,IF(AND(AV$27&gt;ProposalToGnatt[[#This Row],[Start Date]],AV$27&lt;ProposalToGnatt[[#This Row],[Start Date]]+ProposalToGnatt[[#This Row],[Days]]),$G$5,"")),"")</f>
        <v/>
      </c>
      <c r="AW30" s="36" t="str">
        <f ca="1">IFERROR(+IF(AW$27=ProposalToGnatt[[#This Row],[Start Date]],Milestone_Marker,IF(AND(AW$27&gt;ProposalToGnatt[[#This Row],[Start Date]],AW$27&lt;ProposalToGnatt[[#This Row],[Start Date]]+ProposalToGnatt[[#This Row],[Days]]),$G$5,"")),"")</f>
        <v/>
      </c>
      <c r="AX30" s="36" t="str">
        <f ca="1">IFERROR(+IF(AX$27=ProposalToGnatt[[#This Row],[Start Date]],Milestone_Marker,IF(AND(AX$27&gt;ProposalToGnatt[[#This Row],[Start Date]],AX$27&lt;ProposalToGnatt[[#This Row],[Start Date]]+ProposalToGnatt[[#This Row],[Days]]),$G$5,"")),"")</f>
        <v/>
      </c>
      <c r="AY30" s="36" t="str">
        <f ca="1">IFERROR(+IF(AY$27=ProposalToGnatt[[#This Row],[Start Date]],Milestone_Marker,IF(AND(AY$27&gt;ProposalToGnatt[[#This Row],[Start Date]],AY$27&lt;ProposalToGnatt[[#This Row],[Start Date]]+ProposalToGnatt[[#This Row],[Days]]),$G$5,"")),"")</f>
        <v/>
      </c>
      <c r="AZ30" s="36" t="str">
        <f ca="1">IFERROR(+IF(AZ$27=ProposalToGnatt[[#This Row],[Start Date]],Milestone_Marker,IF(AND(AZ$27&gt;ProposalToGnatt[[#This Row],[Start Date]],AZ$27&lt;ProposalToGnatt[[#This Row],[Start Date]]+ProposalToGnatt[[#This Row],[Days]]),$G$5,"")),"")</f>
        <v/>
      </c>
      <c r="BA30" s="36" t="str">
        <f ca="1">IFERROR(+IF(BA$27=ProposalToGnatt[[#This Row],[Start Date]],Milestone_Marker,IF(AND(BA$27&gt;ProposalToGnatt[[#This Row],[Start Date]],BA$27&lt;ProposalToGnatt[[#This Row],[Start Date]]+ProposalToGnatt[[#This Row],[Days]]),$G$5,"")),"")</f>
        <v/>
      </c>
      <c r="BB30" s="36" t="str">
        <f ca="1">IFERROR(+IF(BB$27=ProposalToGnatt[[#This Row],[Start Date]],Milestone_Marker,IF(AND(BB$27&gt;ProposalToGnatt[[#This Row],[Start Date]],BB$27&lt;ProposalToGnatt[[#This Row],[Start Date]]+ProposalToGnatt[[#This Row],[Days]]),$G$5,"")),"")</f>
        <v/>
      </c>
      <c r="BC30" s="36" t="str">
        <f ca="1">IFERROR(+IF(BC$27=ProposalToGnatt[[#This Row],[Start Date]],Milestone_Marker,IF(AND(BC$27&gt;ProposalToGnatt[[#This Row],[Start Date]],BC$27&lt;ProposalToGnatt[[#This Row],[Start Date]]+ProposalToGnatt[[#This Row],[Days]]),$G$5,"")),"")</f>
        <v/>
      </c>
      <c r="BD30" s="36" t="str">
        <f ca="1">IFERROR(+IF(BD$27=ProposalToGnatt[[#This Row],[Start Date]],Milestone_Marker,IF(AND(BD$27&gt;ProposalToGnatt[[#This Row],[Start Date]],BD$27&lt;ProposalToGnatt[[#This Row],[Start Date]]+ProposalToGnatt[[#This Row],[Days]]),$G$5,"")),"")</f>
        <v/>
      </c>
      <c r="BE30" s="36" t="str">
        <f ca="1">IFERROR(+IF(BE$27=ProposalToGnatt[[#This Row],[Start Date]],Milestone_Marker,IF(AND(BE$27&gt;ProposalToGnatt[[#This Row],[Start Date]],BE$27&lt;ProposalToGnatt[[#This Row],[Start Date]]+ProposalToGnatt[[#This Row],[Days]]),$G$5,"")),"")</f>
        <v/>
      </c>
      <c r="BF30" s="36" t="str">
        <f ca="1">IFERROR(+IF(BF$27=ProposalToGnatt[[#This Row],[Start Date]],Milestone_Marker,IF(AND(BF$27&gt;ProposalToGnatt[[#This Row],[Start Date]],BF$27&lt;ProposalToGnatt[[#This Row],[Start Date]]+ProposalToGnatt[[#This Row],[Days]]),$G$5,"")),"")</f>
        <v/>
      </c>
      <c r="BG30" s="36" t="str">
        <f ca="1">IFERROR(+IF(BG$27=ProposalToGnatt[[#This Row],[Start Date]],Milestone_Marker,IF(AND(BG$27&gt;ProposalToGnatt[[#This Row],[Start Date]],BG$27&lt;ProposalToGnatt[[#This Row],[Start Date]]+ProposalToGnatt[[#This Row],[Days]]),$G$5,"")),"")</f>
        <v/>
      </c>
      <c r="BH30" s="36" t="str">
        <f ca="1">IFERROR(+IF(BH$27=ProposalToGnatt[[#This Row],[Start Date]],Milestone_Marker,IF(AND(BH$27&gt;ProposalToGnatt[[#This Row],[Start Date]],BH$27&lt;ProposalToGnatt[[#This Row],[Start Date]]+ProposalToGnatt[[#This Row],[Days]]),$G$5,"")),"")</f>
        <v/>
      </c>
      <c r="BI30" s="36" t="str">
        <f ca="1">IFERROR(+IF(BI$27=ProposalToGnatt[[#This Row],[Start Date]],Milestone_Marker,IF(AND(BI$27&gt;ProposalToGnatt[[#This Row],[Start Date]],BI$27&lt;ProposalToGnatt[[#This Row],[Start Date]]+ProposalToGnatt[[#This Row],[Days]]),$G$5,"")),"")</f>
        <v/>
      </c>
      <c r="BJ30" s="36" t="str">
        <f ca="1">IFERROR(+IF(BJ$27=ProposalToGnatt[[#This Row],[Start Date]],Milestone_Marker,IF(AND(BJ$27&gt;ProposalToGnatt[[#This Row],[Start Date]],BJ$27&lt;ProposalToGnatt[[#This Row],[Start Date]]+ProposalToGnatt[[#This Row],[Days]]),$G$5,"")),"")</f>
        <v/>
      </c>
      <c r="BK30" s="36" t="str">
        <f ca="1">IFERROR(+IF(BK$27=ProposalToGnatt[[#This Row],[Start Date]],Milestone_Marker,IF(AND(BK$27&gt;ProposalToGnatt[[#This Row],[Start Date]],BK$27&lt;ProposalToGnatt[[#This Row],[Start Date]]+ProposalToGnatt[[#This Row],[Days]]),$G$5,"")),"")</f>
        <v/>
      </c>
      <c r="BL30" s="36" t="str">
        <f ca="1">IFERROR(+IF(BL$27=ProposalToGnatt[[#This Row],[Start Date]],Milestone_Marker,IF(AND(BL$27&gt;ProposalToGnatt[[#This Row],[Start Date]],BL$27&lt;ProposalToGnatt[[#This Row],[Start Date]]+ProposalToGnatt[[#This Row],[Days]]),$G$5,"")),"")</f>
        <v/>
      </c>
      <c r="BM30" s="36" t="str">
        <f ca="1">IFERROR(+IF(BM$27=ProposalToGnatt[[#This Row],[Start Date]],Milestone_Marker,IF(AND(BM$27&gt;ProposalToGnatt[[#This Row],[Start Date]],BM$27&lt;ProposalToGnatt[[#This Row],[Start Date]]+ProposalToGnatt[[#This Row],[Days]]),$G$5,"")),"")</f>
        <v/>
      </c>
      <c r="BN30" s="36" t="str">
        <f ca="1">IFERROR(+IF(BN$27=ProposalToGnatt[[#This Row],[Start Date]],Milestone_Marker,IF(AND(BN$27&gt;ProposalToGnatt[[#This Row],[Start Date]],BN$27&lt;ProposalToGnatt[[#This Row],[Start Date]]+ProposalToGnatt[[#This Row],[Days]]),$G$5,"")),"")</f>
        <v/>
      </c>
      <c r="BO30" s="36" t="str">
        <f ca="1">IFERROR(+IF(BO$27=ProposalToGnatt[[#This Row],[Start Date]],Milestone_Marker,IF(AND(BO$27&gt;ProposalToGnatt[[#This Row],[Start Date]],BO$27&lt;ProposalToGnatt[[#This Row],[Start Date]]+ProposalToGnatt[[#This Row],[Days]]),$G$5,"")),"")</f>
        <v/>
      </c>
      <c r="BP30" s="36" t="str">
        <f ca="1">IFERROR(+IF(BP$27=ProposalToGnatt[[#This Row],[Start Date]],Milestone_Marker,IF(AND(BP$27&gt;ProposalToGnatt[[#This Row],[Start Date]],BP$27&lt;ProposalToGnatt[[#This Row],[Start Date]]+ProposalToGnatt[[#This Row],[Days]]),$G$5,"")),"")</f>
        <v/>
      </c>
      <c r="BQ30" s="36" t="str">
        <f ca="1">IFERROR(+IF(BQ$27=ProposalToGnatt[[#This Row],[Start Date]],Milestone_Marker,IF(AND(BQ$27&gt;ProposalToGnatt[[#This Row],[Start Date]],BQ$27&lt;ProposalToGnatt[[#This Row],[Start Date]]+ProposalToGnatt[[#This Row],[Days]]),$G$5,"")),"")</f>
        <v/>
      </c>
      <c r="BR30" s="36" t="str">
        <f ca="1">IFERROR(+IF(BR$27=ProposalToGnatt[[#This Row],[Start Date]],Milestone_Marker,IF(AND(BR$27&gt;ProposalToGnatt[[#This Row],[Start Date]],BR$27&lt;ProposalToGnatt[[#This Row],[Start Date]]+ProposalToGnatt[[#This Row],[Days]]),$G$5,"")),"")</f>
        <v/>
      </c>
      <c r="BS30" s="36" t="str">
        <f ca="1">IFERROR(+IF(BS$27=ProposalToGnatt[[#This Row],[Start Date]],Milestone_Marker,IF(AND(BS$27&gt;ProposalToGnatt[[#This Row],[Start Date]],BS$27&lt;ProposalToGnatt[[#This Row],[Start Date]]+ProposalToGnatt[[#This Row],[Days]]),$G$5,"")),"")</f>
        <v/>
      </c>
      <c r="BT30" s="36" t="str">
        <f ca="1">IFERROR(+IF(BT$27=ProposalToGnatt[[#This Row],[Start Date]],Milestone_Marker,IF(AND(BT$27&gt;ProposalToGnatt[[#This Row],[Start Date]],BT$27&lt;ProposalToGnatt[[#This Row],[Start Date]]+ProposalToGnatt[[#This Row],[Days]]),$G$5,"")),"")</f>
        <v/>
      </c>
      <c r="BU30" s="36" t="str">
        <f ca="1">IFERROR(+IF(BU$27=ProposalToGnatt[[#This Row],[Start Date]],Milestone_Marker,IF(AND(BU$27&gt;ProposalToGnatt[[#This Row],[Start Date]],BU$27&lt;ProposalToGnatt[[#This Row],[Start Date]]+ProposalToGnatt[[#This Row],[Days]]),$G$5,"")),"")</f>
        <v/>
      </c>
      <c r="BV30" s="36" t="str">
        <f ca="1">IFERROR(+IF(BV$27=ProposalToGnatt[[#This Row],[Start Date]],Milestone_Marker,IF(AND(BV$27&gt;ProposalToGnatt[[#This Row],[Start Date]],BV$27&lt;ProposalToGnatt[[#This Row],[Start Date]]+ProposalToGnatt[[#This Row],[Days]]),$G$5,"")),"")</f>
        <v/>
      </c>
      <c r="BW30" s="36" t="str">
        <f ca="1">IFERROR(+IF(BW$27=ProposalToGnatt[[#This Row],[Start Date]],Milestone_Marker,IF(AND(BW$27&gt;ProposalToGnatt[[#This Row],[Start Date]],BW$27&lt;ProposalToGnatt[[#This Row],[Start Date]]+ProposalToGnatt[[#This Row],[Days]]),$G$5,"")),"")</f>
        <v/>
      </c>
      <c r="BX30" s="36" t="str">
        <f ca="1">IFERROR(+IF(BX$27=ProposalToGnatt[[#This Row],[Start Date]],Milestone_Marker,IF(AND(BX$27&gt;ProposalToGnatt[[#This Row],[Start Date]],BX$27&lt;ProposalToGnatt[[#This Row],[Start Date]]+ProposalToGnatt[[#This Row],[Days]]),$G$5,"")),"")</f>
        <v/>
      </c>
      <c r="BY30" s="36" t="str">
        <f ca="1">IFERROR(+IF(BY$27=ProposalToGnatt[[#This Row],[Start Date]],Milestone_Marker,IF(AND(BY$27&gt;ProposalToGnatt[[#This Row],[Start Date]],BY$27&lt;ProposalToGnatt[[#This Row],[Start Date]]+ProposalToGnatt[[#This Row],[Days]]),$G$5,"")),"")</f>
        <v/>
      </c>
      <c r="BZ30" s="36" t="str">
        <f ca="1">IFERROR(+IF(BZ$27=ProposalToGnatt[[#This Row],[Start Date]],Milestone_Marker,IF(AND(BZ$27&gt;ProposalToGnatt[[#This Row],[Start Date]],BZ$27&lt;ProposalToGnatt[[#This Row],[Start Date]]+ProposalToGnatt[[#This Row],[Days]]),$G$5,"")),"")</f>
        <v/>
      </c>
      <c r="CA30" s="36" t="str">
        <f ca="1">IFERROR(+IF(CA$27=ProposalToGnatt[[#This Row],[Start Date]],Milestone_Marker,IF(AND(CA$27&gt;ProposalToGnatt[[#This Row],[Start Date]],CA$27&lt;ProposalToGnatt[[#This Row],[Start Date]]+ProposalToGnatt[[#This Row],[Days]]),$G$5,"")),"")</f>
        <v/>
      </c>
      <c r="CB30" s="36" t="str">
        <f ca="1">IFERROR(+IF(CB$27=ProposalToGnatt[[#This Row],[Start Date]],Milestone_Marker,IF(AND(CB$27&gt;ProposalToGnatt[[#This Row],[Start Date]],CB$27&lt;ProposalToGnatt[[#This Row],[Start Date]]+ProposalToGnatt[[#This Row],[Days]]),$G$5,"")),"")</f>
        <v/>
      </c>
      <c r="CC30" s="36" t="str">
        <f ca="1">IFERROR(+IF(CC$27=ProposalToGnatt[[#This Row],[Start Date]],Milestone_Marker,IF(AND(CC$27&gt;ProposalToGnatt[[#This Row],[Start Date]],CC$27&lt;ProposalToGnatt[[#This Row],[Start Date]]+ProposalToGnatt[[#This Row],[Days]]),$G$5,"")),"")</f>
        <v/>
      </c>
      <c r="CD30" s="36" t="str">
        <f ca="1">IFERROR(+IF(CD$27=ProposalToGnatt[[#This Row],[Start Date]],Milestone_Marker,IF(AND(CD$27&gt;ProposalToGnatt[[#This Row],[Start Date]],CD$27&lt;ProposalToGnatt[[#This Row],[Start Date]]+ProposalToGnatt[[#This Row],[Days]]),$G$5,"")),"")</f>
        <v/>
      </c>
      <c r="CE30" s="36" t="str">
        <f ca="1">IFERROR(+IF(CE$27=ProposalToGnatt[[#This Row],[Start Date]],Milestone_Marker,IF(AND(CE$27&gt;ProposalToGnatt[[#This Row],[Start Date]],CE$27&lt;ProposalToGnatt[[#This Row],[Start Date]]+ProposalToGnatt[[#This Row],[Days]]),$G$5,"")),"")</f>
        <v/>
      </c>
      <c r="CF30" s="36" t="str">
        <f ca="1">IFERROR(+IF(CF$27=ProposalToGnatt[[#This Row],[Start Date]],Milestone_Marker,IF(AND(CF$27&gt;ProposalToGnatt[[#This Row],[Start Date]],CF$27&lt;ProposalToGnatt[[#This Row],[Start Date]]+ProposalToGnatt[[#This Row],[Days]]),$G$5,"")),"")</f>
        <v/>
      </c>
      <c r="CG30" s="36" t="str">
        <f ca="1">IFERROR(+IF(CG$27=ProposalToGnatt[[#This Row],[Start Date]],Milestone_Marker,IF(AND(CG$27&gt;ProposalToGnatt[[#This Row],[Start Date]],CG$27&lt;ProposalToGnatt[[#This Row],[Start Date]]+ProposalToGnatt[[#This Row],[Days]]),$G$5,"")),"")</f>
        <v/>
      </c>
      <c r="CH30" s="36" t="str">
        <f ca="1">IFERROR(+IF(CH$27=ProposalToGnatt[[#This Row],[Start Date]],Milestone_Marker,IF(AND(CH$27&gt;ProposalToGnatt[[#This Row],[Start Date]],CH$27&lt;ProposalToGnatt[[#This Row],[Start Date]]+ProposalToGnatt[[#This Row],[Days]]),$G$5,"")),"")</f>
        <v/>
      </c>
      <c r="CI30" s="36" t="str">
        <f ca="1">IFERROR(+IF(CI$27=ProposalToGnatt[[#This Row],[Start Date]],Milestone_Marker,IF(AND(CI$27&gt;ProposalToGnatt[[#This Row],[Start Date]],CI$27&lt;ProposalToGnatt[[#This Row],[Start Date]]+ProposalToGnatt[[#This Row],[Days]]),$G$5,"")),"")</f>
        <v/>
      </c>
      <c r="CJ30" s="36" t="str">
        <f ca="1">IFERROR(+IF(CJ$27=ProposalToGnatt[[#This Row],[Start Date]],Milestone_Marker,IF(AND(CJ$27&gt;ProposalToGnatt[[#This Row],[Start Date]],CJ$27&lt;ProposalToGnatt[[#This Row],[Start Date]]+ProposalToGnatt[[#This Row],[Days]]),$G$5,"")),"")</f>
        <v/>
      </c>
      <c r="CK30" s="36" t="str">
        <f ca="1">IFERROR(+IF(CK$27=ProposalToGnatt[[#This Row],[Start Date]],Milestone_Marker,IF(AND(CK$27&gt;ProposalToGnatt[[#This Row],[Start Date]],CK$27&lt;ProposalToGnatt[[#This Row],[Start Date]]+ProposalToGnatt[[#This Row],[Days]]),$G$5,"")),"")</f>
        <v/>
      </c>
      <c r="CL30" s="36" t="str">
        <f ca="1">IFERROR(+IF(CL$27=ProposalToGnatt[[#This Row],[Start Date]],Milestone_Marker,IF(AND(CL$27&gt;ProposalToGnatt[[#This Row],[Start Date]],CL$27&lt;ProposalToGnatt[[#This Row],[Start Date]]+ProposalToGnatt[[#This Row],[Days]]),$G$5,"")),"")</f>
        <v/>
      </c>
      <c r="CM30" s="36" t="str">
        <f ca="1">IFERROR(+IF(CM$27=ProposalToGnatt[[#This Row],[Start Date]],Milestone_Marker,IF(AND(CM$27&gt;ProposalToGnatt[[#This Row],[Start Date]],CM$27&lt;ProposalToGnatt[[#This Row],[Start Date]]+ProposalToGnatt[[#This Row],[Days]]),$G$5,"")),"")</f>
        <v/>
      </c>
      <c r="CN30" s="36" t="str">
        <f ca="1">IFERROR(+IF(CN$27=ProposalToGnatt[[#This Row],[Start Date]],Milestone_Marker,IF(AND(CN$27&gt;ProposalToGnatt[[#This Row],[Start Date]],CN$27&lt;ProposalToGnatt[[#This Row],[Start Date]]+ProposalToGnatt[[#This Row],[Days]]),$G$5,"")),"")</f>
        <v/>
      </c>
      <c r="CO30" s="36" t="str">
        <f ca="1">IFERROR(+IF(CO$27=ProposalToGnatt[[#This Row],[Start Date]],Milestone_Marker,IF(AND(CO$27&gt;ProposalToGnatt[[#This Row],[Start Date]],CO$27&lt;ProposalToGnatt[[#This Row],[Start Date]]+ProposalToGnatt[[#This Row],[Days]]),$G$5,"")),"")</f>
        <v/>
      </c>
      <c r="CP30" s="36" t="str">
        <f ca="1">IFERROR(+IF(CP$27=ProposalToGnatt[[#This Row],[Start Date]],Milestone_Marker,IF(AND(CP$27&gt;ProposalToGnatt[[#This Row],[Start Date]],CP$27&lt;ProposalToGnatt[[#This Row],[Start Date]]+ProposalToGnatt[[#This Row],[Days]]),$G$5,"")),"")</f>
        <v/>
      </c>
      <c r="CQ30" s="36" t="str">
        <f ca="1">IFERROR(+IF(CQ$27=ProposalToGnatt[[#This Row],[Start Date]],Milestone_Marker,IF(AND(CQ$27&gt;ProposalToGnatt[[#This Row],[Start Date]],CQ$27&lt;ProposalToGnatt[[#This Row],[Start Date]]+ProposalToGnatt[[#This Row],[Days]]),$G$5,"")),"")</f>
        <v/>
      </c>
      <c r="CR30" s="36" t="str">
        <f ca="1">IFERROR(+IF(CR$27=ProposalToGnatt[[#This Row],[Start Date]],Milestone_Marker,IF(AND(CR$27&gt;ProposalToGnatt[[#This Row],[Start Date]],CR$27&lt;ProposalToGnatt[[#This Row],[Start Date]]+ProposalToGnatt[[#This Row],[Days]]),$G$5,"")),"")</f>
        <v/>
      </c>
      <c r="CS30" s="36" t="str">
        <f ca="1">IFERROR(+IF(CS$27=ProposalToGnatt[[#This Row],[Start Date]],Milestone_Marker,IF(AND(CS$27&gt;ProposalToGnatt[[#This Row],[Start Date]],CS$27&lt;ProposalToGnatt[[#This Row],[Start Date]]+ProposalToGnatt[[#This Row],[Days]]),$G$5,"")),"")</f>
        <v/>
      </c>
      <c r="CT30" s="36" t="str">
        <f ca="1">IFERROR(+IF(CT$27=ProposalToGnatt[[#This Row],[Start Date]],Milestone_Marker,IF(AND(CT$27&gt;ProposalToGnatt[[#This Row],[Start Date]],CT$27&lt;ProposalToGnatt[[#This Row],[Start Date]]+ProposalToGnatt[[#This Row],[Days]]),$G$5,"")),"")</f>
        <v/>
      </c>
      <c r="CU30" s="36" t="str">
        <f ca="1">IFERROR(+IF(CU$27=ProposalToGnatt[[#This Row],[Start Date]],Milestone_Marker,IF(AND(CU$27&gt;ProposalToGnatt[[#This Row],[Start Date]],CU$27&lt;ProposalToGnatt[[#This Row],[Start Date]]+ProposalToGnatt[[#This Row],[Days]]),$G$5,"")),"")</f>
        <v/>
      </c>
      <c r="CV30" s="36"/>
      <c r="CW30" s="36"/>
      <c r="CX30" s="36"/>
      <c r="CY30" s="36"/>
      <c r="CZ30" s="36"/>
      <c r="DA30" s="36"/>
      <c r="DB30" s="36"/>
      <c r="DC30" s="36"/>
      <c r="DD30" s="36"/>
      <c r="DE30" s="36"/>
      <c r="DF30" s="36"/>
      <c r="DG30" s="36"/>
      <c r="DH30" s="36"/>
      <c r="DI30" s="36"/>
      <c r="DJ30" s="36"/>
      <c r="DK30" s="36"/>
      <c r="DL30" s="36"/>
      <c r="DM30" s="36"/>
      <c r="DN30" s="36"/>
      <c r="DO30" s="36"/>
      <c r="DP30" s="36"/>
      <c r="DQ30" s="36"/>
      <c r="DR30" s="36"/>
      <c r="DS30" s="36"/>
      <c r="DT30" s="36"/>
      <c r="DU30" s="36"/>
    </row>
    <row r="31" spans="1:125" s="41" customFormat="1" ht="20.100000000000001" customHeight="1" x14ac:dyDescent="0.25">
      <c r="A31" t="s">
        <v>263</v>
      </c>
      <c r="B31">
        <v>4</v>
      </c>
      <c r="C31"/>
      <c r="D31" t="s">
        <v>205</v>
      </c>
      <c r="E31" t="s">
        <v>206</v>
      </c>
      <c r="F31">
        <v>6</v>
      </c>
      <c r="G31" s="14"/>
      <c r="H31" s="14"/>
      <c r="I31"/>
      <c r="J31">
        <v>5</v>
      </c>
      <c r="K31" s="246"/>
      <c r="L31"/>
      <c r="M31" s="14"/>
      <c r="N31" s="299"/>
      <c r="O31" s="281"/>
      <c r="P31" s="36" t="str">
        <f ca="1">IFERROR(+IF(P$27=ProposalToGnatt[[#This Row],[Start Date]],Milestone_Marker,IF(AND(P$27&gt;ProposalToGnatt[[#This Row],[Start Date]],P$27&lt;ProposalToGnatt[[#This Row],[Start Date]]+ProposalToGnatt[[#This Row],[Days]]),$G$5,"")),"")</f>
        <v/>
      </c>
      <c r="Q31" s="36" t="str">
        <f ca="1">IFERROR(+IF(Q$27=ProposalToGnatt[[#This Row],[Start Date]],Milestone_Marker,IF(AND(Q$27&gt;ProposalToGnatt[[#This Row],[Start Date]],Q$27&lt;ProposalToGnatt[[#This Row],[Start Date]]+ProposalToGnatt[[#This Row],[Days]]),$G$5,"")),"")</f>
        <v/>
      </c>
      <c r="R31" s="36" t="str">
        <f ca="1">IFERROR(+IF(R$27=ProposalToGnatt[[#This Row],[Start Date]],Milestone_Marker,IF(AND(R$27&gt;ProposalToGnatt[[#This Row],[Start Date]],R$27&lt;ProposalToGnatt[[#This Row],[Start Date]]+ProposalToGnatt[[#This Row],[Days]]),$G$5,"")),"")</f>
        <v/>
      </c>
      <c r="S31" s="36" t="str">
        <f ca="1">IFERROR(+IF(S$27=ProposalToGnatt[[#This Row],[Start Date]],Milestone_Marker,IF(AND(S$27&gt;ProposalToGnatt[[#This Row],[Start Date]],S$27&lt;ProposalToGnatt[[#This Row],[Start Date]]+ProposalToGnatt[[#This Row],[Days]]),$G$5,"")),"")</f>
        <v/>
      </c>
      <c r="T31" s="36" t="str">
        <f ca="1">IFERROR(+IF(T$27=ProposalToGnatt[[#This Row],[Start Date]],Milestone_Marker,IF(AND(T$27&gt;ProposalToGnatt[[#This Row],[Start Date]],T$27&lt;ProposalToGnatt[[#This Row],[Start Date]]+ProposalToGnatt[[#This Row],[Days]]),$G$5,"")),"")</f>
        <v/>
      </c>
      <c r="U31" s="36" t="str">
        <f ca="1">IFERROR(+IF(U$27=ProposalToGnatt[[#This Row],[Start Date]],Milestone_Marker,IF(AND(U$27&gt;ProposalToGnatt[[#This Row],[Start Date]],U$27&lt;ProposalToGnatt[[#This Row],[Start Date]]+ProposalToGnatt[[#This Row],[Days]]),$G$5,"")),"")</f>
        <v/>
      </c>
      <c r="V31" s="36" t="str">
        <f ca="1">IFERROR(+IF(V$27=ProposalToGnatt[[#This Row],[Start Date]],Milestone_Marker,IF(AND(V$27&gt;ProposalToGnatt[[#This Row],[Start Date]],V$27&lt;ProposalToGnatt[[#This Row],[Start Date]]+ProposalToGnatt[[#This Row],[Days]]),$G$5,"")),"")</f>
        <v/>
      </c>
      <c r="W31" s="36" t="str">
        <f ca="1">IFERROR(+IF(W$27=ProposalToGnatt[[#This Row],[Start Date]],Milestone_Marker,IF(AND(W$27&gt;ProposalToGnatt[[#This Row],[Start Date]],W$27&lt;ProposalToGnatt[[#This Row],[Start Date]]+ProposalToGnatt[[#This Row],[Days]]),$G$5,"")),"")</f>
        <v/>
      </c>
      <c r="X31" s="36" t="str">
        <f ca="1">IFERROR(+IF(X$27=ProposalToGnatt[[#This Row],[Start Date]],Milestone_Marker,IF(AND(X$27&gt;ProposalToGnatt[[#This Row],[Start Date]],X$27&lt;ProposalToGnatt[[#This Row],[Start Date]]+ProposalToGnatt[[#This Row],[Days]]),$G$5,"")),"")</f>
        <v/>
      </c>
      <c r="Y31" s="36" t="str">
        <f ca="1">IFERROR(+IF(Y$27=ProposalToGnatt[[#This Row],[Start Date]],Milestone_Marker,IF(AND(Y$27&gt;ProposalToGnatt[[#This Row],[Start Date]],Y$27&lt;ProposalToGnatt[[#This Row],[Start Date]]+ProposalToGnatt[[#This Row],[Days]]),$G$5,"")),"")</f>
        <v/>
      </c>
      <c r="Z31" s="36" t="str">
        <f ca="1">IFERROR(+IF(Z$27=ProposalToGnatt[[#This Row],[Start Date]],Milestone_Marker,IF(AND(Z$27&gt;ProposalToGnatt[[#This Row],[Start Date]],Z$27&lt;ProposalToGnatt[[#This Row],[Start Date]]+ProposalToGnatt[[#This Row],[Days]]),$G$5,"")),"")</f>
        <v/>
      </c>
      <c r="AA31" s="36" t="str">
        <f ca="1">IFERROR(+IF(AA$27=ProposalToGnatt[[#This Row],[Start Date]],Milestone_Marker,IF(AND(AA$27&gt;ProposalToGnatt[[#This Row],[Start Date]],AA$27&lt;ProposalToGnatt[[#This Row],[Start Date]]+ProposalToGnatt[[#This Row],[Days]]),$G$5,"")),"")</f>
        <v/>
      </c>
      <c r="AB31" s="36" t="str">
        <f ca="1">IFERROR(+IF(AB$27=ProposalToGnatt[[#This Row],[Start Date]],Milestone_Marker,IF(AND(AB$27&gt;ProposalToGnatt[[#This Row],[Start Date]],AB$27&lt;ProposalToGnatt[[#This Row],[Start Date]]+ProposalToGnatt[[#This Row],[Days]]),$G$5,"")),"")</f>
        <v/>
      </c>
      <c r="AC31" s="36" t="str">
        <f ca="1">IFERROR(+IF(AC$27=ProposalToGnatt[[#This Row],[Start Date]],Milestone_Marker,IF(AND(AC$27&gt;ProposalToGnatt[[#This Row],[Start Date]],AC$27&lt;ProposalToGnatt[[#This Row],[Start Date]]+ProposalToGnatt[[#This Row],[Days]]),$G$5,"")),"")</f>
        <v/>
      </c>
      <c r="AD31" s="36" t="str">
        <f ca="1">IFERROR(+IF(AD$27=ProposalToGnatt[[#This Row],[Start Date]],Milestone_Marker,IF(AND(AD$27&gt;ProposalToGnatt[[#This Row],[Start Date]],AD$27&lt;ProposalToGnatt[[#This Row],[Start Date]]+ProposalToGnatt[[#This Row],[Days]]),$G$5,"")),"")</f>
        <v/>
      </c>
      <c r="AE31" s="36" t="str">
        <f ca="1">IFERROR(+IF(AE$27=ProposalToGnatt[[#This Row],[Start Date]],Milestone_Marker,IF(AND(AE$27&gt;ProposalToGnatt[[#This Row],[Start Date]],AE$27&lt;ProposalToGnatt[[#This Row],[Start Date]]+ProposalToGnatt[[#This Row],[Days]]),$G$5,"")),"")</f>
        <v/>
      </c>
      <c r="AF31" s="36" t="str">
        <f ca="1">IFERROR(+IF(AF$27=ProposalToGnatt[[#This Row],[Start Date]],Milestone_Marker,IF(AND(AF$27&gt;ProposalToGnatt[[#This Row],[Start Date]],AF$27&lt;ProposalToGnatt[[#This Row],[Start Date]]+ProposalToGnatt[[#This Row],[Days]]),$G$5,"")),"")</f>
        <v/>
      </c>
      <c r="AG31" s="36" t="str">
        <f ca="1">IFERROR(+IF(AG$27=ProposalToGnatt[[#This Row],[Start Date]],Milestone_Marker,IF(AND(AG$27&gt;ProposalToGnatt[[#This Row],[Start Date]],AG$27&lt;ProposalToGnatt[[#This Row],[Start Date]]+ProposalToGnatt[[#This Row],[Days]]),$G$5,"")),"")</f>
        <v/>
      </c>
      <c r="AH31" s="36" t="str">
        <f ca="1">IFERROR(+IF(AH$27=ProposalToGnatt[[#This Row],[Start Date]],Milestone_Marker,IF(AND(AH$27&gt;ProposalToGnatt[[#This Row],[Start Date]],AH$27&lt;ProposalToGnatt[[#This Row],[Start Date]]+ProposalToGnatt[[#This Row],[Days]]),$G$5,"")),"")</f>
        <v/>
      </c>
      <c r="AI31" s="36" t="str">
        <f ca="1">IFERROR(+IF(AI$27=ProposalToGnatt[[#This Row],[Start Date]],Milestone_Marker,IF(AND(AI$27&gt;ProposalToGnatt[[#This Row],[Start Date]],AI$27&lt;ProposalToGnatt[[#This Row],[Start Date]]+ProposalToGnatt[[#This Row],[Days]]),$G$5,"")),"")</f>
        <v/>
      </c>
      <c r="AJ31" s="36" t="str">
        <f ca="1">IFERROR(+IF(AJ$27=ProposalToGnatt[[#This Row],[Start Date]],Milestone_Marker,IF(AND(AJ$27&gt;ProposalToGnatt[[#This Row],[Start Date]],AJ$27&lt;ProposalToGnatt[[#This Row],[Start Date]]+ProposalToGnatt[[#This Row],[Days]]),$G$5,"")),"")</f>
        <v/>
      </c>
      <c r="AK31" s="36" t="str">
        <f ca="1">IFERROR(+IF(AK$27=ProposalToGnatt[[#This Row],[Start Date]],Milestone_Marker,IF(AND(AK$27&gt;ProposalToGnatt[[#This Row],[Start Date]],AK$27&lt;ProposalToGnatt[[#This Row],[Start Date]]+ProposalToGnatt[[#This Row],[Days]]),$G$5,"")),"")</f>
        <v/>
      </c>
      <c r="AL31" s="36" t="str">
        <f ca="1">IFERROR(+IF(AL$27=ProposalToGnatt[[#This Row],[Start Date]],Milestone_Marker,IF(AND(AL$27&gt;ProposalToGnatt[[#This Row],[Start Date]],AL$27&lt;ProposalToGnatt[[#This Row],[Start Date]]+ProposalToGnatt[[#This Row],[Days]]),$G$5,"")),"")</f>
        <v/>
      </c>
      <c r="AM31" s="36" t="str">
        <f ca="1">IFERROR(+IF(AM$27=ProposalToGnatt[[#This Row],[Start Date]],Milestone_Marker,IF(AND(AM$27&gt;ProposalToGnatt[[#This Row],[Start Date]],AM$27&lt;ProposalToGnatt[[#This Row],[Start Date]]+ProposalToGnatt[[#This Row],[Days]]),$G$5,"")),"")</f>
        <v/>
      </c>
      <c r="AN31" s="36" t="str">
        <f ca="1">IFERROR(+IF(AN$27=ProposalToGnatt[[#This Row],[Start Date]],Milestone_Marker,IF(AND(AN$27&gt;ProposalToGnatt[[#This Row],[Start Date]],AN$27&lt;ProposalToGnatt[[#This Row],[Start Date]]+ProposalToGnatt[[#This Row],[Days]]),$G$5,"")),"")</f>
        <v/>
      </c>
      <c r="AO31" s="36" t="str">
        <f ca="1">IFERROR(+IF(AO$27=ProposalToGnatt[[#This Row],[Start Date]],Milestone_Marker,IF(AND(AO$27&gt;ProposalToGnatt[[#This Row],[Start Date]],AO$27&lt;ProposalToGnatt[[#This Row],[Start Date]]+ProposalToGnatt[[#This Row],[Days]]),$G$5,"")),"")</f>
        <v/>
      </c>
      <c r="AP31" s="36" t="str">
        <f ca="1">IFERROR(+IF(AP$27=ProposalToGnatt[[#This Row],[Start Date]],Milestone_Marker,IF(AND(AP$27&gt;ProposalToGnatt[[#This Row],[Start Date]],AP$27&lt;ProposalToGnatt[[#This Row],[Start Date]]+ProposalToGnatt[[#This Row],[Days]]),$G$5,"")),"")</f>
        <v/>
      </c>
      <c r="AQ31" s="36" t="str">
        <f ca="1">IFERROR(+IF(AQ$27=ProposalToGnatt[[#This Row],[Start Date]],Milestone_Marker,IF(AND(AQ$27&gt;ProposalToGnatt[[#This Row],[Start Date]],AQ$27&lt;ProposalToGnatt[[#This Row],[Start Date]]+ProposalToGnatt[[#This Row],[Days]]),$G$5,"")),"")</f>
        <v/>
      </c>
      <c r="AR31" s="36" t="str">
        <f ca="1">IFERROR(+IF(AR$27=ProposalToGnatt[[#This Row],[Start Date]],Milestone_Marker,IF(AND(AR$27&gt;ProposalToGnatt[[#This Row],[Start Date]],AR$27&lt;ProposalToGnatt[[#This Row],[Start Date]]+ProposalToGnatt[[#This Row],[Days]]),$G$5,"")),"")</f>
        <v/>
      </c>
      <c r="AS31" s="36" t="str">
        <f ca="1">IFERROR(+IF(AS$27=ProposalToGnatt[[#This Row],[Start Date]],Milestone_Marker,IF(AND(AS$27&gt;ProposalToGnatt[[#This Row],[Start Date]],AS$27&lt;ProposalToGnatt[[#This Row],[Start Date]]+ProposalToGnatt[[#This Row],[Days]]),$G$5,"")),"")</f>
        <v/>
      </c>
      <c r="AT31" s="36" t="str">
        <f ca="1">IFERROR(+IF(AT$27=ProposalToGnatt[[#This Row],[Start Date]],Milestone_Marker,IF(AND(AT$27&gt;ProposalToGnatt[[#This Row],[Start Date]],AT$27&lt;ProposalToGnatt[[#This Row],[Start Date]]+ProposalToGnatt[[#This Row],[Days]]),$G$5,"")),"")</f>
        <v/>
      </c>
      <c r="AU31" s="36" t="str">
        <f ca="1">IFERROR(+IF(AU$27=ProposalToGnatt[[#This Row],[Start Date]],Milestone_Marker,IF(AND(AU$27&gt;ProposalToGnatt[[#This Row],[Start Date]],AU$27&lt;ProposalToGnatt[[#This Row],[Start Date]]+ProposalToGnatt[[#This Row],[Days]]),$G$5,"")),"")</f>
        <v/>
      </c>
      <c r="AV31" s="36" t="str">
        <f ca="1">IFERROR(+IF(AV$27=ProposalToGnatt[[#This Row],[Start Date]],Milestone_Marker,IF(AND(AV$27&gt;ProposalToGnatt[[#This Row],[Start Date]],AV$27&lt;ProposalToGnatt[[#This Row],[Start Date]]+ProposalToGnatt[[#This Row],[Days]]),$G$5,"")),"")</f>
        <v/>
      </c>
      <c r="AW31" s="36" t="str">
        <f ca="1">IFERROR(+IF(AW$27=ProposalToGnatt[[#This Row],[Start Date]],Milestone_Marker,IF(AND(AW$27&gt;ProposalToGnatt[[#This Row],[Start Date]],AW$27&lt;ProposalToGnatt[[#This Row],[Start Date]]+ProposalToGnatt[[#This Row],[Days]]),$G$5,"")),"")</f>
        <v/>
      </c>
      <c r="AX31" s="36" t="str">
        <f ca="1">IFERROR(+IF(AX$27=ProposalToGnatt[[#This Row],[Start Date]],Milestone_Marker,IF(AND(AX$27&gt;ProposalToGnatt[[#This Row],[Start Date]],AX$27&lt;ProposalToGnatt[[#This Row],[Start Date]]+ProposalToGnatt[[#This Row],[Days]]),$G$5,"")),"")</f>
        <v/>
      </c>
      <c r="AY31" s="36" t="str">
        <f ca="1">IFERROR(+IF(AY$27=ProposalToGnatt[[#This Row],[Start Date]],Milestone_Marker,IF(AND(AY$27&gt;ProposalToGnatt[[#This Row],[Start Date]],AY$27&lt;ProposalToGnatt[[#This Row],[Start Date]]+ProposalToGnatt[[#This Row],[Days]]),$G$5,"")),"")</f>
        <v/>
      </c>
      <c r="AZ31" s="36" t="str">
        <f ca="1">IFERROR(+IF(AZ$27=ProposalToGnatt[[#This Row],[Start Date]],Milestone_Marker,IF(AND(AZ$27&gt;ProposalToGnatt[[#This Row],[Start Date]],AZ$27&lt;ProposalToGnatt[[#This Row],[Start Date]]+ProposalToGnatt[[#This Row],[Days]]),$G$5,"")),"")</f>
        <v/>
      </c>
      <c r="BA31" s="36" t="str">
        <f ca="1">IFERROR(+IF(BA$27=ProposalToGnatt[[#This Row],[Start Date]],Milestone_Marker,IF(AND(BA$27&gt;ProposalToGnatt[[#This Row],[Start Date]],BA$27&lt;ProposalToGnatt[[#This Row],[Start Date]]+ProposalToGnatt[[#This Row],[Days]]),$G$5,"")),"")</f>
        <v/>
      </c>
      <c r="BB31" s="36" t="str">
        <f ca="1">IFERROR(+IF(BB$27=ProposalToGnatt[[#This Row],[Start Date]],Milestone_Marker,IF(AND(BB$27&gt;ProposalToGnatt[[#This Row],[Start Date]],BB$27&lt;ProposalToGnatt[[#This Row],[Start Date]]+ProposalToGnatt[[#This Row],[Days]]),$G$5,"")),"")</f>
        <v/>
      </c>
      <c r="BC31" s="36" t="str">
        <f ca="1">IFERROR(+IF(BC$27=ProposalToGnatt[[#This Row],[Start Date]],Milestone_Marker,IF(AND(BC$27&gt;ProposalToGnatt[[#This Row],[Start Date]],BC$27&lt;ProposalToGnatt[[#This Row],[Start Date]]+ProposalToGnatt[[#This Row],[Days]]),$G$5,"")),"")</f>
        <v/>
      </c>
      <c r="BD31" s="36" t="str">
        <f ca="1">IFERROR(+IF(BD$27=ProposalToGnatt[[#This Row],[Start Date]],Milestone_Marker,IF(AND(BD$27&gt;ProposalToGnatt[[#This Row],[Start Date]],BD$27&lt;ProposalToGnatt[[#This Row],[Start Date]]+ProposalToGnatt[[#This Row],[Days]]),$G$5,"")),"")</f>
        <v/>
      </c>
      <c r="BE31" s="36" t="str">
        <f ca="1">IFERROR(+IF(BE$27=ProposalToGnatt[[#This Row],[Start Date]],Milestone_Marker,IF(AND(BE$27&gt;ProposalToGnatt[[#This Row],[Start Date]],BE$27&lt;ProposalToGnatt[[#This Row],[Start Date]]+ProposalToGnatt[[#This Row],[Days]]),$G$5,"")),"")</f>
        <v/>
      </c>
      <c r="BF31" s="36" t="str">
        <f ca="1">IFERROR(+IF(BF$27=ProposalToGnatt[[#This Row],[Start Date]],Milestone_Marker,IF(AND(BF$27&gt;ProposalToGnatt[[#This Row],[Start Date]],BF$27&lt;ProposalToGnatt[[#This Row],[Start Date]]+ProposalToGnatt[[#This Row],[Days]]),$G$5,"")),"")</f>
        <v/>
      </c>
      <c r="BG31" s="36" t="str">
        <f ca="1">IFERROR(+IF(BG$27=ProposalToGnatt[[#This Row],[Start Date]],Milestone_Marker,IF(AND(BG$27&gt;ProposalToGnatt[[#This Row],[Start Date]],BG$27&lt;ProposalToGnatt[[#This Row],[Start Date]]+ProposalToGnatt[[#This Row],[Days]]),$G$5,"")),"")</f>
        <v/>
      </c>
      <c r="BH31" s="36" t="str">
        <f ca="1">IFERROR(+IF(BH$27=ProposalToGnatt[[#This Row],[Start Date]],Milestone_Marker,IF(AND(BH$27&gt;ProposalToGnatt[[#This Row],[Start Date]],BH$27&lt;ProposalToGnatt[[#This Row],[Start Date]]+ProposalToGnatt[[#This Row],[Days]]),$G$5,"")),"")</f>
        <v/>
      </c>
      <c r="BI31" s="36" t="str">
        <f ca="1">IFERROR(+IF(BI$27=ProposalToGnatt[[#This Row],[Start Date]],Milestone_Marker,IF(AND(BI$27&gt;ProposalToGnatt[[#This Row],[Start Date]],BI$27&lt;ProposalToGnatt[[#This Row],[Start Date]]+ProposalToGnatt[[#This Row],[Days]]),$G$5,"")),"")</f>
        <v/>
      </c>
      <c r="BJ31" s="36" t="str">
        <f ca="1">IFERROR(+IF(BJ$27=ProposalToGnatt[[#This Row],[Start Date]],Milestone_Marker,IF(AND(BJ$27&gt;ProposalToGnatt[[#This Row],[Start Date]],BJ$27&lt;ProposalToGnatt[[#This Row],[Start Date]]+ProposalToGnatt[[#This Row],[Days]]),$G$5,"")),"")</f>
        <v/>
      </c>
      <c r="BK31" s="36" t="str">
        <f ca="1">IFERROR(+IF(BK$27=ProposalToGnatt[[#This Row],[Start Date]],Milestone_Marker,IF(AND(BK$27&gt;ProposalToGnatt[[#This Row],[Start Date]],BK$27&lt;ProposalToGnatt[[#This Row],[Start Date]]+ProposalToGnatt[[#This Row],[Days]]),$G$5,"")),"")</f>
        <v/>
      </c>
      <c r="BL31" s="36" t="str">
        <f ca="1">IFERROR(+IF(BL$27=ProposalToGnatt[[#This Row],[Start Date]],Milestone_Marker,IF(AND(BL$27&gt;ProposalToGnatt[[#This Row],[Start Date]],BL$27&lt;ProposalToGnatt[[#This Row],[Start Date]]+ProposalToGnatt[[#This Row],[Days]]),$G$5,"")),"")</f>
        <v/>
      </c>
      <c r="BM31" s="36" t="str">
        <f ca="1">IFERROR(+IF(BM$27=ProposalToGnatt[[#This Row],[Start Date]],Milestone_Marker,IF(AND(BM$27&gt;ProposalToGnatt[[#This Row],[Start Date]],BM$27&lt;ProposalToGnatt[[#This Row],[Start Date]]+ProposalToGnatt[[#This Row],[Days]]),$G$5,"")),"")</f>
        <v/>
      </c>
      <c r="BN31" s="36" t="str">
        <f ca="1">IFERROR(+IF(BN$27=ProposalToGnatt[[#This Row],[Start Date]],Milestone_Marker,IF(AND(BN$27&gt;ProposalToGnatt[[#This Row],[Start Date]],BN$27&lt;ProposalToGnatt[[#This Row],[Start Date]]+ProposalToGnatt[[#This Row],[Days]]),$G$5,"")),"")</f>
        <v/>
      </c>
      <c r="BO31" s="36" t="str">
        <f ca="1">IFERROR(+IF(BO$27=ProposalToGnatt[[#This Row],[Start Date]],Milestone_Marker,IF(AND(BO$27&gt;ProposalToGnatt[[#This Row],[Start Date]],BO$27&lt;ProposalToGnatt[[#This Row],[Start Date]]+ProposalToGnatt[[#This Row],[Days]]),$G$5,"")),"")</f>
        <v/>
      </c>
      <c r="BP31" s="36" t="str">
        <f ca="1">IFERROR(+IF(BP$27=ProposalToGnatt[[#This Row],[Start Date]],Milestone_Marker,IF(AND(BP$27&gt;ProposalToGnatt[[#This Row],[Start Date]],BP$27&lt;ProposalToGnatt[[#This Row],[Start Date]]+ProposalToGnatt[[#This Row],[Days]]),$G$5,"")),"")</f>
        <v/>
      </c>
      <c r="BQ31" s="36" t="str">
        <f ca="1">IFERROR(+IF(BQ$27=ProposalToGnatt[[#This Row],[Start Date]],Milestone_Marker,IF(AND(BQ$27&gt;ProposalToGnatt[[#This Row],[Start Date]],BQ$27&lt;ProposalToGnatt[[#This Row],[Start Date]]+ProposalToGnatt[[#This Row],[Days]]),$G$5,"")),"")</f>
        <v/>
      </c>
      <c r="BR31" s="36" t="str">
        <f ca="1">IFERROR(+IF(BR$27=ProposalToGnatt[[#This Row],[Start Date]],Milestone_Marker,IF(AND(BR$27&gt;ProposalToGnatt[[#This Row],[Start Date]],BR$27&lt;ProposalToGnatt[[#This Row],[Start Date]]+ProposalToGnatt[[#This Row],[Days]]),$G$5,"")),"")</f>
        <v/>
      </c>
      <c r="BS31" s="36" t="str">
        <f ca="1">IFERROR(+IF(BS$27=ProposalToGnatt[[#This Row],[Start Date]],Milestone_Marker,IF(AND(BS$27&gt;ProposalToGnatt[[#This Row],[Start Date]],BS$27&lt;ProposalToGnatt[[#This Row],[Start Date]]+ProposalToGnatt[[#This Row],[Days]]),$G$5,"")),"")</f>
        <v/>
      </c>
      <c r="BT31" s="36" t="str">
        <f ca="1">IFERROR(+IF(BT$27=ProposalToGnatt[[#This Row],[Start Date]],Milestone_Marker,IF(AND(BT$27&gt;ProposalToGnatt[[#This Row],[Start Date]],BT$27&lt;ProposalToGnatt[[#This Row],[Start Date]]+ProposalToGnatt[[#This Row],[Days]]),$G$5,"")),"")</f>
        <v/>
      </c>
      <c r="BU31" s="36" t="str">
        <f ca="1">IFERROR(+IF(BU$27=ProposalToGnatt[[#This Row],[Start Date]],Milestone_Marker,IF(AND(BU$27&gt;ProposalToGnatt[[#This Row],[Start Date]],BU$27&lt;ProposalToGnatt[[#This Row],[Start Date]]+ProposalToGnatt[[#This Row],[Days]]),$G$5,"")),"")</f>
        <v/>
      </c>
      <c r="BV31" s="36" t="str">
        <f ca="1">IFERROR(+IF(BV$27=ProposalToGnatt[[#This Row],[Start Date]],Milestone_Marker,IF(AND(BV$27&gt;ProposalToGnatt[[#This Row],[Start Date]],BV$27&lt;ProposalToGnatt[[#This Row],[Start Date]]+ProposalToGnatt[[#This Row],[Days]]),$G$5,"")),"")</f>
        <v/>
      </c>
      <c r="BW31" s="36" t="str">
        <f ca="1">IFERROR(+IF(BW$27=ProposalToGnatt[[#This Row],[Start Date]],Milestone_Marker,IF(AND(BW$27&gt;ProposalToGnatt[[#This Row],[Start Date]],BW$27&lt;ProposalToGnatt[[#This Row],[Start Date]]+ProposalToGnatt[[#This Row],[Days]]),$G$5,"")),"")</f>
        <v/>
      </c>
      <c r="BX31" s="36" t="str">
        <f ca="1">IFERROR(+IF(BX$27=ProposalToGnatt[[#This Row],[Start Date]],Milestone_Marker,IF(AND(BX$27&gt;ProposalToGnatt[[#This Row],[Start Date]],BX$27&lt;ProposalToGnatt[[#This Row],[Start Date]]+ProposalToGnatt[[#This Row],[Days]]),$G$5,"")),"")</f>
        <v/>
      </c>
      <c r="BY31" s="36" t="str">
        <f ca="1">IFERROR(+IF(BY$27=ProposalToGnatt[[#This Row],[Start Date]],Milestone_Marker,IF(AND(BY$27&gt;ProposalToGnatt[[#This Row],[Start Date]],BY$27&lt;ProposalToGnatt[[#This Row],[Start Date]]+ProposalToGnatt[[#This Row],[Days]]),$G$5,"")),"")</f>
        <v/>
      </c>
      <c r="BZ31" s="36" t="str">
        <f ca="1">IFERROR(+IF(BZ$27=ProposalToGnatt[[#This Row],[Start Date]],Milestone_Marker,IF(AND(BZ$27&gt;ProposalToGnatt[[#This Row],[Start Date]],BZ$27&lt;ProposalToGnatt[[#This Row],[Start Date]]+ProposalToGnatt[[#This Row],[Days]]),$G$5,"")),"")</f>
        <v/>
      </c>
      <c r="CA31" s="36" t="str">
        <f ca="1">IFERROR(+IF(CA$27=ProposalToGnatt[[#This Row],[Start Date]],Milestone_Marker,IF(AND(CA$27&gt;ProposalToGnatt[[#This Row],[Start Date]],CA$27&lt;ProposalToGnatt[[#This Row],[Start Date]]+ProposalToGnatt[[#This Row],[Days]]),$G$5,"")),"")</f>
        <v/>
      </c>
      <c r="CB31" s="36" t="str">
        <f ca="1">IFERROR(+IF(CB$27=ProposalToGnatt[[#This Row],[Start Date]],Milestone_Marker,IF(AND(CB$27&gt;ProposalToGnatt[[#This Row],[Start Date]],CB$27&lt;ProposalToGnatt[[#This Row],[Start Date]]+ProposalToGnatt[[#This Row],[Days]]),$G$5,"")),"")</f>
        <v/>
      </c>
      <c r="CC31" s="36" t="str">
        <f ca="1">IFERROR(+IF(CC$27=ProposalToGnatt[[#This Row],[Start Date]],Milestone_Marker,IF(AND(CC$27&gt;ProposalToGnatt[[#This Row],[Start Date]],CC$27&lt;ProposalToGnatt[[#This Row],[Start Date]]+ProposalToGnatt[[#This Row],[Days]]),$G$5,"")),"")</f>
        <v/>
      </c>
      <c r="CD31" s="36" t="str">
        <f ca="1">IFERROR(+IF(CD$27=ProposalToGnatt[[#This Row],[Start Date]],Milestone_Marker,IF(AND(CD$27&gt;ProposalToGnatt[[#This Row],[Start Date]],CD$27&lt;ProposalToGnatt[[#This Row],[Start Date]]+ProposalToGnatt[[#This Row],[Days]]),$G$5,"")),"")</f>
        <v/>
      </c>
      <c r="CE31" s="36" t="str">
        <f ca="1">IFERROR(+IF(CE$27=ProposalToGnatt[[#This Row],[Start Date]],Milestone_Marker,IF(AND(CE$27&gt;ProposalToGnatt[[#This Row],[Start Date]],CE$27&lt;ProposalToGnatt[[#This Row],[Start Date]]+ProposalToGnatt[[#This Row],[Days]]),$G$5,"")),"")</f>
        <v/>
      </c>
      <c r="CF31" s="36" t="str">
        <f ca="1">IFERROR(+IF(CF$27=ProposalToGnatt[[#This Row],[Start Date]],Milestone_Marker,IF(AND(CF$27&gt;ProposalToGnatt[[#This Row],[Start Date]],CF$27&lt;ProposalToGnatt[[#This Row],[Start Date]]+ProposalToGnatt[[#This Row],[Days]]),$G$5,"")),"")</f>
        <v/>
      </c>
      <c r="CG31" s="36" t="str">
        <f ca="1">IFERROR(+IF(CG$27=ProposalToGnatt[[#This Row],[Start Date]],Milestone_Marker,IF(AND(CG$27&gt;ProposalToGnatt[[#This Row],[Start Date]],CG$27&lt;ProposalToGnatt[[#This Row],[Start Date]]+ProposalToGnatt[[#This Row],[Days]]),$G$5,"")),"")</f>
        <v/>
      </c>
      <c r="CH31" s="36" t="str">
        <f ca="1">IFERROR(+IF(CH$27=ProposalToGnatt[[#This Row],[Start Date]],Milestone_Marker,IF(AND(CH$27&gt;ProposalToGnatt[[#This Row],[Start Date]],CH$27&lt;ProposalToGnatt[[#This Row],[Start Date]]+ProposalToGnatt[[#This Row],[Days]]),$G$5,"")),"")</f>
        <v/>
      </c>
      <c r="CI31" s="36" t="str">
        <f ca="1">IFERROR(+IF(CI$27=ProposalToGnatt[[#This Row],[Start Date]],Milestone_Marker,IF(AND(CI$27&gt;ProposalToGnatt[[#This Row],[Start Date]],CI$27&lt;ProposalToGnatt[[#This Row],[Start Date]]+ProposalToGnatt[[#This Row],[Days]]),$G$5,"")),"")</f>
        <v/>
      </c>
      <c r="CJ31" s="36" t="str">
        <f ca="1">IFERROR(+IF(CJ$27=ProposalToGnatt[[#This Row],[Start Date]],Milestone_Marker,IF(AND(CJ$27&gt;ProposalToGnatt[[#This Row],[Start Date]],CJ$27&lt;ProposalToGnatt[[#This Row],[Start Date]]+ProposalToGnatt[[#This Row],[Days]]),$G$5,"")),"")</f>
        <v/>
      </c>
      <c r="CK31" s="36" t="str">
        <f ca="1">IFERROR(+IF(CK$27=ProposalToGnatt[[#This Row],[Start Date]],Milestone_Marker,IF(AND(CK$27&gt;ProposalToGnatt[[#This Row],[Start Date]],CK$27&lt;ProposalToGnatt[[#This Row],[Start Date]]+ProposalToGnatt[[#This Row],[Days]]),$G$5,"")),"")</f>
        <v/>
      </c>
      <c r="CL31" s="36" t="str">
        <f ca="1">IFERROR(+IF(CL$27=ProposalToGnatt[[#This Row],[Start Date]],Milestone_Marker,IF(AND(CL$27&gt;ProposalToGnatt[[#This Row],[Start Date]],CL$27&lt;ProposalToGnatt[[#This Row],[Start Date]]+ProposalToGnatt[[#This Row],[Days]]),$G$5,"")),"")</f>
        <v/>
      </c>
      <c r="CM31" s="36" t="str">
        <f ca="1">IFERROR(+IF(CM$27=ProposalToGnatt[[#This Row],[Start Date]],Milestone_Marker,IF(AND(CM$27&gt;ProposalToGnatt[[#This Row],[Start Date]],CM$27&lt;ProposalToGnatt[[#This Row],[Start Date]]+ProposalToGnatt[[#This Row],[Days]]),$G$5,"")),"")</f>
        <v/>
      </c>
      <c r="CN31" s="36" t="str">
        <f ca="1">IFERROR(+IF(CN$27=ProposalToGnatt[[#This Row],[Start Date]],Milestone_Marker,IF(AND(CN$27&gt;ProposalToGnatt[[#This Row],[Start Date]],CN$27&lt;ProposalToGnatt[[#This Row],[Start Date]]+ProposalToGnatt[[#This Row],[Days]]),$G$5,"")),"")</f>
        <v/>
      </c>
      <c r="CO31" s="36" t="str">
        <f ca="1">IFERROR(+IF(CO$27=ProposalToGnatt[[#This Row],[Start Date]],Milestone_Marker,IF(AND(CO$27&gt;ProposalToGnatt[[#This Row],[Start Date]],CO$27&lt;ProposalToGnatt[[#This Row],[Start Date]]+ProposalToGnatt[[#This Row],[Days]]),$G$5,"")),"")</f>
        <v/>
      </c>
      <c r="CP31" s="36" t="str">
        <f ca="1">IFERROR(+IF(CP$27=ProposalToGnatt[[#This Row],[Start Date]],Milestone_Marker,IF(AND(CP$27&gt;ProposalToGnatt[[#This Row],[Start Date]],CP$27&lt;ProposalToGnatt[[#This Row],[Start Date]]+ProposalToGnatt[[#This Row],[Days]]),$G$5,"")),"")</f>
        <v/>
      </c>
      <c r="CQ31" s="36" t="str">
        <f ca="1">IFERROR(+IF(CQ$27=ProposalToGnatt[[#This Row],[Start Date]],Milestone_Marker,IF(AND(CQ$27&gt;ProposalToGnatt[[#This Row],[Start Date]],CQ$27&lt;ProposalToGnatt[[#This Row],[Start Date]]+ProposalToGnatt[[#This Row],[Days]]),$G$5,"")),"")</f>
        <v/>
      </c>
      <c r="CR31" s="36" t="str">
        <f ca="1">IFERROR(+IF(CR$27=ProposalToGnatt[[#This Row],[Start Date]],Milestone_Marker,IF(AND(CR$27&gt;ProposalToGnatt[[#This Row],[Start Date]],CR$27&lt;ProposalToGnatt[[#This Row],[Start Date]]+ProposalToGnatt[[#This Row],[Days]]),$G$5,"")),"")</f>
        <v/>
      </c>
      <c r="CS31" s="36" t="str">
        <f ca="1">IFERROR(+IF(CS$27=ProposalToGnatt[[#This Row],[Start Date]],Milestone_Marker,IF(AND(CS$27&gt;ProposalToGnatt[[#This Row],[Start Date]],CS$27&lt;ProposalToGnatt[[#This Row],[Start Date]]+ProposalToGnatt[[#This Row],[Days]]),$G$5,"")),"")</f>
        <v/>
      </c>
      <c r="CT31" s="36" t="str">
        <f ca="1">IFERROR(+IF(CT$27=ProposalToGnatt[[#This Row],[Start Date]],Milestone_Marker,IF(AND(CT$27&gt;ProposalToGnatt[[#This Row],[Start Date]],CT$27&lt;ProposalToGnatt[[#This Row],[Start Date]]+ProposalToGnatt[[#This Row],[Days]]),$G$5,"")),"")</f>
        <v/>
      </c>
      <c r="CU31" s="36" t="str">
        <f ca="1">IFERROR(+IF(CU$27=ProposalToGnatt[[#This Row],[Start Date]],Milestone_Marker,IF(AND(CU$27&gt;ProposalToGnatt[[#This Row],[Start Date]],CU$27&lt;ProposalToGnatt[[#This Row],[Start Date]]+ProposalToGnatt[[#This Row],[Days]]),$G$5,"")),"")</f>
        <v/>
      </c>
      <c r="CV31" s="36"/>
      <c r="CW31" s="36"/>
      <c r="CX31" s="36"/>
      <c r="CY31" s="36"/>
      <c r="CZ31" s="36"/>
      <c r="DA31" s="36"/>
      <c r="DB31" s="36"/>
      <c r="DC31" s="36"/>
      <c r="DD31" s="36"/>
      <c r="DE31" s="36"/>
      <c r="DF31" s="36"/>
      <c r="DG31" s="36"/>
      <c r="DH31" s="36"/>
      <c r="DI31" s="36"/>
      <c r="DJ31" s="36"/>
      <c r="DK31" s="36"/>
      <c r="DL31" s="36"/>
      <c r="DM31" s="36"/>
      <c r="DN31" s="36"/>
      <c r="DO31" s="36"/>
      <c r="DP31" s="36"/>
      <c r="DQ31" s="36"/>
      <c r="DR31" s="36"/>
      <c r="DS31" s="36"/>
      <c r="DT31" s="36"/>
      <c r="DU31" s="36"/>
    </row>
    <row r="32" spans="1:125" s="41" customFormat="1" ht="20.100000000000001" customHeight="1" x14ac:dyDescent="0.25">
      <c r="A32" t="s">
        <v>545</v>
      </c>
      <c r="B32">
        <v>5</v>
      </c>
      <c r="C32" t="s">
        <v>207</v>
      </c>
      <c r="D32" t="s">
        <v>208</v>
      </c>
      <c r="E32" t="s">
        <v>551</v>
      </c>
      <c r="F32">
        <v>0</v>
      </c>
      <c r="G32" s="14">
        <v>0</v>
      </c>
      <c r="H32" s="14">
        <v>0</v>
      </c>
      <c r="I32"/>
      <c r="J32"/>
      <c r="K32" s="246"/>
      <c r="L32"/>
      <c r="M32" s="14"/>
      <c r="N32" s="299"/>
      <c r="O32" s="281"/>
      <c r="P32" s="36" t="str">
        <f ca="1">IFERROR(+IF(P$27=ProposalToGnatt[[#This Row],[Start Date]],Milestone_Marker,IF(AND(P$27&gt;ProposalToGnatt[[#This Row],[Start Date]],P$27&lt;ProposalToGnatt[[#This Row],[Start Date]]+ProposalToGnatt[[#This Row],[Days]]),$G$5,"")),"")</f>
        <v/>
      </c>
      <c r="Q32" s="36" t="str">
        <f ca="1">IFERROR(+IF(Q$27=ProposalToGnatt[[#This Row],[Start Date]],Milestone_Marker,IF(AND(Q$27&gt;ProposalToGnatt[[#This Row],[Start Date]],Q$27&lt;ProposalToGnatt[[#This Row],[Start Date]]+ProposalToGnatt[[#This Row],[Days]]),$G$5,"")),"")</f>
        <v/>
      </c>
      <c r="R32" s="36" t="str">
        <f ca="1">IFERROR(+IF(R$27=ProposalToGnatt[[#This Row],[Start Date]],Milestone_Marker,IF(AND(R$27&gt;ProposalToGnatt[[#This Row],[Start Date]],R$27&lt;ProposalToGnatt[[#This Row],[Start Date]]+ProposalToGnatt[[#This Row],[Days]]),$G$5,"")),"")</f>
        <v/>
      </c>
      <c r="S32" s="36" t="str">
        <f ca="1">IFERROR(+IF(S$27=ProposalToGnatt[[#This Row],[Start Date]],Milestone_Marker,IF(AND(S$27&gt;ProposalToGnatt[[#This Row],[Start Date]],S$27&lt;ProposalToGnatt[[#This Row],[Start Date]]+ProposalToGnatt[[#This Row],[Days]]),$G$5,"")),"")</f>
        <v/>
      </c>
      <c r="T32" s="36" t="str">
        <f ca="1">IFERROR(+IF(T$27=ProposalToGnatt[[#This Row],[Start Date]],Milestone_Marker,IF(AND(T$27&gt;ProposalToGnatt[[#This Row],[Start Date]],T$27&lt;ProposalToGnatt[[#This Row],[Start Date]]+ProposalToGnatt[[#This Row],[Days]]),$G$5,"")),"")</f>
        <v/>
      </c>
      <c r="U32" s="36" t="str">
        <f ca="1">IFERROR(+IF(U$27=ProposalToGnatt[[#This Row],[Start Date]],Milestone_Marker,IF(AND(U$27&gt;ProposalToGnatt[[#This Row],[Start Date]],U$27&lt;ProposalToGnatt[[#This Row],[Start Date]]+ProposalToGnatt[[#This Row],[Days]]),$G$5,"")),"")</f>
        <v/>
      </c>
      <c r="V32" s="36" t="str">
        <f ca="1">IFERROR(+IF(V$27=ProposalToGnatt[[#This Row],[Start Date]],Milestone_Marker,IF(AND(V$27&gt;ProposalToGnatt[[#This Row],[Start Date]],V$27&lt;ProposalToGnatt[[#This Row],[Start Date]]+ProposalToGnatt[[#This Row],[Days]]),$G$5,"")),"")</f>
        <v/>
      </c>
      <c r="W32" s="36" t="str">
        <f ca="1">IFERROR(+IF(W$27=ProposalToGnatt[[#This Row],[Start Date]],Milestone_Marker,IF(AND(W$27&gt;ProposalToGnatt[[#This Row],[Start Date]],W$27&lt;ProposalToGnatt[[#This Row],[Start Date]]+ProposalToGnatt[[#This Row],[Days]]),$G$5,"")),"")</f>
        <v/>
      </c>
      <c r="X32" s="36" t="str">
        <f ca="1">IFERROR(+IF(X$27=ProposalToGnatt[[#This Row],[Start Date]],Milestone_Marker,IF(AND(X$27&gt;ProposalToGnatt[[#This Row],[Start Date]],X$27&lt;ProposalToGnatt[[#This Row],[Start Date]]+ProposalToGnatt[[#This Row],[Days]]),$G$5,"")),"")</f>
        <v/>
      </c>
      <c r="Y32" s="36" t="str">
        <f ca="1">IFERROR(+IF(Y$27=ProposalToGnatt[[#This Row],[Start Date]],Milestone_Marker,IF(AND(Y$27&gt;ProposalToGnatt[[#This Row],[Start Date]],Y$27&lt;ProposalToGnatt[[#This Row],[Start Date]]+ProposalToGnatt[[#This Row],[Days]]),$G$5,"")),"")</f>
        <v/>
      </c>
      <c r="Z32" s="36" t="str">
        <f ca="1">IFERROR(+IF(Z$27=ProposalToGnatt[[#This Row],[Start Date]],Milestone_Marker,IF(AND(Z$27&gt;ProposalToGnatt[[#This Row],[Start Date]],Z$27&lt;ProposalToGnatt[[#This Row],[Start Date]]+ProposalToGnatt[[#This Row],[Days]]),$G$5,"")),"")</f>
        <v/>
      </c>
      <c r="AA32" s="36" t="str">
        <f ca="1">IFERROR(+IF(AA$27=ProposalToGnatt[[#This Row],[Start Date]],Milestone_Marker,IF(AND(AA$27&gt;ProposalToGnatt[[#This Row],[Start Date]],AA$27&lt;ProposalToGnatt[[#This Row],[Start Date]]+ProposalToGnatt[[#This Row],[Days]]),$G$5,"")),"")</f>
        <v/>
      </c>
      <c r="AB32" s="36" t="str">
        <f ca="1">IFERROR(+IF(AB$27=ProposalToGnatt[[#This Row],[Start Date]],Milestone_Marker,IF(AND(AB$27&gt;ProposalToGnatt[[#This Row],[Start Date]],AB$27&lt;ProposalToGnatt[[#This Row],[Start Date]]+ProposalToGnatt[[#This Row],[Days]]),$G$5,"")),"")</f>
        <v/>
      </c>
      <c r="AC32" s="36" t="str">
        <f ca="1">IFERROR(+IF(AC$27=ProposalToGnatt[[#This Row],[Start Date]],Milestone_Marker,IF(AND(AC$27&gt;ProposalToGnatt[[#This Row],[Start Date]],AC$27&lt;ProposalToGnatt[[#This Row],[Start Date]]+ProposalToGnatt[[#This Row],[Days]]),$G$5,"")),"")</f>
        <v/>
      </c>
      <c r="AD32" s="36" t="str">
        <f ca="1">IFERROR(+IF(AD$27=ProposalToGnatt[[#This Row],[Start Date]],Milestone_Marker,IF(AND(AD$27&gt;ProposalToGnatt[[#This Row],[Start Date]],AD$27&lt;ProposalToGnatt[[#This Row],[Start Date]]+ProposalToGnatt[[#This Row],[Days]]),$G$5,"")),"")</f>
        <v/>
      </c>
      <c r="AE32" s="36" t="str">
        <f ca="1">IFERROR(+IF(AE$27=ProposalToGnatt[[#This Row],[Start Date]],Milestone_Marker,IF(AND(AE$27&gt;ProposalToGnatt[[#This Row],[Start Date]],AE$27&lt;ProposalToGnatt[[#This Row],[Start Date]]+ProposalToGnatt[[#This Row],[Days]]),$G$5,"")),"")</f>
        <v/>
      </c>
      <c r="AF32" s="36" t="str">
        <f ca="1">IFERROR(+IF(AF$27=ProposalToGnatt[[#This Row],[Start Date]],Milestone_Marker,IF(AND(AF$27&gt;ProposalToGnatt[[#This Row],[Start Date]],AF$27&lt;ProposalToGnatt[[#This Row],[Start Date]]+ProposalToGnatt[[#This Row],[Days]]),$G$5,"")),"")</f>
        <v/>
      </c>
      <c r="AG32" s="36" t="str">
        <f ca="1">IFERROR(+IF(AG$27=ProposalToGnatt[[#This Row],[Start Date]],Milestone_Marker,IF(AND(AG$27&gt;ProposalToGnatt[[#This Row],[Start Date]],AG$27&lt;ProposalToGnatt[[#This Row],[Start Date]]+ProposalToGnatt[[#This Row],[Days]]),$G$5,"")),"")</f>
        <v/>
      </c>
      <c r="AH32" s="36" t="str">
        <f ca="1">IFERROR(+IF(AH$27=ProposalToGnatt[[#This Row],[Start Date]],Milestone_Marker,IF(AND(AH$27&gt;ProposalToGnatt[[#This Row],[Start Date]],AH$27&lt;ProposalToGnatt[[#This Row],[Start Date]]+ProposalToGnatt[[#This Row],[Days]]),$G$5,"")),"")</f>
        <v/>
      </c>
      <c r="AI32" s="36" t="str">
        <f ca="1">IFERROR(+IF(AI$27=ProposalToGnatt[[#This Row],[Start Date]],Milestone_Marker,IF(AND(AI$27&gt;ProposalToGnatt[[#This Row],[Start Date]],AI$27&lt;ProposalToGnatt[[#This Row],[Start Date]]+ProposalToGnatt[[#This Row],[Days]]),$G$5,"")),"")</f>
        <v/>
      </c>
      <c r="AJ32" s="36" t="str">
        <f ca="1">IFERROR(+IF(AJ$27=ProposalToGnatt[[#This Row],[Start Date]],Milestone_Marker,IF(AND(AJ$27&gt;ProposalToGnatt[[#This Row],[Start Date]],AJ$27&lt;ProposalToGnatt[[#This Row],[Start Date]]+ProposalToGnatt[[#This Row],[Days]]),$G$5,"")),"")</f>
        <v/>
      </c>
      <c r="AK32" s="36" t="str">
        <f ca="1">IFERROR(+IF(AK$27=ProposalToGnatt[[#This Row],[Start Date]],Milestone_Marker,IF(AND(AK$27&gt;ProposalToGnatt[[#This Row],[Start Date]],AK$27&lt;ProposalToGnatt[[#This Row],[Start Date]]+ProposalToGnatt[[#This Row],[Days]]),$G$5,"")),"")</f>
        <v/>
      </c>
      <c r="AL32" s="36" t="str">
        <f ca="1">IFERROR(+IF(AL$27=ProposalToGnatt[[#This Row],[Start Date]],Milestone_Marker,IF(AND(AL$27&gt;ProposalToGnatt[[#This Row],[Start Date]],AL$27&lt;ProposalToGnatt[[#This Row],[Start Date]]+ProposalToGnatt[[#This Row],[Days]]),$G$5,"")),"")</f>
        <v/>
      </c>
      <c r="AM32" s="36" t="str">
        <f ca="1">IFERROR(+IF(AM$27=ProposalToGnatt[[#This Row],[Start Date]],Milestone_Marker,IF(AND(AM$27&gt;ProposalToGnatt[[#This Row],[Start Date]],AM$27&lt;ProposalToGnatt[[#This Row],[Start Date]]+ProposalToGnatt[[#This Row],[Days]]),$G$5,"")),"")</f>
        <v/>
      </c>
      <c r="AN32" s="36" t="str">
        <f ca="1">IFERROR(+IF(AN$27=ProposalToGnatt[[#This Row],[Start Date]],Milestone_Marker,IF(AND(AN$27&gt;ProposalToGnatt[[#This Row],[Start Date]],AN$27&lt;ProposalToGnatt[[#This Row],[Start Date]]+ProposalToGnatt[[#This Row],[Days]]),$G$5,"")),"")</f>
        <v/>
      </c>
      <c r="AO32" s="36" t="str">
        <f ca="1">IFERROR(+IF(AO$27=ProposalToGnatt[[#This Row],[Start Date]],Milestone_Marker,IF(AND(AO$27&gt;ProposalToGnatt[[#This Row],[Start Date]],AO$27&lt;ProposalToGnatt[[#This Row],[Start Date]]+ProposalToGnatt[[#This Row],[Days]]),$G$5,"")),"")</f>
        <v/>
      </c>
      <c r="AP32" s="36" t="str">
        <f ca="1">IFERROR(+IF(AP$27=ProposalToGnatt[[#This Row],[Start Date]],Milestone_Marker,IF(AND(AP$27&gt;ProposalToGnatt[[#This Row],[Start Date]],AP$27&lt;ProposalToGnatt[[#This Row],[Start Date]]+ProposalToGnatt[[#This Row],[Days]]),$G$5,"")),"")</f>
        <v/>
      </c>
      <c r="AQ32" s="36" t="str">
        <f ca="1">IFERROR(+IF(AQ$27=ProposalToGnatt[[#This Row],[Start Date]],Milestone_Marker,IF(AND(AQ$27&gt;ProposalToGnatt[[#This Row],[Start Date]],AQ$27&lt;ProposalToGnatt[[#This Row],[Start Date]]+ProposalToGnatt[[#This Row],[Days]]),$G$5,"")),"")</f>
        <v/>
      </c>
      <c r="AR32" s="36" t="str">
        <f ca="1">IFERROR(+IF(AR$27=ProposalToGnatt[[#This Row],[Start Date]],Milestone_Marker,IF(AND(AR$27&gt;ProposalToGnatt[[#This Row],[Start Date]],AR$27&lt;ProposalToGnatt[[#This Row],[Start Date]]+ProposalToGnatt[[#This Row],[Days]]),$G$5,"")),"")</f>
        <v/>
      </c>
      <c r="AS32" s="36" t="str">
        <f ca="1">IFERROR(+IF(AS$27=ProposalToGnatt[[#This Row],[Start Date]],Milestone_Marker,IF(AND(AS$27&gt;ProposalToGnatt[[#This Row],[Start Date]],AS$27&lt;ProposalToGnatt[[#This Row],[Start Date]]+ProposalToGnatt[[#This Row],[Days]]),$G$5,"")),"")</f>
        <v/>
      </c>
      <c r="AT32" s="36" t="str">
        <f ca="1">IFERROR(+IF(AT$27=ProposalToGnatt[[#This Row],[Start Date]],Milestone_Marker,IF(AND(AT$27&gt;ProposalToGnatt[[#This Row],[Start Date]],AT$27&lt;ProposalToGnatt[[#This Row],[Start Date]]+ProposalToGnatt[[#This Row],[Days]]),$G$5,"")),"")</f>
        <v/>
      </c>
      <c r="AU32" s="36" t="str">
        <f ca="1">IFERROR(+IF(AU$27=ProposalToGnatt[[#This Row],[Start Date]],Milestone_Marker,IF(AND(AU$27&gt;ProposalToGnatt[[#This Row],[Start Date]],AU$27&lt;ProposalToGnatt[[#This Row],[Start Date]]+ProposalToGnatt[[#This Row],[Days]]),$G$5,"")),"")</f>
        <v/>
      </c>
      <c r="AV32" s="36" t="str">
        <f ca="1">IFERROR(+IF(AV$27=ProposalToGnatt[[#This Row],[Start Date]],Milestone_Marker,IF(AND(AV$27&gt;ProposalToGnatt[[#This Row],[Start Date]],AV$27&lt;ProposalToGnatt[[#This Row],[Start Date]]+ProposalToGnatt[[#This Row],[Days]]),$G$5,"")),"")</f>
        <v/>
      </c>
      <c r="AW32" s="36" t="str">
        <f ca="1">IFERROR(+IF(AW$27=ProposalToGnatt[[#This Row],[Start Date]],Milestone_Marker,IF(AND(AW$27&gt;ProposalToGnatt[[#This Row],[Start Date]],AW$27&lt;ProposalToGnatt[[#This Row],[Start Date]]+ProposalToGnatt[[#This Row],[Days]]),$G$5,"")),"")</f>
        <v/>
      </c>
      <c r="AX32" s="36" t="str">
        <f ca="1">IFERROR(+IF(AX$27=ProposalToGnatt[[#This Row],[Start Date]],Milestone_Marker,IF(AND(AX$27&gt;ProposalToGnatt[[#This Row],[Start Date]],AX$27&lt;ProposalToGnatt[[#This Row],[Start Date]]+ProposalToGnatt[[#This Row],[Days]]),$G$5,"")),"")</f>
        <v/>
      </c>
      <c r="AY32" s="36" t="str">
        <f ca="1">IFERROR(+IF(AY$27=ProposalToGnatt[[#This Row],[Start Date]],Milestone_Marker,IF(AND(AY$27&gt;ProposalToGnatt[[#This Row],[Start Date]],AY$27&lt;ProposalToGnatt[[#This Row],[Start Date]]+ProposalToGnatt[[#This Row],[Days]]),$G$5,"")),"")</f>
        <v/>
      </c>
      <c r="AZ32" s="36" t="str">
        <f ca="1">IFERROR(+IF(AZ$27=ProposalToGnatt[[#This Row],[Start Date]],Milestone_Marker,IF(AND(AZ$27&gt;ProposalToGnatt[[#This Row],[Start Date]],AZ$27&lt;ProposalToGnatt[[#This Row],[Start Date]]+ProposalToGnatt[[#This Row],[Days]]),$G$5,"")),"")</f>
        <v/>
      </c>
      <c r="BA32" s="36" t="str">
        <f ca="1">IFERROR(+IF(BA$27=ProposalToGnatt[[#This Row],[Start Date]],Milestone_Marker,IF(AND(BA$27&gt;ProposalToGnatt[[#This Row],[Start Date]],BA$27&lt;ProposalToGnatt[[#This Row],[Start Date]]+ProposalToGnatt[[#This Row],[Days]]),$G$5,"")),"")</f>
        <v/>
      </c>
      <c r="BB32" s="36" t="str">
        <f ca="1">IFERROR(+IF(BB$27=ProposalToGnatt[[#This Row],[Start Date]],Milestone_Marker,IF(AND(BB$27&gt;ProposalToGnatt[[#This Row],[Start Date]],BB$27&lt;ProposalToGnatt[[#This Row],[Start Date]]+ProposalToGnatt[[#This Row],[Days]]),$G$5,"")),"")</f>
        <v/>
      </c>
      <c r="BC32" s="36" t="str">
        <f ca="1">IFERROR(+IF(BC$27=ProposalToGnatt[[#This Row],[Start Date]],Milestone_Marker,IF(AND(BC$27&gt;ProposalToGnatt[[#This Row],[Start Date]],BC$27&lt;ProposalToGnatt[[#This Row],[Start Date]]+ProposalToGnatt[[#This Row],[Days]]),$G$5,"")),"")</f>
        <v/>
      </c>
      <c r="BD32" s="36" t="str">
        <f ca="1">IFERROR(+IF(BD$27=ProposalToGnatt[[#This Row],[Start Date]],Milestone_Marker,IF(AND(BD$27&gt;ProposalToGnatt[[#This Row],[Start Date]],BD$27&lt;ProposalToGnatt[[#This Row],[Start Date]]+ProposalToGnatt[[#This Row],[Days]]),$G$5,"")),"")</f>
        <v/>
      </c>
      <c r="BE32" s="36" t="str">
        <f ca="1">IFERROR(+IF(BE$27=ProposalToGnatt[[#This Row],[Start Date]],Milestone_Marker,IF(AND(BE$27&gt;ProposalToGnatt[[#This Row],[Start Date]],BE$27&lt;ProposalToGnatt[[#This Row],[Start Date]]+ProposalToGnatt[[#This Row],[Days]]),$G$5,"")),"")</f>
        <v/>
      </c>
      <c r="BF32" s="36" t="str">
        <f ca="1">IFERROR(+IF(BF$27=ProposalToGnatt[[#This Row],[Start Date]],Milestone_Marker,IF(AND(BF$27&gt;ProposalToGnatt[[#This Row],[Start Date]],BF$27&lt;ProposalToGnatt[[#This Row],[Start Date]]+ProposalToGnatt[[#This Row],[Days]]),$G$5,"")),"")</f>
        <v/>
      </c>
      <c r="BG32" s="36" t="str">
        <f ca="1">IFERROR(+IF(BG$27=ProposalToGnatt[[#This Row],[Start Date]],Milestone_Marker,IF(AND(BG$27&gt;ProposalToGnatt[[#This Row],[Start Date]],BG$27&lt;ProposalToGnatt[[#This Row],[Start Date]]+ProposalToGnatt[[#This Row],[Days]]),$G$5,"")),"")</f>
        <v/>
      </c>
      <c r="BH32" s="36" t="str">
        <f ca="1">IFERROR(+IF(BH$27=ProposalToGnatt[[#This Row],[Start Date]],Milestone_Marker,IF(AND(BH$27&gt;ProposalToGnatt[[#This Row],[Start Date]],BH$27&lt;ProposalToGnatt[[#This Row],[Start Date]]+ProposalToGnatt[[#This Row],[Days]]),$G$5,"")),"")</f>
        <v/>
      </c>
      <c r="BI32" s="36" t="str">
        <f ca="1">IFERROR(+IF(BI$27=ProposalToGnatt[[#This Row],[Start Date]],Milestone_Marker,IF(AND(BI$27&gt;ProposalToGnatt[[#This Row],[Start Date]],BI$27&lt;ProposalToGnatt[[#This Row],[Start Date]]+ProposalToGnatt[[#This Row],[Days]]),$G$5,"")),"")</f>
        <v/>
      </c>
      <c r="BJ32" s="36" t="str">
        <f ca="1">IFERROR(+IF(BJ$27=ProposalToGnatt[[#This Row],[Start Date]],Milestone_Marker,IF(AND(BJ$27&gt;ProposalToGnatt[[#This Row],[Start Date]],BJ$27&lt;ProposalToGnatt[[#This Row],[Start Date]]+ProposalToGnatt[[#This Row],[Days]]),$G$5,"")),"")</f>
        <v/>
      </c>
      <c r="BK32" s="36" t="str">
        <f ca="1">IFERROR(+IF(BK$27=ProposalToGnatt[[#This Row],[Start Date]],Milestone_Marker,IF(AND(BK$27&gt;ProposalToGnatt[[#This Row],[Start Date]],BK$27&lt;ProposalToGnatt[[#This Row],[Start Date]]+ProposalToGnatt[[#This Row],[Days]]),$G$5,"")),"")</f>
        <v/>
      </c>
      <c r="BL32" s="36" t="str">
        <f ca="1">IFERROR(+IF(BL$27=ProposalToGnatt[[#This Row],[Start Date]],Milestone_Marker,IF(AND(BL$27&gt;ProposalToGnatt[[#This Row],[Start Date]],BL$27&lt;ProposalToGnatt[[#This Row],[Start Date]]+ProposalToGnatt[[#This Row],[Days]]),$G$5,"")),"")</f>
        <v/>
      </c>
      <c r="BM32" s="36" t="str">
        <f ca="1">IFERROR(+IF(BM$27=ProposalToGnatt[[#This Row],[Start Date]],Milestone_Marker,IF(AND(BM$27&gt;ProposalToGnatt[[#This Row],[Start Date]],BM$27&lt;ProposalToGnatt[[#This Row],[Start Date]]+ProposalToGnatt[[#This Row],[Days]]),$G$5,"")),"")</f>
        <v/>
      </c>
      <c r="BN32" s="36" t="str">
        <f ca="1">IFERROR(+IF(BN$27=ProposalToGnatt[[#This Row],[Start Date]],Milestone_Marker,IF(AND(BN$27&gt;ProposalToGnatt[[#This Row],[Start Date]],BN$27&lt;ProposalToGnatt[[#This Row],[Start Date]]+ProposalToGnatt[[#This Row],[Days]]),$G$5,"")),"")</f>
        <v/>
      </c>
      <c r="BO32" s="36" t="str">
        <f ca="1">IFERROR(+IF(BO$27=ProposalToGnatt[[#This Row],[Start Date]],Milestone_Marker,IF(AND(BO$27&gt;ProposalToGnatt[[#This Row],[Start Date]],BO$27&lt;ProposalToGnatt[[#This Row],[Start Date]]+ProposalToGnatt[[#This Row],[Days]]),$G$5,"")),"")</f>
        <v/>
      </c>
      <c r="BP32" s="36" t="str">
        <f ca="1">IFERROR(+IF(BP$27=ProposalToGnatt[[#This Row],[Start Date]],Milestone_Marker,IF(AND(BP$27&gt;ProposalToGnatt[[#This Row],[Start Date]],BP$27&lt;ProposalToGnatt[[#This Row],[Start Date]]+ProposalToGnatt[[#This Row],[Days]]),$G$5,"")),"")</f>
        <v/>
      </c>
      <c r="BQ32" s="36" t="str">
        <f ca="1">IFERROR(+IF(BQ$27=ProposalToGnatt[[#This Row],[Start Date]],Milestone_Marker,IF(AND(BQ$27&gt;ProposalToGnatt[[#This Row],[Start Date]],BQ$27&lt;ProposalToGnatt[[#This Row],[Start Date]]+ProposalToGnatt[[#This Row],[Days]]),$G$5,"")),"")</f>
        <v/>
      </c>
      <c r="BR32" s="36" t="str">
        <f ca="1">IFERROR(+IF(BR$27=ProposalToGnatt[[#This Row],[Start Date]],Milestone_Marker,IF(AND(BR$27&gt;ProposalToGnatt[[#This Row],[Start Date]],BR$27&lt;ProposalToGnatt[[#This Row],[Start Date]]+ProposalToGnatt[[#This Row],[Days]]),$G$5,"")),"")</f>
        <v/>
      </c>
      <c r="BS32" s="36" t="str">
        <f ca="1">IFERROR(+IF(BS$27=ProposalToGnatt[[#This Row],[Start Date]],Milestone_Marker,IF(AND(BS$27&gt;ProposalToGnatt[[#This Row],[Start Date]],BS$27&lt;ProposalToGnatt[[#This Row],[Start Date]]+ProposalToGnatt[[#This Row],[Days]]),$G$5,"")),"")</f>
        <v/>
      </c>
      <c r="BT32" s="36" t="str">
        <f ca="1">IFERROR(+IF(BT$27=ProposalToGnatt[[#This Row],[Start Date]],Milestone_Marker,IF(AND(BT$27&gt;ProposalToGnatt[[#This Row],[Start Date]],BT$27&lt;ProposalToGnatt[[#This Row],[Start Date]]+ProposalToGnatt[[#This Row],[Days]]),$G$5,"")),"")</f>
        <v/>
      </c>
      <c r="BU32" s="36" t="str">
        <f ca="1">IFERROR(+IF(BU$27=ProposalToGnatt[[#This Row],[Start Date]],Milestone_Marker,IF(AND(BU$27&gt;ProposalToGnatt[[#This Row],[Start Date]],BU$27&lt;ProposalToGnatt[[#This Row],[Start Date]]+ProposalToGnatt[[#This Row],[Days]]),$G$5,"")),"")</f>
        <v/>
      </c>
      <c r="BV32" s="36" t="str">
        <f ca="1">IFERROR(+IF(BV$27=ProposalToGnatt[[#This Row],[Start Date]],Milestone_Marker,IF(AND(BV$27&gt;ProposalToGnatt[[#This Row],[Start Date]],BV$27&lt;ProposalToGnatt[[#This Row],[Start Date]]+ProposalToGnatt[[#This Row],[Days]]),$G$5,"")),"")</f>
        <v/>
      </c>
      <c r="BW32" s="36" t="str">
        <f ca="1">IFERROR(+IF(BW$27=ProposalToGnatt[[#This Row],[Start Date]],Milestone_Marker,IF(AND(BW$27&gt;ProposalToGnatt[[#This Row],[Start Date]],BW$27&lt;ProposalToGnatt[[#This Row],[Start Date]]+ProposalToGnatt[[#This Row],[Days]]),$G$5,"")),"")</f>
        <v/>
      </c>
      <c r="BX32" s="36" t="str">
        <f ca="1">IFERROR(+IF(BX$27=ProposalToGnatt[[#This Row],[Start Date]],Milestone_Marker,IF(AND(BX$27&gt;ProposalToGnatt[[#This Row],[Start Date]],BX$27&lt;ProposalToGnatt[[#This Row],[Start Date]]+ProposalToGnatt[[#This Row],[Days]]),$G$5,"")),"")</f>
        <v/>
      </c>
      <c r="BY32" s="36" t="str">
        <f ca="1">IFERROR(+IF(BY$27=ProposalToGnatt[[#This Row],[Start Date]],Milestone_Marker,IF(AND(BY$27&gt;ProposalToGnatt[[#This Row],[Start Date]],BY$27&lt;ProposalToGnatt[[#This Row],[Start Date]]+ProposalToGnatt[[#This Row],[Days]]),$G$5,"")),"")</f>
        <v/>
      </c>
      <c r="BZ32" s="36" t="str">
        <f ca="1">IFERROR(+IF(BZ$27=ProposalToGnatt[[#This Row],[Start Date]],Milestone_Marker,IF(AND(BZ$27&gt;ProposalToGnatt[[#This Row],[Start Date]],BZ$27&lt;ProposalToGnatt[[#This Row],[Start Date]]+ProposalToGnatt[[#This Row],[Days]]),$G$5,"")),"")</f>
        <v/>
      </c>
      <c r="CA32" s="36" t="str">
        <f ca="1">IFERROR(+IF(CA$27=ProposalToGnatt[[#This Row],[Start Date]],Milestone_Marker,IF(AND(CA$27&gt;ProposalToGnatt[[#This Row],[Start Date]],CA$27&lt;ProposalToGnatt[[#This Row],[Start Date]]+ProposalToGnatt[[#This Row],[Days]]),$G$5,"")),"")</f>
        <v/>
      </c>
      <c r="CB32" s="36" t="str">
        <f ca="1">IFERROR(+IF(CB$27=ProposalToGnatt[[#This Row],[Start Date]],Milestone_Marker,IF(AND(CB$27&gt;ProposalToGnatt[[#This Row],[Start Date]],CB$27&lt;ProposalToGnatt[[#This Row],[Start Date]]+ProposalToGnatt[[#This Row],[Days]]),$G$5,"")),"")</f>
        <v/>
      </c>
      <c r="CC32" s="36" t="str">
        <f ca="1">IFERROR(+IF(CC$27=ProposalToGnatt[[#This Row],[Start Date]],Milestone_Marker,IF(AND(CC$27&gt;ProposalToGnatt[[#This Row],[Start Date]],CC$27&lt;ProposalToGnatt[[#This Row],[Start Date]]+ProposalToGnatt[[#This Row],[Days]]),$G$5,"")),"")</f>
        <v/>
      </c>
      <c r="CD32" s="36" t="str">
        <f ca="1">IFERROR(+IF(CD$27=ProposalToGnatt[[#This Row],[Start Date]],Milestone_Marker,IF(AND(CD$27&gt;ProposalToGnatt[[#This Row],[Start Date]],CD$27&lt;ProposalToGnatt[[#This Row],[Start Date]]+ProposalToGnatt[[#This Row],[Days]]),$G$5,"")),"")</f>
        <v/>
      </c>
      <c r="CE32" s="36" t="str">
        <f ca="1">IFERROR(+IF(CE$27=ProposalToGnatt[[#This Row],[Start Date]],Milestone_Marker,IF(AND(CE$27&gt;ProposalToGnatt[[#This Row],[Start Date]],CE$27&lt;ProposalToGnatt[[#This Row],[Start Date]]+ProposalToGnatt[[#This Row],[Days]]),$G$5,"")),"")</f>
        <v/>
      </c>
      <c r="CF32" s="36" t="str">
        <f ca="1">IFERROR(+IF(CF$27=ProposalToGnatt[[#This Row],[Start Date]],Milestone_Marker,IF(AND(CF$27&gt;ProposalToGnatt[[#This Row],[Start Date]],CF$27&lt;ProposalToGnatt[[#This Row],[Start Date]]+ProposalToGnatt[[#This Row],[Days]]),$G$5,"")),"")</f>
        <v/>
      </c>
      <c r="CG32" s="36" t="str">
        <f ca="1">IFERROR(+IF(CG$27=ProposalToGnatt[[#This Row],[Start Date]],Milestone_Marker,IF(AND(CG$27&gt;ProposalToGnatt[[#This Row],[Start Date]],CG$27&lt;ProposalToGnatt[[#This Row],[Start Date]]+ProposalToGnatt[[#This Row],[Days]]),$G$5,"")),"")</f>
        <v/>
      </c>
      <c r="CH32" s="36" t="str">
        <f ca="1">IFERROR(+IF(CH$27=ProposalToGnatt[[#This Row],[Start Date]],Milestone_Marker,IF(AND(CH$27&gt;ProposalToGnatt[[#This Row],[Start Date]],CH$27&lt;ProposalToGnatt[[#This Row],[Start Date]]+ProposalToGnatt[[#This Row],[Days]]),$G$5,"")),"")</f>
        <v/>
      </c>
      <c r="CI32" s="36" t="str">
        <f ca="1">IFERROR(+IF(CI$27=ProposalToGnatt[[#This Row],[Start Date]],Milestone_Marker,IF(AND(CI$27&gt;ProposalToGnatt[[#This Row],[Start Date]],CI$27&lt;ProposalToGnatt[[#This Row],[Start Date]]+ProposalToGnatt[[#This Row],[Days]]),$G$5,"")),"")</f>
        <v/>
      </c>
      <c r="CJ32" s="36" t="str">
        <f ca="1">IFERROR(+IF(CJ$27=ProposalToGnatt[[#This Row],[Start Date]],Milestone_Marker,IF(AND(CJ$27&gt;ProposalToGnatt[[#This Row],[Start Date]],CJ$27&lt;ProposalToGnatt[[#This Row],[Start Date]]+ProposalToGnatt[[#This Row],[Days]]),$G$5,"")),"")</f>
        <v/>
      </c>
      <c r="CK32" s="36" t="str">
        <f ca="1">IFERROR(+IF(CK$27=ProposalToGnatt[[#This Row],[Start Date]],Milestone_Marker,IF(AND(CK$27&gt;ProposalToGnatt[[#This Row],[Start Date]],CK$27&lt;ProposalToGnatt[[#This Row],[Start Date]]+ProposalToGnatt[[#This Row],[Days]]),$G$5,"")),"")</f>
        <v/>
      </c>
      <c r="CL32" s="36" t="str">
        <f ca="1">IFERROR(+IF(CL$27=ProposalToGnatt[[#This Row],[Start Date]],Milestone_Marker,IF(AND(CL$27&gt;ProposalToGnatt[[#This Row],[Start Date]],CL$27&lt;ProposalToGnatt[[#This Row],[Start Date]]+ProposalToGnatt[[#This Row],[Days]]),$G$5,"")),"")</f>
        <v/>
      </c>
      <c r="CM32" s="36" t="str">
        <f ca="1">IFERROR(+IF(CM$27=ProposalToGnatt[[#This Row],[Start Date]],Milestone_Marker,IF(AND(CM$27&gt;ProposalToGnatt[[#This Row],[Start Date]],CM$27&lt;ProposalToGnatt[[#This Row],[Start Date]]+ProposalToGnatt[[#This Row],[Days]]),$G$5,"")),"")</f>
        <v/>
      </c>
      <c r="CN32" s="36" t="str">
        <f ca="1">IFERROR(+IF(CN$27=ProposalToGnatt[[#This Row],[Start Date]],Milestone_Marker,IF(AND(CN$27&gt;ProposalToGnatt[[#This Row],[Start Date]],CN$27&lt;ProposalToGnatt[[#This Row],[Start Date]]+ProposalToGnatt[[#This Row],[Days]]),$G$5,"")),"")</f>
        <v/>
      </c>
      <c r="CO32" s="36" t="str">
        <f ca="1">IFERROR(+IF(CO$27=ProposalToGnatt[[#This Row],[Start Date]],Milestone_Marker,IF(AND(CO$27&gt;ProposalToGnatt[[#This Row],[Start Date]],CO$27&lt;ProposalToGnatt[[#This Row],[Start Date]]+ProposalToGnatt[[#This Row],[Days]]),$G$5,"")),"")</f>
        <v/>
      </c>
      <c r="CP32" s="36" t="str">
        <f ca="1">IFERROR(+IF(CP$27=ProposalToGnatt[[#This Row],[Start Date]],Milestone_Marker,IF(AND(CP$27&gt;ProposalToGnatt[[#This Row],[Start Date]],CP$27&lt;ProposalToGnatt[[#This Row],[Start Date]]+ProposalToGnatt[[#This Row],[Days]]),$G$5,"")),"")</f>
        <v/>
      </c>
      <c r="CQ32" s="36" t="str">
        <f ca="1">IFERROR(+IF(CQ$27=ProposalToGnatt[[#This Row],[Start Date]],Milestone_Marker,IF(AND(CQ$27&gt;ProposalToGnatt[[#This Row],[Start Date]],CQ$27&lt;ProposalToGnatt[[#This Row],[Start Date]]+ProposalToGnatt[[#This Row],[Days]]),$G$5,"")),"")</f>
        <v/>
      </c>
      <c r="CR32" s="36" t="str">
        <f ca="1">IFERROR(+IF(CR$27=ProposalToGnatt[[#This Row],[Start Date]],Milestone_Marker,IF(AND(CR$27&gt;ProposalToGnatt[[#This Row],[Start Date]],CR$27&lt;ProposalToGnatt[[#This Row],[Start Date]]+ProposalToGnatt[[#This Row],[Days]]),$G$5,"")),"")</f>
        <v/>
      </c>
      <c r="CS32" s="36" t="str">
        <f ca="1">IFERROR(+IF(CS$27=ProposalToGnatt[[#This Row],[Start Date]],Milestone_Marker,IF(AND(CS$27&gt;ProposalToGnatt[[#This Row],[Start Date]],CS$27&lt;ProposalToGnatt[[#This Row],[Start Date]]+ProposalToGnatt[[#This Row],[Days]]),$G$5,"")),"")</f>
        <v/>
      </c>
      <c r="CT32" s="36" t="str">
        <f ca="1">IFERROR(+IF(CT$27=ProposalToGnatt[[#This Row],[Start Date]],Milestone_Marker,IF(AND(CT$27&gt;ProposalToGnatt[[#This Row],[Start Date]],CT$27&lt;ProposalToGnatt[[#This Row],[Start Date]]+ProposalToGnatt[[#This Row],[Days]]),$G$5,"")),"")</f>
        <v/>
      </c>
      <c r="CU32" s="36" t="str">
        <f ca="1">IFERROR(+IF(CU$27=ProposalToGnatt[[#This Row],[Start Date]],Milestone_Marker,IF(AND(CU$27&gt;ProposalToGnatt[[#This Row],[Start Date]],CU$27&lt;ProposalToGnatt[[#This Row],[Start Date]]+ProposalToGnatt[[#This Row],[Days]]),$G$5,"")),"")</f>
        <v/>
      </c>
      <c r="CV32" s="36"/>
      <c r="CW32" s="36"/>
      <c r="CX32" s="36"/>
      <c r="CY32" s="36"/>
      <c r="CZ32" s="36"/>
      <c r="DA32" s="36"/>
      <c r="DB32" s="36"/>
      <c r="DC32" s="36"/>
      <c r="DD32" s="36"/>
      <c r="DE32" s="36"/>
      <c r="DF32" s="36"/>
      <c r="DG32" s="36"/>
      <c r="DH32" s="36"/>
      <c r="DI32" s="36"/>
      <c r="DJ32" s="36"/>
      <c r="DK32" s="36"/>
      <c r="DL32" s="36"/>
      <c r="DM32" s="36"/>
      <c r="DN32" s="36"/>
      <c r="DO32" s="36"/>
      <c r="DP32" s="36"/>
      <c r="DQ32" s="36"/>
      <c r="DR32" s="36"/>
      <c r="DS32" s="36"/>
      <c r="DT32" s="36"/>
      <c r="DU32" s="36"/>
    </row>
    <row r="33" spans="1:125" s="41" customFormat="1" ht="20.100000000000001" customHeight="1" x14ac:dyDescent="0.25">
      <c r="A33" t="s">
        <v>545</v>
      </c>
      <c r="B33">
        <v>6</v>
      </c>
      <c r="C33" t="s">
        <v>209</v>
      </c>
      <c r="D33" t="s">
        <v>208</v>
      </c>
      <c r="E33" t="s">
        <v>546</v>
      </c>
      <c r="F33">
        <v>0</v>
      </c>
      <c r="G33" s="14">
        <v>0</v>
      </c>
      <c r="H33" s="14">
        <v>0</v>
      </c>
      <c r="I33"/>
      <c r="J33"/>
      <c r="K33" s="246"/>
      <c r="L33"/>
      <c r="M33" s="14"/>
      <c r="N33" s="299"/>
      <c r="O33" s="281"/>
      <c r="P33" s="36" t="str">
        <f ca="1">IFERROR(+IF(P$27=ProposalToGnatt[[#This Row],[Start Date]],Milestone_Marker,IF(AND(P$27&gt;ProposalToGnatt[[#This Row],[Start Date]],P$27&lt;ProposalToGnatt[[#This Row],[Start Date]]+ProposalToGnatt[[#This Row],[Days]]),$G$5,"")),"")</f>
        <v/>
      </c>
      <c r="Q33" s="36" t="str">
        <f ca="1">IFERROR(+IF(Q$27=ProposalToGnatt[[#This Row],[Start Date]],Milestone_Marker,IF(AND(Q$27&gt;ProposalToGnatt[[#This Row],[Start Date]],Q$27&lt;ProposalToGnatt[[#This Row],[Start Date]]+ProposalToGnatt[[#This Row],[Days]]),$G$5,"")),"")</f>
        <v/>
      </c>
      <c r="R33" s="36" t="str">
        <f ca="1">IFERROR(+IF(R$27=ProposalToGnatt[[#This Row],[Start Date]],Milestone_Marker,IF(AND(R$27&gt;ProposalToGnatt[[#This Row],[Start Date]],R$27&lt;ProposalToGnatt[[#This Row],[Start Date]]+ProposalToGnatt[[#This Row],[Days]]),$G$5,"")),"")</f>
        <v/>
      </c>
      <c r="S33" s="36" t="str">
        <f ca="1">IFERROR(+IF(S$27=ProposalToGnatt[[#This Row],[Start Date]],Milestone_Marker,IF(AND(S$27&gt;ProposalToGnatt[[#This Row],[Start Date]],S$27&lt;ProposalToGnatt[[#This Row],[Start Date]]+ProposalToGnatt[[#This Row],[Days]]),$G$5,"")),"")</f>
        <v/>
      </c>
      <c r="T33" s="36" t="str">
        <f ca="1">IFERROR(+IF(T$27=ProposalToGnatt[[#This Row],[Start Date]],Milestone_Marker,IF(AND(T$27&gt;ProposalToGnatt[[#This Row],[Start Date]],T$27&lt;ProposalToGnatt[[#This Row],[Start Date]]+ProposalToGnatt[[#This Row],[Days]]),$G$5,"")),"")</f>
        <v/>
      </c>
      <c r="U33" s="36" t="str">
        <f ca="1">IFERROR(+IF(U$27=ProposalToGnatt[[#This Row],[Start Date]],Milestone_Marker,IF(AND(U$27&gt;ProposalToGnatt[[#This Row],[Start Date]],U$27&lt;ProposalToGnatt[[#This Row],[Start Date]]+ProposalToGnatt[[#This Row],[Days]]),$G$5,"")),"")</f>
        <v/>
      </c>
      <c r="V33" s="36" t="str">
        <f ca="1">IFERROR(+IF(V$27=ProposalToGnatt[[#This Row],[Start Date]],Milestone_Marker,IF(AND(V$27&gt;ProposalToGnatt[[#This Row],[Start Date]],V$27&lt;ProposalToGnatt[[#This Row],[Start Date]]+ProposalToGnatt[[#This Row],[Days]]),$G$5,"")),"")</f>
        <v/>
      </c>
      <c r="W33" s="36" t="str">
        <f ca="1">IFERROR(+IF(W$27=ProposalToGnatt[[#This Row],[Start Date]],Milestone_Marker,IF(AND(W$27&gt;ProposalToGnatt[[#This Row],[Start Date]],W$27&lt;ProposalToGnatt[[#This Row],[Start Date]]+ProposalToGnatt[[#This Row],[Days]]),$G$5,"")),"")</f>
        <v/>
      </c>
      <c r="X33" s="36" t="str">
        <f ca="1">IFERROR(+IF(X$27=ProposalToGnatt[[#This Row],[Start Date]],Milestone_Marker,IF(AND(X$27&gt;ProposalToGnatt[[#This Row],[Start Date]],X$27&lt;ProposalToGnatt[[#This Row],[Start Date]]+ProposalToGnatt[[#This Row],[Days]]),$G$5,"")),"")</f>
        <v/>
      </c>
      <c r="Y33" s="36" t="str">
        <f ca="1">IFERROR(+IF(Y$27=ProposalToGnatt[[#This Row],[Start Date]],Milestone_Marker,IF(AND(Y$27&gt;ProposalToGnatt[[#This Row],[Start Date]],Y$27&lt;ProposalToGnatt[[#This Row],[Start Date]]+ProposalToGnatt[[#This Row],[Days]]),$G$5,"")),"")</f>
        <v/>
      </c>
      <c r="Z33" s="36" t="str">
        <f ca="1">IFERROR(+IF(Z$27=ProposalToGnatt[[#This Row],[Start Date]],Milestone_Marker,IF(AND(Z$27&gt;ProposalToGnatt[[#This Row],[Start Date]],Z$27&lt;ProposalToGnatt[[#This Row],[Start Date]]+ProposalToGnatt[[#This Row],[Days]]),$G$5,"")),"")</f>
        <v/>
      </c>
      <c r="AA33" s="36" t="str">
        <f ca="1">IFERROR(+IF(AA$27=ProposalToGnatt[[#This Row],[Start Date]],Milestone_Marker,IF(AND(AA$27&gt;ProposalToGnatt[[#This Row],[Start Date]],AA$27&lt;ProposalToGnatt[[#This Row],[Start Date]]+ProposalToGnatt[[#This Row],[Days]]),$G$5,"")),"")</f>
        <v/>
      </c>
      <c r="AB33" s="36" t="str">
        <f ca="1">IFERROR(+IF(AB$27=ProposalToGnatt[[#This Row],[Start Date]],Milestone_Marker,IF(AND(AB$27&gt;ProposalToGnatt[[#This Row],[Start Date]],AB$27&lt;ProposalToGnatt[[#This Row],[Start Date]]+ProposalToGnatt[[#This Row],[Days]]),$G$5,"")),"")</f>
        <v/>
      </c>
      <c r="AC33" s="36" t="str">
        <f ca="1">IFERROR(+IF(AC$27=ProposalToGnatt[[#This Row],[Start Date]],Milestone_Marker,IF(AND(AC$27&gt;ProposalToGnatt[[#This Row],[Start Date]],AC$27&lt;ProposalToGnatt[[#This Row],[Start Date]]+ProposalToGnatt[[#This Row],[Days]]),$G$5,"")),"")</f>
        <v/>
      </c>
      <c r="AD33" s="36" t="str">
        <f ca="1">IFERROR(+IF(AD$27=ProposalToGnatt[[#This Row],[Start Date]],Milestone_Marker,IF(AND(AD$27&gt;ProposalToGnatt[[#This Row],[Start Date]],AD$27&lt;ProposalToGnatt[[#This Row],[Start Date]]+ProposalToGnatt[[#This Row],[Days]]),$G$5,"")),"")</f>
        <v/>
      </c>
      <c r="AE33" s="36" t="str">
        <f ca="1">IFERROR(+IF(AE$27=ProposalToGnatt[[#This Row],[Start Date]],Milestone_Marker,IF(AND(AE$27&gt;ProposalToGnatt[[#This Row],[Start Date]],AE$27&lt;ProposalToGnatt[[#This Row],[Start Date]]+ProposalToGnatt[[#This Row],[Days]]),$G$5,"")),"")</f>
        <v/>
      </c>
      <c r="AF33" s="36" t="str">
        <f ca="1">IFERROR(+IF(AF$27=ProposalToGnatt[[#This Row],[Start Date]],Milestone_Marker,IF(AND(AF$27&gt;ProposalToGnatt[[#This Row],[Start Date]],AF$27&lt;ProposalToGnatt[[#This Row],[Start Date]]+ProposalToGnatt[[#This Row],[Days]]),$G$5,"")),"")</f>
        <v/>
      </c>
      <c r="AG33" s="36" t="str">
        <f ca="1">IFERROR(+IF(AG$27=ProposalToGnatt[[#This Row],[Start Date]],Milestone_Marker,IF(AND(AG$27&gt;ProposalToGnatt[[#This Row],[Start Date]],AG$27&lt;ProposalToGnatt[[#This Row],[Start Date]]+ProposalToGnatt[[#This Row],[Days]]),$G$5,"")),"")</f>
        <v/>
      </c>
      <c r="AH33" s="36" t="str">
        <f ca="1">IFERROR(+IF(AH$27=ProposalToGnatt[[#This Row],[Start Date]],Milestone_Marker,IF(AND(AH$27&gt;ProposalToGnatt[[#This Row],[Start Date]],AH$27&lt;ProposalToGnatt[[#This Row],[Start Date]]+ProposalToGnatt[[#This Row],[Days]]),$G$5,"")),"")</f>
        <v/>
      </c>
      <c r="AI33" s="36" t="str">
        <f ca="1">IFERROR(+IF(AI$27=ProposalToGnatt[[#This Row],[Start Date]],Milestone_Marker,IF(AND(AI$27&gt;ProposalToGnatt[[#This Row],[Start Date]],AI$27&lt;ProposalToGnatt[[#This Row],[Start Date]]+ProposalToGnatt[[#This Row],[Days]]),$G$5,"")),"")</f>
        <v/>
      </c>
      <c r="AJ33" s="36" t="str">
        <f ca="1">IFERROR(+IF(AJ$27=ProposalToGnatt[[#This Row],[Start Date]],Milestone_Marker,IF(AND(AJ$27&gt;ProposalToGnatt[[#This Row],[Start Date]],AJ$27&lt;ProposalToGnatt[[#This Row],[Start Date]]+ProposalToGnatt[[#This Row],[Days]]),$G$5,"")),"")</f>
        <v/>
      </c>
      <c r="AK33" s="36" t="str">
        <f ca="1">IFERROR(+IF(AK$27=ProposalToGnatt[[#This Row],[Start Date]],Milestone_Marker,IF(AND(AK$27&gt;ProposalToGnatt[[#This Row],[Start Date]],AK$27&lt;ProposalToGnatt[[#This Row],[Start Date]]+ProposalToGnatt[[#This Row],[Days]]),$G$5,"")),"")</f>
        <v/>
      </c>
      <c r="AL33" s="36" t="str">
        <f ca="1">IFERROR(+IF(AL$27=ProposalToGnatt[[#This Row],[Start Date]],Milestone_Marker,IF(AND(AL$27&gt;ProposalToGnatt[[#This Row],[Start Date]],AL$27&lt;ProposalToGnatt[[#This Row],[Start Date]]+ProposalToGnatt[[#This Row],[Days]]),$G$5,"")),"")</f>
        <v/>
      </c>
      <c r="AM33" s="36" t="str">
        <f ca="1">IFERROR(+IF(AM$27=ProposalToGnatt[[#This Row],[Start Date]],Milestone_Marker,IF(AND(AM$27&gt;ProposalToGnatt[[#This Row],[Start Date]],AM$27&lt;ProposalToGnatt[[#This Row],[Start Date]]+ProposalToGnatt[[#This Row],[Days]]),$G$5,"")),"")</f>
        <v/>
      </c>
      <c r="AN33" s="36" t="str">
        <f ca="1">IFERROR(+IF(AN$27=ProposalToGnatt[[#This Row],[Start Date]],Milestone_Marker,IF(AND(AN$27&gt;ProposalToGnatt[[#This Row],[Start Date]],AN$27&lt;ProposalToGnatt[[#This Row],[Start Date]]+ProposalToGnatt[[#This Row],[Days]]),$G$5,"")),"")</f>
        <v/>
      </c>
      <c r="AO33" s="36" t="str">
        <f ca="1">IFERROR(+IF(AO$27=ProposalToGnatt[[#This Row],[Start Date]],Milestone_Marker,IF(AND(AO$27&gt;ProposalToGnatt[[#This Row],[Start Date]],AO$27&lt;ProposalToGnatt[[#This Row],[Start Date]]+ProposalToGnatt[[#This Row],[Days]]),$G$5,"")),"")</f>
        <v/>
      </c>
      <c r="AP33" s="36" t="str">
        <f ca="1">IFERROR(+IF(AP$27=ProposalToGnatt[[#This Row],[Start Date]],Milestone_Marker,IF(AND(AP$27&gt;ProposalToGnatt[[#This Row],[Start Date]],AP$27&lt;ProposalToGnatt[[#This Row],[Start Date]]+ProposalToGnatt[[#This Row],[Days]]),$G$5,"")),"")</f>
        <v/>
      </c>
      <c r="AQ33" s="36" t="str">
        <f ca="1">IFERROR(+IF(AQ$27=ProposalToGnatt[[#This Row],[Start Date]],Milestone_Marker,IF(AND(AQ$27&gt;ProposalToGnatt[[#This Row],[Start Date]],AQ$27&lt;ProposalToGnatt[[#This Row],[Start Date]]+ProposalToGnatt[[#This Row],[Days]]),$G$5,"")),"")</f>
        <v/>
      </c>
      <c r="AR33" s="36" t="str">
        <f ca="1">IFERROR(+IF(AR$27=ProposalToGnatt[[#This Row],[Start Date]],Milestone_Marker,IF(AND(AR$27&gt;ProposalToGnatt[[#This Row],[Start Date]],AR$27&lt;ProposalToGnatt[[#This Row],[Start Date]]+ProposalToGnatt[[#This Row],[Days]]),$G$5,"")),"")</f>
        <v/>
      </c>
      <c r="AS33" s="36" t="str">
        <f ca="1">IFERROR(+IF(AS$27=ProposalToGnatt[[#This Row],[Start Date]],Milestone_Marker,IF(AND(AS$27&gt;ProposalToGnatt[[#This Row],[Start Date]],AS$27&lt;ProposalToGnatt[[#This Row],[Start Date]]+ProposalToGnatt[[#This Row],[Days]]),$G$5,"")),"")</f>
        <v/>
      </c>
      <c r="AT33" s="36" t="str">
        <f ca="1">IFERROR(+IF(AT$27=ProposalToGnatt[[#This Row],[Start Date]],Milestone_Marker,IF(AND(AT$27&gt;ProposalToGnatt[[#This Row],[Start Date]],AT$27&lt;ProposalToGnatt[[#This Row],[Start Date]]+ProposalToGnatt[[#This Row],[Days]]),$G$5,"")),"")</f>
        <v/>
      </c>
      <c r="AU33" s="36" t="str">
        <f ca="1">IFERROR(+IF(AU$27=ProposalToGnatt[[#This Row],[Start Date]],Milestone_Marker,IF(AND(AU$27&gt;ProposalToGnatt[[#This Row],[Start Date]],AU$27&lt;ProposalToGnatt[[#This Row],[Start Date]]+ProposalToGnatt[[#This Row],[Days]]),$G$5,"")),"")</f>
        <v/>
      </c>
      <c r="AV33" s="36" t="str">
        <f ca="1">IFERROR(+IF(AV$27=ProposalToGnatt[[#This Row],[Start Date]],Milestone_Marker,IF(AND(AV$27&gt;ProposalToGnatt[[#This Row],[Start Date]],AV$27&lt;ProposalToGnatt[[#This Row],[Start Date]]+ProposalToGnatt[[#This Row],[Days]]),$G$5,"")),"")</f>
        <v/>
      </c>
      <c r="AW33" s="36" t="str">
        <f ca="1">IFERROR(+IF(AW$27=ProposalToGnatt[[#This Row],[Start Date]],Milestone_Marker,IF(AND(AW$27&gt;ProposalToGnatt[[#This Row],[Start Date]],AW$27&lt;ProposalToGnatt[[#This Row],[Start Date]]+ProposalToGnatt[[#This Row],[Days]]),$G$5,"")),"")</f>
        <v/>
      </c>
      <c r="AX33" s="36" t="str">
        <f ca="1">IFERROR(+IF(AX$27=ProposalToGnatt[[#This Row],[Start Date]],Milestone_Marker,IF(AND(AX$27&gt;ProposalToGnatt[[#This Row],[Start Date]],AX$27&lt;ProposalToGnatt[[#This Row],[Start Date]]+ProposalToGnatt[[#This Row],[Days]]),$G$5,"")),"")</f>
        <v/>
      </c>
      <c r="AY33" s="36" t="str">
        <f ca="1">IFERROR(+IF(AY$27=ProposalToGnatt[[#This Row],[Start Date]],Milestone_Marker,IF(AND(AY$27&gt;ProposalToGnatt[[#This Row],[Start Date]],AY$27&lt;ProposalToGnatt[[#This Row],[Start Date]]+ProposalToGnatt[[#This Row],[Days]]),$G$5,"")),"")</f>
        <v/>
      </c>
      <c r="AZ33" s="36" t="str">
        <f ca="1">IFERROR(+IF(AZ$27=ProposalToGnatt[[#This Row],[Start Date]],Milestone_Marker,IF(AND(AZ$27&gt;ProposalToGnatt[[#This Row],[Start Date]],AZ$27&lt;ProposalToGnatt[[#This Row],[Start Date]]+ProposalToGnatt[[#This Row],[Days]]),$G$5,"")),"")</f>
        <v/>
      </c>
      <c r="BA33" s="36" t="str">
        <f ca="1">IFERROR(+IF(BA$27=ProposalToGnatt[[#This Row],[Start Date]],Milestone_Marker,IF(AND(BA$27&gt;ProposalToGnatt[[#This Row],[Start Date]],BA$27&lt;ProposalToGnatt[[#This Row],[Start Date]]+ProposalToGnatt[[#This Row],[Days]]),$G$5,"")),"")</f>
        <v/>
      </c>
      <c r="BB33" s="36" t="str">
        <f ca="1">IFERROR(+IF(BB$27=ProposalToGnatt[[#This Row],[Start Date]],Milestone_Marker,IF(AND(BB$27&gt;ProposalToGnatt[[#This Row],[Start Date]],BB$27&lt;ProposalToGnatt[[#This Row],[Start Date]]+ProposalToGnatt[[#This Row],[Days]]),$G$5,"")),"")</f>
        <v/>
      </c>
      <c r="BC33" s="36" t="str">
        <f ca="1">IFERROR(+IF(BC$27=ProposalToGnatt[[#This Row],[Start Date]],Milestone_Marker,IF(AND(BC$27&gt;ProposalToGnatt[[#This Row],[Start Date]],BC$27&lt;ProposalToGnatt[[#This Row],[Start Date]]+ProposalToGnatt[[#This Row],[Days]]),$G$5,"")),"")</f>
        <v/>
      </c>
      <c r="BD33" s="36" t="str">
        <f ca="1">IFERROR(+IF(BD$27=ProposalToGnatt[[#This Row],[Start Date]],Milestone_Marker,IF(AND(BD$27&gt;ProposalToGnatt[[#This Row],[Start Date]],BD$27&lt;ProposalToGnatt[[#This Row],[Start Date]]+ProposalToGnatt[[#This Row],[Days]]),$G$5,"")),"")</f>
        <v/>
      </c>
      <c r="BE33" s="36" t="str">
        <f ca="1">IFERROR(+IF(BE$27=ProposalToGnatt[[#This Row],[Start Date]],Milestone_Marker,IF(AND(BE$27&gt;ProposalToGnatt[[#This Row],[Start Date]],BE$27&lt;ProposalToGnatt[[#This Row],[Start Date]]+ProposalToGnatt[[#This Row],[Days]]),$G$5,"")),"")</f>
        <v/>
      </c>
      <c r="BF33" s="36" t="str">
        <f ca="1">IFERROR(+IF(BF$27=ProposalToGnatt[[#This Row],[Start Date]],Milestone_Marker,IF(AND(BF$27&gt;ProposalToGnatt[[#This Row],[Start Date]],BF$27&lt;ProposalToGnatt[[#This Row],[Start Date]]+ProposalToGnatt[[#This Row],[Days]]),$G$5,"")),"")</f>
        <v/>
      </c>
      <c r="BG33" s="36" t="str">
        <f ca="1">IFERROR(+IF(BG$27=ProposalToGnatt[[#This Row],[Start Date]],Milestone_Marker,IF(AND(BG$27&gt;ProposalToGnatt[[#This Row],[Start Date]],BG$27&lt;ProposalToGnatt[[#This Row],[Start Date]]+ProposalToGnatt[[#This Row],[Days]]),$G$5,"")),"")</f>
        <v/>
      </c>
      <c r="BH33" s="36" t="str">
        <f ca="1">IFERROR(+IF(BH$27=ProposalToGnatt[[#This Row],[Start Date]],Milestone_Marker,IF(AND(BH$27&gt;ProposalToGnatt[[#This Row],[Start Date]],BH$27&lt;ProposalToGnatt[[#This Row],[Start Date]]+ProposalToGnatt[[#This Row],[Days]]),$G$5,"")),"")</f>
        <v/>
      </c>
      <c r="BI33" s="36" t="str">
        <f ca="1">IFERROR(+IF(BI$27=ProposalToGnatt[[#This Row],[Start Date]],Milestone_Marker,IF(AND(BI$27&gt;ProposalToGnatt[[#This Row],[Start Date]],BI$27&lt;ProposalToGnatt[[#This Row],[Start Date]]+ProposalToGnatt[[#This Row],[Days]]),$G$5,"")),"")</f>
        <v/>
      </c>
      <c r="BJ33" s="36" t="str">
        <f ca="1">IFERROR(+IF(BJ$27=ProposalToGnatt[[#This Row],[Start Date]],Milestone_Marker,IF(AND(BJ$27&gt;ProposalToGnatt[[#This Row],[Start Date]],BJ$27&lt;ProposalToGnatt[[#This Row],[Start Date]]+ProposalToGnatt[[#This Row],[Days]]),$G$5,"")),"")</f>
        <v/>
      </c>
      <c r="BK33" s="36" t="str">
        <f ca="1">IFERROR(+IF(BK$27=ProposalToGnatt[[#This Row],[Start Date]],Milestone_Marker,IF(AND(BK$27&gt;ProposalToGnatt[[#This Row],[Start Date]],BK$27&lt;ProposalToGnatt[[#This Row],[Start Date]]+ProposalToGnatt[[#This Row],[Days]]),$G$5,"")),"")</f>
        <v/>
      </c>
      <c r="BL33" s="36" t="str">
        <f ca="1">IFERROR(+IF(BL$27=ProposalToGnatt[[#This Row],[Start Date]],Milestone_Marker,IF(AND(BL$27&gt;ProposalToGnatt[[#This Row],[Start Date]],BL$27&lt;ProposalToGnatt[[#This Row],[Start Date]]+ProposalToGnatt[[#This Row],[Days]]),$G$5,"")),"")</f>
        <v/>
      </c>
      <c r="BM33" s="36" t="str">
        <f ca="1">IFERROR(+IF(BM$27=ProposalToGnatt[[#This Row],[Start Date]],Milestone_Marker,IF(AND(BM$27&gt;ProposalToGnatt[[#This Row],[Start Date]],BM$27&lt;ProposalToGnatt[[#This Row],[Start Date]]+ProposalToGnatt[[#This Row],[Days]]),$G$5,"")),"")</f>
        <v/>
      </c>
      <c r="BN33" s="36" t="str">
        <f ca="1">IFERROR(+IF(BN$27=ProposalToGnatt[[#This Row],[Start Date]],Milestone_Marker,IF(AND(BN$27&gt;ProposalToGnatt[[#This Row],[Start Date]],BN$27&lt;ProposalToGnatt[[#This Row],[Start Date]]+ProposalToGnatt[[#This Row],[Days]]),$G$5,"")),"")</f>
        <v/>
      </c>
      <c r="BO33" s="36" t="str">
        <f ca="1">IFERROR(+IF(BO$27=ProposalToGnatt[[#This Row],[Start Date]],Milestone_Marker,IF(AND(BO$27&gt;ProposalToGnatt[[#This Row],[Start Date]],BO$27&lt;ProposalToGnatt[[#This Row],[Start Date]]+ProposalToGnatt[[#This Row],[Days]]),$G$5,"")),"")</f>
        <v/>
      </c>
      <c r="BP33" s="36" t="str">
        <f ca="1">IFERROR(+IF(BP$27=ProposalToGnatt[[#This Row],[Start Date]],Milestone_Marker,IF(AND(BP$27&gt;ProposalToGnatt[[#This Row],[Start Date]],BP$27&lt;ProposalToGnatt[[#This Row],[Start Date]]+ProposalToGnatt[[#This Row],[Days]]),$G$5,"")),"")</f>
        <v/>
      </c>
      <c r="BQ33" s="36" t="str">
        <f ca="1">IFERROR(+IF(BQ$27=ProposalToGnatt[[#This Row],[Start Date]],Milestone_Marker,IF(AND(BQ$27&gt;ProposalToGnatt[[#This Row],[Start Date]],BQ$27&lt;ProposalToGnatt[[#This Row],[Start Date]]+ProposalToGnatt[[#This Row],[Days]]),$G$5,"")),"")</f>
        <v/>
      </c>
      <c r="BR33" s="36" t="str">
        <f ca="1">IFERROR(+IF(BR$27=ProposalToGnatt[[#This Row],[Start Date]],Milestone_Marker,IF(AND(BR$27&gt;ProposalToGnatt[[#This Row],[Start Date]],BR$27&lt;ProposalToGnatt[[#This Row],[Start Date]]+ProposalToGnatt[[#This Row],[Days]]),$G$5,"")),"")</f>
        <v/>
      </c>
      <c r="BS33" s="36" t="str">
        <f ca="1">IFERROR(+IF(BS$27=ProposalToGnatt[[#This Row],[Start Date]],Milestone_Marker,IF(AND(BS$27&gt;ProposalToGnatt[[#This Row],[Start Date]],BS$27&lt;ProposalToGnatt[[#This Row],[Start Date]]+ProposalToGnatt[[#This Row],[Days]]),$G$5,"")),"")</f>
        <v/>
      </c>
      <c r="BT33" s="36" t="str">
        <f ca="1">IFERROR(+IF(BT$27=ProposalToGnatt[[#This Row],[Start Date]],Milestone_Marker,IF(AND(BT$27&gt;ProposalToGnatt[[#This Row],[Start Date]],BT$27&lt;ProposalToGnatt[[#This Row],[Start Date]]+ProposalToGnatt[[#This Row],[Days]]),$G$5,"")),"")</f>
        <v/>
      </c>
      <c r="BU33" s="36" t="str">
        <f ca="1">IFERROR(+IF(BU$27=ProposalToGnatt[[#This Row],[Start Date]],Milestone_Marker,IF(AND(BU$27&gt;ProposalToGnatt[[#This Row],[Start Date]],BU$27&lt;ProposalToGnatt[[#This Row],[Start Date]]+ProposalToGnatt[[#This Row],[Days]]),$G$5,"")),"")</f>
        <v/>
      </c>
      <c r="BV33" s="36" t="str">
        <f ca="1">IFERROR(+IF(BV$27=ProposalToGnatt[[#This Row],[Start Date]],Milestone_Marker,IF(AND(BV$27&gt;ProposalToGnatt[[#This Row],[Start Date]],BV$27&lt;ProposalToGnatt[[#This Row],[Start Date]]+ProposalToGnatt[[#This Row],[Days]]),$G$5,"")),"")</f>
        <v/>
      </c>
      <c r="BW33" s="36" t="str">
        <f ca="1">IFERROR(+IF(BW$27=ProposalToGnatt[[#This Row],[Start Date]],Milestone_Marker,IF(AND(BW$27&gt;ProposalToGnatt[[#This Row],[Start Date]],BW$27&lt;ProposalToGnatt[[#This Row],[Start Date]]+ProposalToGnatt[[#This Row],[Days]]),$G$5,"")),"")</f>
        <v/>
      </c>
      <c r="BX33" s="36" t="str">
        <f ca="1">IFERROR(+IF(BX$27=ProposalToGnatt[[#This Row],[Start Date]],Milestone_Marker,IF(AND(BX$27&gt;ProposalToGnatt[[#This Row],[Start Date]],BX$27&lt;ProposalToGnatt[[#This Row],[Start Date]]+ProposalToGnatt[[#This Row],[Days]]),$G$5,"")),"")</f>
        <v/>
      </c>
      <c r="BY33" s="36" t="str">
        <f ca="1">IFERROR(+IF(BY$27=ProposalToGnatt[[#This Row],[Start Date]],Milestone_Marker,IF(AND(BY$27&gt;ProposalToGnatt[[#This Row],[Start Date]],BY$27&lt;ProposalToGnatt[[#This Row],[Start Date]]+ProposalToGnatt[[#This Row],[Days]]),$G$5,"")),"")</f>
        <v/>
      </c>
      <c r="BZ33" s="36" t="str">
        <f ca="1">IFERROR(+IF(BZ$27=ProposalToGnatt[[#This Row],[Start Date]],Milestone_Marker,IF(AND(BZ$27&gt;ProposalToGnatt[[#This Row],[Start Date]],BZ$27&lt;ProposalToGnatt[[#This Row],[Start Date]]+ProposalToGnatt[[#This Row],[Days]]),$G$5,"")),"")</f>
        <v/>
      </c>
      <c r="CA33" s="36" t="str">
        <f ca="1">IFERROR(+IF(CA$27=ProposalToGnatt[[#This Row],[Start Date]],Milestone_Marker,IF(AND(CA$27&gt;ProposalToGnatt[[#This Row],[Start Date]],CA$27&lt;ProposalToGnatt[[#This Row],[Start Date]]+ProposalToGnatt[[#This Row],[Days]]),$G$5,"")),"")</f>
        <v/>
      </c>
      <c r="CB33" s="36" t="str">
        <f ca="1">IFERROR(+IF(CB$27=ProposalToGnatt[[#This Row],[Start Date]],Milestone_Marker,IF(AND(CB$27&gt;ProposalToGnatt[[#This Row],[Start Date]],CB$27&lt;ProposalToGnatt[[#This Row],[Start Date]]+ProposalToGnatt[[#This Row],[Days]]),$G$5,"")),"")</f>
        <v/>
      </c>
      <c r="CC33" s="36" t="str">
        <f ca="1">IFERROR(+IF(CC$27=ProposalToGnatt[[#This Row],[Start Date]],Milestone_Marker,IF(AND(CC$27&gt;ProposalToGnatt[[#This Row],[Start Date]],CC$27&lt;ProposalToGnatt[[#This Row],[Start Date]]+ProposalToGnatt[[#This Row],[Days]]),$G$5,"")),"")</f>
        <v/>
      </c>
      <c r="CD33" s="36" t="str">
        <f ca="1">IFERROR(+IF(CD$27=ProposalToGnatt[[#This Row],[Start Date]],Milestone_Marker,IF(AND(CD$27&gt;ProposalToGnatt[[#This Row],[Start Date]],CD$27&lt;ProposalToGnatt[[#This Row],[Start Date]]+ProposalToGnatt[[#This Row],[Days]]),$G$5,"")),"")</f>
        <v/>
      </c>
      <c r="CE33" s="36" t="str">
        <f ca="1">IFERROR(+IF(CE$27=ProposalToGnatt[[#This Row],[Start Date]],Milestone_Marker,IF(AND(CE$27&gt;ProposalToGnatt[[#This Row],[Start Date]],CE$27&lt;ProposalToGnatt[[#This Row],[Start Date]]+ProposalToGnatt[[#This Row],[Days]]),$G$5,"")),"")</f>
        <v/>
      </c>
      <c r="CF33" s="36" t="str">
        <f ca="1">IFERROR(+IF(CF$27=ProposalToGnatt[[#This Row],[Start Date]],Milestone_Marker,IF(AND(CF$27&gt;ProposalToGnatt[[#This Row],[Start Date]],CF$27&lt;ProposalToGnatt[[#This Row],[Start Date]]+ProposalToGnatt[[#This Row],[Days]]),$G$5,"")),"")</f>
        <v/>
      </c>
      <c r="CG33" s="36" t="str">
        <f ca="1">IFERROR(+IF(CG$27=ProposalToGnatt[[#This Row],[Start Date]],Milestone_Marker,IF(AND(CG$27&gt;ProposalToGnatt[[#This Row],[Start Date]],CG$27&lt;ProposalToGnatt[[#This Row],[Start Date]]+ProposalToGnatt[[#This Row],[Days]]),$G$5,"")),"")</f>
        <v/>
      </c>
      <c r="CH33" s="36" t="str">
        <f ca="1">IFERROR(+IF(CH$27=ProposalToGnatt[[#This Row],[Start Date]],Milestone_Marker,IF(AND(CH$27&gt;ProposalToGnatt[[#This Row],[Start Date]],CH$27&lt;ProposalToGnatt[[#This Row],[Start Date]]+ProposalToGnatt[[#This Row],[Days]]),$G$5,"")),"")</f>
        <v/>
      </c>
      <c r="CI33" s="36" t="str">
        <f ca="1">IFERROR(+IF(CI$27=ProposalToGnatt[[#This Row],[Start Date]],Milestone_Marker,IF(AND(CI$27&gt;ProposalToGnatt[[#This Row],[Start Date]],CI$27&lt;ProposalToGnatt[[#This Row],[Start Date]]+ProposalToGnatt[[#This Row],[Days]]),$G$5,"")),"")</f>
        <v/>
      </c>
      <c r="CJ33" s="36" t="str">
        <f ca="1">IFERROR(+IF(CJ$27=ProposalToGnatt[[#This Row],[Start Date]],Milestone_Marker,IF(AND(CJ$27&gt;ProposalToGnatt[[#This Row],[Start Date]],CJ$27&lt;ProposalToGnatt[[#This Row],[Start Date]]+ProposalToGnatt[[#This Row],[Days]]),$G$5,"")),"")</f>
        <v/>
      </c>
      <c r="CK33" s="36" t="str">
        <f ca="1">IFERROR(+IF(CK$27=ProposalToGnatt[[#This Row],[Start Date]],Milestone_Marker,IF(AND(CK$27&gt;ProposalToGnatt[[#This Row],[Start Date]],CK$27&lt;ProposalToGnatt[[#This Row],[Start Date]]+ProposalToGnatt[[#This Row],[Days]]),$G$5,"")),"")</f>
        <v/>
      </c>
      <c r="CL33" s="36" t="str">
        <f ca="1">IFERROR(+IF(CL$27=ProposalToGnatt[[#This Row],[Start Date]],Milestone_Marker,IF(AND(CL$27&gt;ProposalToGnatt[[#This Row],[Start Date]],CL$27&lt;ProposalToGnatt[[#This Row],[Start Date]]+ProposalToGnatt[[#This Row],[Days]]),$G$5,"")),"")</f>
        <v/>
      </c>
      <c r="CM33" s="36" t="str">
        <f ca="1">IFERROR(+IF(CM$27=ProposalToGnatt[[#This Row],[Start Date]],Milestone_Marker,IF(AND(CM$27&gt;ProposalToGnatt[[#This Row],[Start Date]],CM$27&lt;ProposalToGnatt[[#This Row],[Start Date]]+ProposalToGnatt[[#This Row],[Days]]),$G$5,"")),"")</f>
        <v/>
      </c>
      <c r="CN33" s="36" t="str">
        <f ca="1">IFERROR(+IF(CN$27=ProposalToGnatt[[#This Row],[Start Date]],Milestone_Marker,IF(AND(CN$27&gt;ProposalToGnatt[[#This Row],[Start Date]],CN$27&lt;ProposalToGnatt[[#This Row],[Start Date]]+ProposalToGnatt[[#This Row],[Days]]),$G$5,"")),"")</f>
        <v/>
      </c>
      <c r="CO33" s="36" t="str">
        <f ca="1">IFERROR(+IF(CO$27=ProposalToGnatt[[#This Row],[Start Date]],Milestone_Marker,IF(AND(CO$27&gt;ProposalToGnatt[[#This Row],[Start Date]],CO$27&lt;ProposalToGnatt[[#This Row],[Start Date]]+ProposalToGnatt[[#This Row],[Days]]),$G$5,"")),"")</f>
        <v/>
      </c>
      <c r="CP33" s="36" t="str">
        <f ca="1">IFERROR(+IF(CP$27=ProposalToGnatt[[#This Row],[Start Date]],Milestone_Marker,IF(AND(CP$27&gt;ProposalToGnatt[[#This Row],[Start Date]],CP$27&lt;ProposalToGnatt[[#This Row],[Start Date]]+ProposalToGnatt[[#This Row],[Days]]),$G$5,"")),"")</f>
        <v/>
      </c>
      <c r="CQ33" s="36" t="str">
        <f ca="1">IFERROR(+IF(CQ$27=ProposalToGnatt[[#This Row],[Start Date]],Milestone_Marker,IF(AND(CQ$27&gt;ProposalToGnatt[[#This Row],[Start Date]],CQ$27&lt;ProposalToGnatt[[#This Row],[Start Date]]+ProposalToGnatt[[#This Row],[Days]]),$G$5,"")),"")</f>
        <v/>
      </c>
      <c r="CR33" s="36" t="str">
        <f ca="1">IFERROR(+IF(CR$27=ProposalToGnatt[[#This Row],[Start Date]],Milestone_Marker,IF(AND(CR$27&gt;ProposalToGnatt[[#This Row],[Start Date]],CR$27&lt;ProposalToGnatt[[#This Row],[Start Date]]+ProposalToGnatt[[#This Row],[Days]]),$G$5,"")),"")</f>
        <v/>
      </c>
      <c r="CS33" s="36" t="str">
        <f ca="1">IFERROR(+IF(CS$27=ProposalToGnatt[[#This Row],[Start Date]],Milestone_Marker,IF(AND(CS$27&gt;ProposalToGnatt[[#This Row],[Start Date]],CS$27&lt;ProposalToGnatt[[#This Row],[Start Date]]+ProposalToGnatt[[#This Row],[Days]]),$G$5,"")),"")</f>
        <v/>
      </c>
      <c r="CT33" s="36" t="str">
        <f ca="1">IFERROR(+IF(CT$27=ProposalToGnatt[[#This Row],[Start Date]],Milestone_Marker,IF(AND(CT$27&gt;ProposalToGnatt[[#This Row],[Start Date]],CT$27&lt;ProposalToGnatt[[#This Row],[Start Date]]+ProposalToGnatt[[#This Row],[Days]]),$G$5,"")),"")</f>
        <v/>
      </c>
      <c r="CU33" s="36" t="str">
        <f ca="1">IFERROR(+IF(CU$27=ProposalToGnatt[[#This Row],[Start Date]],Milestone_Marker,IF(AND(CU$27&gt;ProposalToGnatt[[#This Row],[Start Date]],CU$27&lt;ProposalToGnatt[[#This Row],[Start Date]]+ProposalToGnatt[[#This Row],[Days]]),$G$5,"")),"")</f>
        <v/>
      </c>
      <c r="CV33" s="36"/>
      <c r="CW33" s="36"/>
      <c r="CX33" s="36"/>
      <c r="CY33" s="36"/>
      <c r="CZ33" s="36"/>
      <c r="DA33" s="36"/>
      <c r="DB33" s="36"/>
      <c r="DC33" s="36"/>
      <c r="DD33" s="36"/>
      <c r="DE33" s="36"/>
      <c r="DF33" s="36"/>
      <c r="DG33" s="36"/>
      <c r="DH33" s="36"/>
      <c r="DI33" s="36"/>
      <c r="DJ33" s="36"/>
      <c r="DK33" s="36"/>
      <c r="DL33" s="36"/>
      <c r="DM33" s="36"/>
      <c r="DN33" s="36"/>
      <c r="DO33" s="36"/>
      <c r="DP33" s="36"/>
      <c r="DQ33" s="36"/>
      <c r="DR33" s="36"/>
      <c r="DS33" s="36"/>
      <c r="DT33" s="36"/>
      <c r="DU33" s="36"/>
    </row>
    <row r="34" spans="1:125" s="41" customFormat="1" ht="20.100000000000001" customHeight="1" x14ac:dyDescent="0.25">
      <c r="A34" t="s">
        <v>545</v>
      </c>
      <c r="B34">
        <v>7</v>
      </c>
      <c r="C34" t="s">
        <v>210</v>
      </c>
      <c r="D34" t="s">
        <v>208</v>
      </c>
      <c r="E34" t="s">
        <v>547</v>
      </c>
      <c r="F34">
        <v>0</v>
      </c>
      <c r="G34" s="14">
        <v>0</v>
      </c>
      <c r="H34" s="14">
        <v>0</v>
      </c>
      <c r="I34"/>
      <c r="J34"/>
      <c r="K34" s="246"/>
      <c r="L34"/>
      <c r="M34" s="14"/>
      <c r="N34" s="299"/>
      <c r="O34" s="281"/>
      <c r="P34" s="36" t="str">
        <f ca="1">IFERROR(+IF(P$27=ProposalToGnatt[[#This Row],[Start Date]],Milestone_Marker,IF(AND(P$27&gt;ProposalToGnatt[[#This Row],[Start Date]],P$27&lt;ProposalToGnatt[[#This Row],[Start Date]]+ProposalToGnatt[[#This Row],[Days]]),$G$5,"")),"")</f>
        <v/>
      </c>
      <c r="Q34" s="36" t="str">
        <f ca="1">IFERROR(+IF(Q$27=ProposalToGnatt[[#This Row],[Start Date]],Milestone_Marker,IF(AND(Q$27&gt;ProposalToGnatt[[#This Row],[Start Date]],Q$27&lt;ProposalToGnatt[[#This Row],[Start Date]]+ProposalToGnatt[[#This Row],[Days]]),$G$5,"")),"")</f>
        <v/>
      </c>
      <c r="R34" s="36" t="str">
        <f ca="1">IFERROR(+IF(R$27=ProposalToGnatt[[#This Row],[Start Date]],Milestone_Marker,IF(AND(R$27&gt;ProposalToGnatt[[#This Row],[Start Date]],R$27&lt;ProposalToGnatt[[#This Row],[Start Date]]+ProposalToGnatt[[#This Row],[Days]]),$G$5,"")),"")</f>
        <v/>
      </c>
      <c r="S34" s="36" t="str">
        <f ca="1">IFERROR(+IF(S$27=ProposalToGnatt[[#This Row],[Start Date]],Milestone_Marker,IF(AND(S$27&gt;ProposalToGnatt[[#This Row],[Start Date]],S$27&lt;ProposalToGnatt[[#This Row],[Start Date]]+ProposalToGnatt[[#This Row],[Days]]),$G$5,"")),"")</f>
        <v/>
      </c>
      <c r="T34" s="36" t="str">
        <f ca="1">IFERROR(+IF(T$27=ProposalToGnatt[[#This Row],[Start Date]],Milestone_Marker,IF(AND(T$27&gt;ProposalToGnatt[[#This Row],[Start Date]],T$27&lt;ProposalToGnatt[[#This Row],[Start Date]]+ProposalToGnatt[[#This Row],[Days]]),$G$5,"")),"")</f>
        <v/>
      </c>
      <c r="U34" s="36" t="str">
        <f ca="1">IFERROR(+IF(U$27=ProposalToGnatt[[#This Row],[Start Date]],Milestone_Marker,IF(AND(U$27&gt;ProposalToGnatt[[#This Row],[Start Date]],U$27&lt;ProposalToGnatt[[#This Row],[Start Date]]+ProposalToGnatt[[#This Row],[Days]]),$G$5,"")),"")</f>
        <v/>
      </c>
      <c r="V34" s="36" t="str">
        <f ca="1">IFERROR(+IF(V$27=ProposalToGnatt[[#This Row],[Start Date]],Milestone_Marker,IF(AND(V$27&gt;ProposalToGnatt[[#This Row],[Start Date]],V$27&lt;ProposalToGnatt[[#This Row],[Start Date]]+ProposalToGnatt[[#This Row],[Days]]),$G$5,"")),"")</f>
        <v/>
      </c>
      <c r="W34" s="36" t="str">
        <f ca="1">IFERROR(+IF(W$27=ProposalToGnatt[[#This Row],[Start Date]],Milestone_Marker,IF(AND(W$27&gt;ProposalToGnatt[[#This Row],[Start Date]],W$27&lt;ProposalToGnatt[[#This Row],[Start Date]]+ProposalToGnatt[[#This Row],[Days]]),$G$5,"")),"")</f>
        <v/>
      </c>
      <c r="X34" s="36" t="str">
        <f ca="1">IFERROR(+IF(X$27=ProposalToGnatt[[#This Row],[Start Date]],Milestone_Marker,IF(AND(X$27&gt;ProposalToGnatt[[#This Row],[Start Date]],X$27&lt;ProposalToGnatt[[#This Row],[Start Date]]+ProposalToGnatt[[#This Row],[Days]]),$G$5,"")),"")</f>
        <v/>
      </c>
      <c r="Y34" s="36" t="str">
        <f ca="1">IFERROR(+IF(Y$27=ProposalToGnatt[[#This Row],[Start Date]],Milestone_Marker,IF(AND(Y$27&gt;ProposalToGnatt[[#This Row],[Start Date]],Y$27&lt;ProposalToGnatt[[#This Row],[Start Date]]+ProposalToGnatt[[#This Row],[Days]]),$G$5,"")),"")</f>
        <v/>
      </c>
      <c r="Z34" s="36" t="str">
        <f ca="1">IFERROR(+IF(Z$27=ProposalToGnatt[[#This Row],[Start Date]],Milestone_Marker,IF(AND(Z$27&gt;ProposalToGnatt[[#This Row],[Start Date]],Z$27&lt;ProposalToGnatt[[#This Row],[Start Date]]+ProposalToGnatt[[#This Row],[Days]]),$G$5,"")),"")</f>
        <v/>
      </c>
      <c r="AA34" s="36" t="str">
        <f ca="1">IFERROR(+IF(AA$27=ProposalToGnatt[[#This Row],[Start Date]],Milestone_Marker,IF(AND(AA$27&gt;ProposalToGnatt[[#This Row],[Start Date]],AA$27&lt;ProposalToGnatt[[#This Row],[Start Date]]+ProposalToGnatt[[#This Row],[Days]]),$G$5,"")),"")</f>
        <v/>
      </c>
      <c r="AB34" s="36" t="str">
        <f ca="1">IFERROR(+IF(AB$27=ProposalToGnatt[[#This Row],[Start Date]],Milestone_Marker,IF(AND(AB$27&gt;ProposalToGnatt[[#This Row],[Start Date]],AB$27&lt;ProposalToGnatt[[#This Row],[Start Date]]+ProposalToGnatt[[#This Row],[Days]]),$G$5,"")),"")</f>
        <v/>
      </c>
      <c r="AC34" s="36" t="str">
        <f ca="1">IFERROR(+IF(AC$27=ProposalToGnatt[[#This Row],[Start Date]],Milestone_Marker,IF(AND(AC$27&gt;ProposalToGnatt[[#This Row],[Start Date]],AC$27&lt;ProposalToGnatt[[#This Row],[Start Date]]+ProposalToGnatt[[#This Row],[Days]]),$G$5,"")),"")</f>
        <v/>
      </c>
      <c r="AD34" s="36" t="str">
        <f ca="1">IFERROR(+IF(AD$27=ProposalToGnatt[[#This Row],[Start Date]],Milestone_Marker,IF(AND(AD$27&gt;ProposalToGnatt[[#This Row],[Start Date]],AD$27&lt;ProposalToGnatt[[#This Row],[Start Date]]+ProposalToGnatt[[#This Row],[Days]]),$G$5,"")),"")</f>
        <v/>
      </c>
      <c r="AE34" s="36" t="str">
        <f ca="1">IFERROR(+IF(AE$27=ProposalToGnatt[[#This Row],[Start Date]],Milestone_Marker,IF(AND(AE$27&gt;ProposalToGnatt[[#This Row],[Start Date]],AE$27&lt;ProposalToGnatt[[#This Row],[Start Date]]+ProposalToGnatt[[#This Row],[Days]]),$G$5,"")),"")</f>
        <v/>
      </c>
      <c r="AF34" s="36" t="str">
        <f ca="1">IFERROR(+IF(AF$27=ProposalToGnatt[[#This Row],[Start Date]],Milestone_Marker,IF(AND(AF$27&gt;ProposalToGnatt[[#This Row],[Start Date]],AF$27&lt;ProposalToGnatt[[#This Row],[Start Date]]+ProposalToGnatt[[#This Row],[Days]]),$G$5,"")),"")</f>
        <v/>
      </c>
      <c r="AG34" s="36" t="str">
        <f ca="1">IFERROR(+IF(AG$27=ProposalToGnatt[[#This Row],[Start Date]],Milestone_Marker,IF(AND(AG$27&gt;ProposalToGnatt[[#This Row],[Start Date]],AG$27&lt;ProposalToGnatt[[#This Row],[Start Date]]+ProposalToGnatt[[#This Row],[Days]]),$G$5,"")),"")</f>
        <v/>
      </c>
      <c r="AH34" s="36" t="str">
        <f ca="1">IFERROR(+IF(AH$27=ProposalToGnatt[[#This Row],[Start Date]],Milestone_Marker,IF(AND(AH$27&gt;ProposalToGnatt[[#This Row],[Start Date]],AH$27&lt;ProposalToGnatt[[#This Row],[Start Date]]+ProposalToGnatt[[#This Row],[Days]]),$G$5,"")),"")</f>
        <v/>
      </c>
      <c r="AI34" s="36" t="str">
        <f ca="1">IFERROR(+IF(AI$27=ProposalToGnatt[[#This Row],[Start Date]],Milestone_Marker,IF(AND(AI$27&gt;ProposalToGnatt[[#This Row],[Start Date]],AI$27&lt;ProposalToGnatt[[#This Row],[Start Date]]+ProposalToGnatt[[#This Row],[Days]]),$G$5,"")),"")</f>
        <v/>
      </c>
      <c r="AJ34" s="36" t="str">
        <f ca="1">IFERROR(+IF(AJ$27=ProposalToGnatt[[#This Row],[Start Date]],Milestone_Marker,IF(AND(AJ$27&gt;ProposalToGnatt[[#This Row],[Start Date]],AJ$27&lt;ProposalToGnatt[[#This Row],[Start Date]]+ProposalToGnatt[[#This Row],[Days]]),$G$5,"")),"")</f>
        <v/>
      </c>
      <c r="AK34" s="36" t="str">
        <f ca="1">IFERROR(+IF(AK$27=ProposalToGnatt[[#This Row],[Start Date]],Milestone_Marker,IF(AND(AK$27&gt;ProposalToGnatt[[#This Row],[Start Date]],AK$27&lt;ProposalToGnatt[[#This Row],[Start Date]]+ProposalToGnatt[[#This Row],[Days]]),$G$5,"")),"")</f>
        <v/>
      </c>
      <c r="AL34" s="36" t="str">
        <f ca="1">IFERROR(+IF(AL$27=ProposalToGnatt[[#This Row],[Start Date]],Milestone_Marker,IF(AND(AL$27&gt;ProposalToGnatt[[#This Row],[Start Date]],AL$27&lt;ProposalToGnatt[[#This Row],[Start Date]]+ProposalToGnatt[[#This Row],[Days]]),$G$5,"")),"")</f>
        <v/>
      </c>
      <c r="AM34" s="36" t="str">
        <f ca="1">IFERROR(+IF(AM$27=ProposalToGnatt[[#This Row],[Start Date]],Milestone_Marker,IF(AND(AM$27&gt;ProposalToGnatt[[#This Row],[Start Date]],AM$27&lt;ProposalToGnatt[[#This Row],[Start Date]]+ProposalToGnatt[[#This Row],[Days]]),$G$5,"")),"")</f>
        <v/>
      </c>
      <c r="AN34" s="36" t="str">
        <f ca="1">IFERROR(+IF(AN$27=ProposalToGnatt[[#This Row],[Start Date]],Milestone_Marker,IF(AND(AN$27&gt;ProposalToGnatt[[#This Row],[Start Date]],AN$27&lt;ProposalToGnatt[[#This Row],[Start Date]]+ProposalToGnatt[[#This Row],[Days]]),$G$5,"")),"")</f>
        <v/>
      </c>
      <c r="AO34" s="36" t="str">
        <f ca="1">IFERROR(+IF(AO$27=ProposalToGnatt[[#This Row],[Start Date]],Milestone_Marker,IF(AND(AO$27&gt;ProposalToGnatt[[#This Row],[Start Date]],AO$27&lt;ProposalToGnatt[[#This Row],[Start Date]]+ProposalToGnatt[[#This Row],[Days]]),$G$5,"")),"")</f>
        <v/>
      </c>
      <c r="AP34" s="36" t="str">
        <f ca="1">IFERROR(+IF(AP$27=ProposalToGnatt[[#This Row],[Start Date]],Milestone_Marker,IF(AND(AP$27&gt;ProposalToGnatt[[#This Row],[Start Date]],AP$27&lt;ProposalToGnatt[[#This Row],[Start Date]]+ProposalToGnatt[[#This Row],[Days]]),$G$5,"")),"")</f>
        <v/>
      </c>
      <c r="AQ34" s="36" t="str">
        <f ca="1">IFERROR(+IF(AQ$27=ProposalToGnatt[[#This Row],[Start Date]],Milestone_Marker,IF(AND(AQ$27&gt;ProposalToGnatt[[#This Row],[Start Date]],AQ$27&lt;ProposalToGnatt[[#This Row],[Start Date]]+ProposalToGnatt[[#This Row],[Days]]),$G$5,"")),"")</f>
        <v/>
      </c>
      <c r="AR34" s="36" t="str">
        <f ca="1">IFERROR(+IF(AR$27=ProposalToGnatt[[#This Row],[Start Date]],Milestone_Marker,IF(AND(AR$27&gt;ProposalToGnatt[[#This Row],[Start Date]],AR$27&lt;ProposalToGnatt[[#This Row],[Start Date]]+ProposalToGnatt[[#This Row],[Days]]),$G$5,"")),"")</f>
        <v/>
      </c>
      <c r="AS34" s="36" t="str">
        <f ca="1">IFERROR(+IF(AS$27=ProposalToGnatt[[#This Row],[Start Date]],Milestone_Marker,IF(AND(AS$27&gt;ProposalToGnatt[[#This Row],[Start Date]],AS$27&lt;ProposalToGnatt[[#This Row],[Start Date]]+ProposalToGnatt[[#This Row],[Days]]),$G$5,"")),"")</f>
        <v/>
      </c>
      <c r="AT34" s="36" t="str">
        <f ca="1">IFERROR(+IF(AT$27=ProposalToGnatt[[#This Row],[Start Date]],Milestone_Marker,IF(AND(AT$27&gt;ProposalToGnatt[[#This Row],[Start Date]],AT$27&lt;ProposalToGnatt[[#This Row],[Start Date]]+ProposalToGnatt[[#This Row],[Days]]),$G$5,"")),"")</f>
        <v/>
      </c>
      <c r="AU34" s="36" t="str">
        <f ca="1">IFERROR(+IF(AU$27=ProposalToGnatt[[#This Row],[Start Date]],Milestone_Marker,IF(AND(AU$27&gt;ProposalToGnatt[[#This Row],[Start Date]],AU$27&lt;ProposalToGnatt[[#This Row],[Start Date]]+ProposalToGnatt[[#This Row],[Days]]),$G$5,"")),"")</f>
        <v/>
      </c>
      <c r="AV34" s="36" t="str">
        <f ca="1">IFERROR(+IF(AV$27=ProposalToGnatt[[#This Row],[Start Date]],Milestone_Marker,IF(AND(AV$27&gt;ProposalToGnatt[[#This Row],[Start Date]],AV$27&lt;ProposalToGnatt[[#This Row],[Start Date]]+ProposalToGnatt[[#This Row],[Days]]),$G$5,"")),"")</f>
        <v/>
      </c>
      <c r="AW34" s="36" t="str">
        <f ca="1">IFERROR(+IF(AW$27=ProposalToGnatt[[#This Row],[Start Date]],Milestone_Marker,IF(AND(AW$27&gt;ProposalToGnatt[[#This Row],[Start Date]],AW$27&lt;ProposalToGnatt[[#This Row],[Start Date]]+ProposalToGnatt[[#This Row],[Days]]),$G$5,"")),"")</f>
        <v/>
      </c>
      <c r="AX34" s="36" t="str">
        <f ca="1">IFERROR(+IF(AX$27=ProposalToGnatt[[#This Row],[Start Date]],Milestone_Marker,IF(AND(AX$27&gt;ProposalToGnatt[[#This Row],[Start Date]],AX$27&lt;ProposalToGnatt[[#This Row],[Start Date]]+ProposalToGnatt[[#This Row],[Days]]),$G$5,"")),"")</f>
        <v/>
      </c>
      <c r="AY34" s="36" t="str">
        <f ca="1">IFERROR(+IF(AY$27=ProposalToGnatt[[#This Row],[Start Date]],Milestone_Marker,IF(AND(AY$27&gt;ProposalToGnatt[[#This Row],[Start Date]],AY$27&lt;ProposalToGnatt[[#This Row],[Start Date]]+ProposalToGnatt[[#This Row],[Days]]),$G$5,"")),"")</f>
        <v/>
      </c>
      <c r="AZ34" s="36" t="str">
        <f ca="1">IFERROR(+IF(AZ$27=ProposalToGnatt[[#This Row],[Start Date]],Milestone_Marker,IF(AND(AZ$27&gt;ProposalToGnatt[[#This Row],[Start Date]],AZ$27&lt;ProposalToGnatt[[#This Row],[Start Date]]+ProposalToGnatt[[#This Row],[Days]]),$G$5,"")),"")</f>
        <v/>
      </c>
      <c r="BA34" s="36" t="str">
        <f ca="1">IFERROR(+IF(BA$27=ProposalToGnatt[[#This Row],[Start Date]],Milestone_Marker,IF(AND(BA$27&gt;ProposalToGnatt[[#This Row],[Start Date]],BA$27&lt;ProposalToGnatt[[#This Row],[Start Date]]+ProposalToGnatt[[#This Row],[Days]]),$G$5,"")),"")</f>
        <v/>
      </c>
      <c r="BB34" s="36" t="str">
        <f ca="1">IFERROR(+IF(BB$27=ProposalToGnatt[[#This Row],[Start Date]],Milestone_Marker,IF(AND(BB$27&gt;ProposalToGnatt[[#This Row],[Start Date]],BB$27&lt;ProposalToGnatt[[#This Row],[Start Date]]+ProposalToGnatt[[#This Row],[Days]]),$G$5,"")),"")</f>
        <v/>
      </c>
      <c r="BC34" s="36" t="str">
        <f ca="1">IFERROR(+IF(BC$27=ProposalToGnatt[[#This Row],[Start Date]],Milestone_Marker,IF(AND(BC$27&gt;ProposalToGnatt[[#This Row],[Start Date]],BC$27&lt;ProposalToGnatt[[#This Row],[Start Date]]+ProposalToGnatt[[#This Row],[Days]]),$G$5,"")),"")</f>
        <v/>
      </c>
      <c r="BD34" s="36" t="str">
        <f ca="1">IFERROR(+IF(BD$27=ProposalToGnatt[[#This Row],[Start Date]],Milestone_Marker,IF(AND(BD$27&gt;ProposalToGnatt[[#This Row],[Start Date]],BD$27&lt;ProposalToGnatt[[#This Row],[Start Date]]+ProposalToGnatt[[#This Row],[Days]]),$G$5,"")),"")</f>
        <v/>
      </c>
      <c r="BE34" s="36" t="str">
        <f ca="1">IFERROR(+IF(BE$27=ProposalToGnatt[[#This Row],[Start Date]],Milestone_Marker,IF(AND(BE$27&gt;ProposalToGnatt[[#This Row],[Start Date]],BE$27&lt;ProposalToGnatt[[#This Row],[Start Date]]+ProposalToGnatt[[#This Row],[Days]]),$G$5,"")),"")</f>
        <v/>
      </c>
      <c r="BF34" s="36" t="str">
        <f ca="1">IFERROR(+IF(BF$27=ProposalToGnatt[[#This Row],[Start Date]],Milestone_Marker,IF(AND(BF$27&gt;ProposalToGnatt[[#This Row],[Start Date]],BF$27&lt;ProposalToGnatt[[#This Row],[Start Date]]+ProposalToGnatt[[#This Row],[Days]]),$G$5,"")),"")</f>
        <v/>
      </c>
      <c r="BG34" s="36" t="str">
        <f ca="1">IFERROR(+IF(BG$27=ProposalToGnatt[[#This Row],[Start Date]],Milestone_Marker,IF(AND(BG$27&gt;ProposalToGnatt[[#This Row],[Start Date]],BG$27&lt;ProposalToGnatt[[#This Row],[Start Date]]+ProposalToGnatt[[#This Row],[Days]]),$G$5,"")),"")</f>
        <v/>
      </c>
      <c r="BH34" s="36" t="str">
        <f ca="1">IFERROR(+IF(BH$27=ProposalToGnatt[[#This Row],[Start Date]],Milestone_Marker,IF(AND(BH$27&gt;ProposalToGnatt[[#This Row],[Start Date]],BH$27&lt;ProposalToGnatt[[#This Row],[Start Date]]+ProposalToGnatt[[#This Row],[Days]]),$G$5,"")),"")</f>
        <v/>
      </c>
      <c r="BI34" s="36" t="str">
        <f ca="1">IFERROR(+IF(BI$27=ProposalToGnatt[[#This Row],[Start Date]],Milestone_Marker,IF(AND(BI$27&gt;ProposalToGnatt[[#This Row],[Start Date]],BI$27&lt;ProposalToGnatt[[#This Row],[Start Date]]+ProposalToGnatt[[#This Row],[Days]]),$G$5,"")),"")</f>
        <v/>
      </c>
      <c r="BJ34" s="36" t="str">
        <f ca="1">IFERROR(+IF(BJ$27=ProposalToGnatt[[#This Row],[Start Date]],Milestone_Marker,IF(AND(BJ$27&gt;ProposalToGnatt[[#This Row],[Start Date]],BJ$27&lt;ProposalToGnatt[[#This Row],[Start Date]]+ProposalToGnatt[[#This Row],[Days]]),$G$5,"")),"")</f>
        <v/>
      </c>
      <c r="BK34" s="36" t="str">
        <f ca="1">IFERROR(+IF(BK$27=ProposalToGnatt[[#This Row],[Start Date]],Milestone_Marker,IF(AND(BK$27&gt;ProposalToGnatt[[#This Row],[Start Date]],BK$27&lt;ProposalToGnatt[[#This Row],[Start Date]]+ProposalToGnatt[[#This Row],[Days]]),$G$5,"")),"")</f>
        <v/>
      </c>
      <c r="BL34" s="36" t="str">
        <f ca="1">IFERROR(+IF(BL$27=ProposalToGnatt[[#This Row],[Start Date]],Milestone_Marker,IF(AND(BL$27&gt;ProposalToGnatt[[#This Row],[Start Date]],BL$27&lt;ProposalToGnatt[[#This Row],[Start Date]]+ProposalToGnatt[[#This Row],[Days]]),$G$5,"")),"")</f>
        <v/>
      </c>
      <c r="BM34" s="36" t="str">
        <f ca="1">IFERROR(+IF(BM$27=ProposalToGnatt[[#This Row],[Start Date]],Milestone_Marker,IF(AND(BM$27&gt;ProposalToGnatt[[#This Row],[Start Date]],BM$27&lt;ProposalToGnatt[[#This Row],[Start Date]]+ProposalToGnatt[[#This Row],[Days]]),$G$5,"")),"")</f>
        <v/>
      </c>
      <c r="BN34" s="36" t="str">
        <f ca="1">IFERROR(+IF(BN$27=ProposalToGnatt[[#This Row],[Start Date]],Milestone_Marker,IF(AND(BN$27&gt;ProposalToGnatt[[#This Row],[Start Date]],BN$27&lt;ProposalToGnatt[[#This Row],[Start Date]]+ProposalToGnatt[[#This Row],[Days]]),$G$5,"")),"")</f>
        <v/>
      </c>
      <c r="BO34" s="36" t="str">
        <f ca="1">IFERROR(+IF(BO$27=ProposalToGnatt[[#This Row],[Start Date]],Milestone_Marker,IF(AND(BO$27&gt;ProposalToGnatt[[#This Row],[Start Date]],BO$27&lt;ProposalToGnatt[[#This Row],[Start Date]]+ProposalToGnatt[[#This Row],[Days]]),$G$5,"")),"")</f>
        <v/>
      </c>
      <c r="BP34" s="36" t="str">
        <f ca="1">IFERROR(+IF(BP$27=ProposalToGnatt[[#This Row],[Start Date]],Milestone_Marker,IF(AND(BP$27&gt;ProposalToGnatt[[#This Row],[Start Date]],BP$27&lt;ProposalToGnatt[[#This Row],[Start Date]]+ProposalToGnatt[[#This Row],[Days]]),$G$5,"")),"")</f>
        <v/>
      </c>
      <c r="BQ34" s="36" t="str">
        <f ca="1">IFERROR(+IF(BQ$27=ProposalToGnatt[[#This Row],[Start Date]],Milestone_Marker,IF(AND(BQ$27&gt;ProposalToGnatt[[#This Row],[Start Date]],BQ$27&lt;ProposalToGnatt[[#This Row],[Start Date]]+ProposalToGnatt[[#This Row],[Days]]),$G$5,"")),"")</f>
        <v/>
      </c>
      <c r="BR34" s="36" t="str">
        <f ca="1">IFERROR(+IF(BR$27=ProposalToGnatt[[#This Row],[Start Date]],Milestone_Marker,IF(AND(BR$27&gt;ProposalToGnatt[[#This Row],[Start Date]],BR$27&lt;ProposalToGnatt[[#This Row],[Start Date]]+ProposalToGnatt[[#This Row],[Days]]),$G$5,"")),"")</f>
        <v/>
      </c>
      <c r="BS34" s="36" t="str">
        <f ca="1">IFERROR(+IF(BS$27=ProposalToGnatt[[#This Row],[Start Date]],Milestone_Marker,IF(AND(BS$27&gt;ProposalToGnatt[[#This Row],[Start Date]],BS$27&lt;ProposalToGnatt[[#This Row],[Start Date]]+ProposalToGnatt[[#This Row],[Days]]),$G$5,"")),"")</f>
        <v/>
      </c>
      <c r="BT34" s="36" t="str">
        <f ca="1">IFERROR(+IF(BT$27=ProposalToGnatt[[#This Row],[Start Date]],Milestone_Marker,IF(AND(BT$27&gt;ProposalToGnatt[[#This Row],[Start Date]],BT$27&lt;ProposalToGnatt[[#This Row],[Start Date]]+ProposalToGnatt[[#This Row],[Days]]),$G$5,"")),"")</f>
        <v/>
      </c>
      <c r="BU34" s="36" t="str">
        <f ca="1">IFERROR(+IF(BU$27=ProposalToGnatt[[#This Row],[Start Date]],Milestone_Marker,IF(AND(BU$27&gt;ProposalToGnatt[[#This Row],[Start Date]],BU$27&lt;ProposalToGnatt[[#This Row],[Start Date]]+ProposalToGnatt[[#This Row],[Days]]),$G$5,"")),"")</f>
        <v/>
      </c>
      <c r="BV34" s="36" t="str">
        <f ca="1">IFERROR(+IF(BV$27=ProposalToGnatt[[#This Row],[Start Date]],Milestone_Marker,IF(AND(BV$27&gt;ProposalToGnatt[[#This Row],[Start Date]],BV$27&lt;ProposalToGnatt[[#This Row],[Start Date]]+ProposalToGnatt[[#This Row],[Days]]),$G$5,"")),"")</f>
        <v/>
      </c>
      <c r="BW34" s="36" t="str">
        <f ca="1">IFERROR(+IF(BW$27=ProposalToGnatt[[#This Row],[Start Date]],Milestone_Marker,IF(AND(BW$27&gt;ProposalToGnatt[[#This Row],[Start Date]],BW$27&lt;ProposalToGnatt[[#This Row],[Start Date]]+ProposalToGnatt[[#This Row],[Days]]),$G$5,"")),"")</f>
        <v/>
      </c>
      <c r="BX34" s="36" t="str">
        <f ca="1">IFERROR(+IF(BX$27=ProposalToGnatt[[#This Row],[Start Date]],Milestone_Marker,IF(AND(BX$27&gt;ProposalToGnatt[[#This Row],[Start Date]],BX$27&lt;ProposalToGnatt[[#This Row],[Start Date]]+ProposalToGnatt[[#This Row],[Days]]),$G$5,"")),"")</f>
        <v/>
      </c>
      <c r="BY34" s="36" t="str">
        <f ca="1">IFERROR(+IF(BY$27=ProposalToGnatt[[#This Row],[Start Date]],Milestone_Marker,IF(AND(BY$27&gt;ProposalToGnatt[[#This Row],[Start Date]],BY$27&lt;ProposalToGnatt[[#This Row],[Start Date]]+ProposalToGnatt[[#This Row],[Days]]),$G$5,"")),"")</f>
        <v/>
      </c>
      <c r="BZ34" s="36" t="str">
        <f ca="1">IFERROR(+IF(BZ$27=ProposalToGnatt[[#This Row],[Start Date]],Milestone_Marker,IF(AND(BZ$27&gt;ProposalToGnatt[[#This Row],[Start Date]],BZ$27&lt;ProposalToGnatt[[#This Row],[Start Date]]+ProposalToGnatt[[#This Row],[Days]]),$G$5,"")),"")</f>
        <v/>
      </c>
      <c r="CA34" s="36" t="str">
        <f ca="1">IFERROR(+IF(CA$27=ProposalToGnatt[[#This Row],[Start Date]],Milestone_Marker,IF(AND(CA$27&gt;ProposalToGnatt[[#This Row],[Start Date]],CA$27&lt;ProposalToGnatt[[#This Row],[Start Date]]+ProposalToGnatt[[#This Row],[Days]]),$G$5,"")),"")</f>
        <v/>
      </c>
      <c r="CB34" s="36" t="str">
        <f ca="1">IFERROR(+IF(CB$27=ProposalToGnatt[[#This Row],[Start Date]],Milestone_Marker,IF(AND(CB$27&gt;ProposalToGnatt[[#This Row],[Start Date]],CB$27&lt;ProposalToGnatt[[#This Row],[Start Date]]+ProposalToGnatt[[#This Row],[Days]]),$G$5,"")),"")</f>
        <v/>
      </c>
      <c r="CC34" s="36" t="str">
        <f ca="1">IFERROR(+IF(CC$27=ProposalToGnatt[[#This Row],[Start Date]],Milestone_Marker,IF(AND(CC$27&gt;ProposalToGnatt[[#This Row],[Start Date]],CC$27&lt;ProposalToGnatt[[#This Row],[Start Date]]+ProposalToGnatt[[#This Row],[Days]]),$G$5,"")),"")</f>
        <v/>
      </c>
      <c r="CD34" s="36" t="str">
        <f ca="1">IFERROR(+IF(CD$27=ProposalToGnatt[[#This Row],[Start Date]],Milestone_Marker,IF(AND(CD$27&gt;ProposalToGnatt[[#This Row],[Start Date]],CD$27&lt;ProposalToGnatt[[#This Row],[Start Date]]+ProposalToGnatt[[#This Row],[Days]]),$G$5,"")),"")</f>
        <v/>
      </c>
      <c r="CE34" s="36" t="str">
        <f ca="1">IFERROR(+IF(CE$27=ProposalToGnatt[[#This Row],[Start Date]],Milestone_Marker,IF(AND(CE$27&gt;ProposalToGnatt[[#This Row],[Start Date]],CE$27&lt;ProposalToGnatt[[#This Row],[Start Date]]+ProposalToGnatt[[#This Row],[Days]]),$G$5,"")),"")</f>
        <v/>
      </c>
      <c r="CF34" s="36" t="str">
        <f ca="1">IFERROR(+IF(CF$27=ProposalToGnatt[[#This Row],[Start Date]],Milestone_Marker,IF(AND(CF$27&gt;ProposalToGnatt[[#This Row],[Start Date]],CF$27&lt;ProposalToGnatt[[#This Row],[Start Date]]+ProposalToGnatt[[#This Row],[Days]]),$G$5,"")),"")</f>
        <v/>
      </c>
      <c r="CG34" s="36" t="str">
        <f ca="1">IFERROR(+IF(CG$27=ProposalToGnatt[[#This Row],[Start Date]],Milestone_Marker,IF(AND(CG$27&gt;ProposalToGnatt[[#This Row],[Start Date]],CG$27&lt;ProposalToGnatt[[#This Row],[Start Date]]+ProposalToGnatt[[#This Row],[Days]]),$G$5,"")),"")</f>
        <v/>
      </c>
      <c r="CH34" s="36" t="str">
        <f ca="1">IFERROR(+IF(CH$27=ProposalToGnatt[[#This Row],[Start Date]],Milestone_Marker,IF(AND(CH$27&gt;ProposalToGnatt[[#This Row],[Start Date]],CH$27&lt;ProposalToGnatt[[#This Row],[Start Date]]+ProposalToGnatt[[#This Row],[Days]]),$G$5,"")),"")</f>
        <v/>
      </c>
      <c r="CI34" s="36" t="str">
        <f ca="1">IFERROR(+IF(CI$27=ProposalToGnatt[[#This Row],[Start Date]],Milestone_Marker,IF(AND(CI$27&gt;ProposalToGnatt[[#This Row],[Start Date]],CI$27&lt;ProposalToGnatt[[#This Row],[Start Date]]+ProposalToGnatt[[#This Row],[Days]]),$G$5,"")),"")</f>
        <v/>
      </c>
      <c r="CJ34" s="36" t="str">
        <f ca="1">IFERROR(+IF(CJ$27=ProposalToGnatt[[#This Row],[Start Date]],Milestone_Marker,IF(AND(CJ$27&gt;ProposalToGnatt[[#This Row],[Start Date]],CJ$27&lt;ProposalToGnatt[[#This Row],[Start Date]]+ProposalToGnatt[[#This Row],[Days]]),$G$5,"")),"")</f>
        <v/>
      </c>
      <c r="CK34" s="36" t="str">
        <f ca="1">IFERROR(+IF(CK$27=ProposalToGnatt[[#This Row],[Start Date]],Milestone_Marker,IF(AND(CK$27&gt;ProposalToGnatt[[#This Row],[Start Date]],CK$27&lt;ProposalToGnatt[[#This Row],[Start Date]]+ProposalToGnatt[[#This Row],[Days]]),$G$5,"")),"")</f>
        <v/>
      </c>
      <c r="CL34" s="36" t="str">
        <f ca="1">IFERROR(+IF(CL$27=ProposalToGnatt[[#This Row],[Start Date]],Milestone_Marker,IF(AND(CL$27&gt;ProposalToGnatt[[#This Row],[Start Date]],CL$27&lt;ProposalToGnatt[[#This Row],[Start Date]]+ProposalToGnatt[[#This Row],[Days]]),$G$5,"")),"")</f>
        <v/>
      </c>
      <c r="CM34" s="36" t="str">
        <f ca="1">IFERROR(+IF(CM$27=ProposalToGnatt[[#This Row],[Start Date]],Milestone_Marker,IF(AND(CM$27&gt;ProposalToGnatt[[#This Row],[Start Date]],CM$27&lt;ProposalToGnatt[[#This Row],[Start Date]]+ProposalToGnatt[[#This Row],[Days]]),$G$5,"")),"")</f>
        <v/>
      </c>
      <c r="CN34" s="36" t="str">
        <f ca="1">IFERROR(+IF(CN$27=ProposalToGnatt[[#This Row],[Start Date]],Milestone_Marker,IF(AND(CN$27&gt;ProposalToGnatt[[#This Row],[Start Date]],CN$27&lt;ProposalToGnatt[[#This Row],[Start Date]]+ProposalToGnatt[[#This Row],[Days]]),$G$5,"")),"")</f>
        <v/>
      </c>
      <c r="CO34" s="36" t="str">
        <f ca="1">IFERROR(+IF(CO$27=ProposalToGnatt[[#This Row],[Start Date]],Milestone_Marker,IF(AND(CO$27&gt;ProposalToGnatt[[#This Row],[Start Date]],CO$27&lt;ProposalToGnatt[[#This Row],[Start Date]]+ProposalToGnatt[[#This Row],[Days]]),$G$5,"")),"")</f>
        <v/>
      </c>
      <c r="CP34" s="36" t="str">
        <f ca="1">IFERROR(+IF(CP$27=ProposalToGnatt[[#This Row],[Start Date]],Milestone_Marker,IF(AND(CP$27&gt;ProposalToGnatt[[#This Row],[Start Date]],CP$27&lt;ProposalToGnatt[[#This Row],[Start Date]]+ProposalToGnatt[[#This Row],[Days]]),$G$5,"")),"")</f>
        <v/>
      </c>
      <c r="CQ34" s="36" t="str">
        <f ca="1">IFERROR(+IF(CQ$27=ProposalToGnatt[[#This Row],[Start Date]],Milestone_Marker,IF(AND(CQ$27&gt;ProposalToGnatt[[#This Row],[Start Date]],CQ$27&lt;ProposalToGnatt[[#This Row],[Start Date]]+ProposalToGnatt[[#This Row],[Days]]),$G$5,"")),"")</f>
        <v/>
      </c>
      <c r="CR34" s="36" t="str">
        <f ca="1">IFERROR(+IF(CR$27=ProposalToGnatt[[#This Row],[Start Date]],Milestone_Marker,IF(AND(CR$27&gt;ProposalToGnatt[[#This Row],[Start Date]],CR$27&lt;ProposalToGnatt[[#This Row],[Start Date]]+ProposalToGnatt[[#This Row],[Days]]),$G$5,"")),"")</f>
        <v/>
      </c>
      <c r="CS34" s="36" t="str">
        <f ca="1">IFERROR(+IF(CS$27=ProposalToGnatt[[#This Row],[Start Date]],Milestone_Marker,IF(AND(CS$27&gt;ProposalToGnatt[[#This Row],[Start Date]],CS$27&lt;ProposalToGnatt[[#This Row],[Start Date]]+ProposalToGnatt[[#This Row],[Days]]),$G$5,"")),"")</f>
        <v/>
      </c>
      <c r="CT34" s="36" t="str">
        <f ca="1">IFERROR(+IF(CT$27=ProposalToGnatt[[#This Row],[Start Date]],Milestone_Marker,IF(AND(CT$27&gt;ProposalToGnatt[[#This Row],[Start Date]],CT$27&lt;ProposalToGnatt[[#This Row],[Start Date]]+ProposalToGnatt[[#This Row],[Days]]),$G$5,"")),"")</f>
        <v/>
      </c>
      <c r="CU34" s="36" t="str">
        <f ca="1">IFERROR(+IF(CU$27=ProposalToGnatt[[#This Row],[Start Date]],Milestone_Marker,IF(AND(CU$27&gt;ProposalToGnatt[[#This Row],[Start Date]],CU$27&lt;ProposalToGnatt[[#This Row],[Start Date]]+ProposalToGnatt[[#This Row],[Days]]),$G$5,"")),"")</f>
        <v/>
      </c>
      <c r="CV34" s="36"/>
      <c r="CW34" s="36"/>
      <c r="CX34" s="36"/>
      <c r="CY34" s="36"/>
      <c r="CZ34" s="36"/>
      <c r="DA34" s="36"/>
      <c r="DB34" s="36"/>
      <c r="DC34" s="36"/>
      <c r="DD34" s="36"/>
      <c r="DE34" s="36"/>
      <c r="DF34" s="36"/>
      <c r="DG34" s="36"/>
      <c r="DH34" s="36"/>
      <c r="DI34" s="36"/>
      <c r="DJ34" s="36"/>
      <c r="DK34" s="36"/>
      <c r="DL34" s="36"/>
      <c r="DM34" s="36"/>
      <c r="DN34" s="36"/>
      <c r="DO34" s="36"/>
      <c r="DP34" s="36"/>
      <c r="DQ34" s="36"/>
      <c r="DR34" s="36"/>
      <c r="DS34" s="36"/>
      <c r="DT34" s="36"/>
      <c r="DU34" s="36"/>
    </row>
    <row r="35" spans="1:125" s="41" customFormat="1" ht="20.100000000000001" customHeight="1" x14ac:dyDescent="0.25">
      <c r="A35" t="s">
        <v>545</v>
      </c>
      <c r="B35">
        <v>8</v>
      </c>
      <c r="C35" t="s">
        <v>212</v>
      </c>
      <c r="D35" t="s">
        <v>208</v>
      </c>
      <c r="E35" t="s">
        <v>548</v>
      </c>
      <c r="F35">
        <v>0</v>
      </c>
      <c r="G35" s="14">
        <v>0</v>
      </c>
      <c r="H35" s="14">
        <v>0</v>
      </c>
      <c r="I35"/>
      <c r="J35"/>
      <c r="K35" s="246"/>
      <c r="L35"/>
      <c r="M35" s="14"/>
      <c r="N35" s="299"/>
      <c r="O35" s="281"/>
      <c r="P35" s="36" t="str">
        <f ca="1">IFERROR(+IF(P$27=ProposalToGnatt[[#This Row],[Start Date]],Milestone_Marker,IF(AND(P$27&gt;ProposalToGnatt[[#This Row],[Start Date]],P$27&lt;ProposalToGnatt[[#This Row],[Start Date]]+ProposalToGnatt[[#This Row],[Days]]),$G$5,"")),"")</f>
        <v/>
      </c>
      <c r="Q35" s="36" t="str">
        <f ca="1">IFERROR(+IF(Q$27=ProposalToGnatt[[#This Row],[Start Date]],Milestone_Marker,IF(AND(Q$27&gt;ProposalToGnatt[[#This Row],[Start Date]],Q$27&lt;ProposalToGnatt[[#This Row],[Start Date]]+ProposalToGnatt[[#This Row],[Days]]),$G$5,"")),"")</f>
        <v/>
      </c>
      <c r="R35" s="36" t="str">
        <f ca="1">IFERROR(+IF(R$27=ProposalToGnatt[[#This Row],[Start Date]],Milestone_Marker,IF(AND(R$27&gt;ProposalToGnatt[[#This Row],[Start Date]],R$27&lt;ProposalToGnatt[[#This Row],[Start Date]]+ProposalToGnatt[[#This Row],[Days]]),$G$5,"")),"")</f>
        <v/>
      </c>
      <c r="S35" s="36" t="str">
        <f ca="1">IFERROR(+IF(S$27=ProposalToGnatt[[#This Row],[Start Date]],Milestone_Marker,IF(AND(S$27&gt;ProposalToGnatt[[#This Row],[Start Date]],S$27&lt;ProposalToGnatt[[#This Row],[Start Date]]+ProposalToGnatt[[#This Row],[Days]]),$G$5,"")),"")</f>
        <v/>
      </c>
      <c r="T35" s="36" t="str">
        <f ca="1">IFERROR(+IF(T$27=ProposalToGnatt[[#This Row],[Start Date]],Milestone_Marker,IF(AND(T$27&gt;ProposalToGnatt[[#This Row],[Start Date]],T$27&lt;ProposalToGnatt[[#This Row],[Start Date]]+ProposalToGnatt[[#This Row],[Days]]),$G$5,"")),"")</f>
        <v/>
      </c>
      <c r="U35" s="36" t="str">
        <f ca="1">IFERROR(+IF(U$27=ProposalToGnatt[[#This Row],[Start Date]],Milestone_Marker,IF(AND(U$27&gt;ProposalToGnatt[[#This Row],[Start Date]],U$27&lt;ProposalToGnatt[[#This Row],[Start Date]]+ProposalToGnatt[[#This Row],[Days]]),$G$5,"")),"")</f>
        <v/>
      </c>
      <c r="V35" s="36" t="str">
        <f ca="1">IFERROR(+IF(V$27=ProposalToGnatt[[#This Row],[Start Date]],Milestone_Marker,IF(AND(V$27&gt;ProposalToGnatt[[#This Row],[Start Date]],V$27&lt;ProposalToGnatt[[#This Row],[Start Date]]+ProposalToGnatt[[#This Row],[Days]]),$G$5,"")),"")</f>
        <v/>
      </c>
      <c r="W35" s="36" t="str">
        <f ca="1">IFERROR(+IF(W$27=ProposalToGnatt[[#This Row],[Start Date]],Milestone_Marker,IF(AND(W$27&gt;ProposalToGnatt[[#This Row],[Start Date]],W$27&lt;ProposalToGnatt[[#This Row],[Start Date]]+ProposalToGnatt[[#This Row],[Days]]),$G$5,"")),"")</f>
        <v/>
      </c>
      <c r="X35" s="36" t="str">
        <f ca="1">IFERROR(+IF(X$27=ProposalToGnatt[[#This Row],[Start Date]],Milestone_Marker,IF(AND(X$27&gt;ProposalToGnatt[[#This Row],[Start Date]],X$27&lt;ProposalToGnatt[[#This Row],[Start Date]]+ProposalToGnatt[[#This Row],[Days]]),$G$5,"")),"")</f>
        <v/>
      </c>
      <c r="Y35" s="36" t="str">
        <f ca="1">IFERROR(+IF(Y$27=ProposalToGnatt[[#This Row],[Start Date]],Milestone_Marker,IF(AND(Y$27&gt;ProposalToGnatt[[#This Row],[Start Date]],Y$27&lt;ProposalToGnatt[[#This Row],[Start Date]]+ProposalToGnatt[[#This Row],[Days]]),$G$5,"")),"")</f>
        <v/>
      </c>
      <c r="Z35" s="36" t="str">
        <f ca="1">IFERROR(+IF(Z$27=ProposalToGnatt[[#This Row],[Start Date]],Milestone_Marker,IF(AND(Z$27&gt;ProposalToGnatt[[#This Row],[Start Date]],Z$27&lt;ProposalToGnatt[[#This Row],[Start Date]]+ProposalToGnatt[[#This Row],[Days]]),$G$5,"")),"")</f>
        <v/>
      </c>
      <c r="AA35" s="36" t="str">
        <f ca="1">IFERROR(+IF(AA$27=ProposalToGnatt[[#This Row],[Start Date]],Milestone_Marker,IF(AND(AA$27&gt;ProposalToGnatt[[#This Row],[Start Date]],AA$27&lt;ProposalToGnatt[[#This Row],[Start Date]]+ProposalToGnatt[[#This Row],[Days]]),$G$5,"")),"")</f>
        <v/>
      </c>
      <c r="AB35" s="36" t="str">
        <f ca="1">IFERROR(+IF(AB$27=ProposalToGnatt[[#This Row],[Start Date]],Milestone_Marker,IF(AND(AB$27&gt;ProposalToGnatt[[#This Row],[Start Date]],AB$27&lt;ProposalToGnatt[[#This Row],[Start Date]]+ProposalToGnatt[[#This Row],[Days]]),$G$5,"")),"")</f>
        <v/>
      </c>
      <c r="AC35" s="36" t="str">
        <f ca="1">IFERROR(+IF(AC$27=ProposalToGnatt[[#This Row],[Start Date]],Milestone_Marker,IF(AND(AC$27&gt;ProposalToGnatt[[#This Row],[Start Date]],AC$27&lt;ProposalToGnatt[[#This Row],[Start Date]]+ProposalToGnatt[[#This Row],[Days]]),$G$5,"")),"")</f>
        <v/>
      </c>
      <c r="AD35" s="36" t="str">
        <f ca="1">IFERROR(+IF(AD$27=ProposalToGnatt[[#This Row],[Start Date]],Milestone_Marker,IF(AND(AD$27&gt;ProposalToGnatt[[#This Row],[Start Date]],AD$27&lt;ProposalToGnatt[[#This Row],[Start Date]]+ProposalToGnatt[[#This Row],[Days]]),$G$5,"")),"")</f>
        <v/>
      </c>
      <c r="AE35" s="36" t="str">
        <f ca="1">IFERROR(+IF(AE$27=ProposalToGnatt[[#This Row],[Start Date]],Milestone_Marker,IF(AND(AE$27&gt;ProposalToGnatt[[#This Row],[Start Date]],AE$27&lt;ProposalToGnatt[[#This Row],[Start Date]]+ProposalToGnatt[[#This Row],[Days]]),$G$5,"")),"")</f>
        <v/>
      </c>
      <c r="AF35" s="36" t="str">
        <f ca="1">IFERROR(+IF(AF$27=ProposalToGnatt[[#This Row],[Start Date]],Milestone_Marker,IF(AND(AF$27&gt;ProposalToGnatt[[#This Row],[Start Date]],AF$27&lt;ProposalToGnatt[[#This Row],[Start Date]]+ProposalToGnatt[[#This Row],[Days]]),$G$5,"")),"")</f>
        <v/>
      </c>
      <c r="AG35" s="36" t="str">
        <f ca="1">IFERROR(+IF(AG$27=ProposalToGnatt[[#This Row],[Start Date]],Milestone_Marker,IF(AND(AG$27&gt;ProposalToGnatt[[#This Row],[Start Date]],AG$27&lt;ProposalToGnatt[[#This Row],[Start Date]]+ProposalToGnatt[[#This Row],[Days]]),$G$5,"")),"")</f>
        <v/>
      </c>
      <c r="AH35" s="36" t="str">
        <f ca="1">IFERROR(+IF(AH$27=ProposalToGnatt[[#This Row],[Start Date]],Milestone_Marker,IF(AND(AH$27&gt;ProposalToGnatt[[#This Row],[Start Date]],AH$27&lt;ProposalToGnatt[[#This Row],[Start Date]]+ProposalToGnatt[[#This Row],[Days]]),$G$5,"")),"")</f>
        <v/>
      </c>
      <c r="AI35" s="36" t="str">
        <f ca="1">IFERROR(+IF(AI$27=ProposalToGnatt[[#This Row],[Start Date]],Milestone_Marker,IF(AND(AI$27&gt;ProposalToGnatt[[#This Row],[Start Date]],AI$27&lt;ProposalToGnatt[[#This Row],[Start Date]]+ProposalToGnatt[[#This Row],[Days]]),$G$5,"")),"")</f>
        <v/>
      </c>
      <c r="AJ35" s="36" t="str">
        <f ca="1">IFERROR(+IF(AJ$27=ProposalToGnatt[[#This Row],[Start Date]],Milestone_Marker,IF(AND(AJ$27&gt;ProposalToGnatt[[#This Row],[Start Date]],AJ$27&lt;ProposalToGnatt[[#This Row],[Start Date]]+ProposalToGnatt[[#This Row],[Days]]),$G$5,"")),"")</f>
        <v/>
      </c>
      <c r="AK35" s="36" t="str">
        <f ca="1">IFERROR(+IF(AK$27=ProposalToGnatt[[#This Row],[Start Date]],Milestone_Marker,IF(AND(AK$27&gt;ProposalToGnatt[[#This Row],[Start Date]],AK$27&lt;ProposalToGnatt[[#This Row],[Start Date]]+ProposalToGnatt[[#This Row],[Days]]),$G$5,"")),"")</f>
        <v/>
      </c>
      <c r="AL35" s="36" t="str">
        <f ca="1">IFERROR(+IF(AL$27=ProposalToGnatt[[#This Row],[Start Date]],Milestone_Marker,IF(AND(AL$27&gt;ProposalToGnatt[[#This Row],[Start Date]],AL$27&lt;ProposalToGnatt[[#This Row],[Start Date]]+ProposalToGnatt[[#This Row],[Days]]),$G$5,"")),"")</f>
        <v/>
      </c>
      <c r="AM35" s="36" t="str">
        <f ca="1">IFERROR(+IF(AM$27=ProposalToGnatt[[#This Row],[Start Date]],Milestone_Marker,IF(AND(AM$27&gt;ProposalToGnatt[[#This Row],[Start Date]],AM$27&lt;ProposalToGnatt[[#This Row],[Start Date]]+ProposalToGnatt[[#This Row],[Days]]),$G$5,"")),"")</f>
        <v/>
      </c>
      <c r="AN35" s="36" t="str">
        <f ca="1">IFERROR(+IF(AN$27=ProposalToGnatt[[#This Row],[Start Date]],Milestone_Marker,IF(AND(AN$27&gt;ProposalToGnatt[[#This Row],[Start Date]],AN$27&lt;ProposalToGnatt[[#This Row],[Start Date]]+ProposalToGnatt[[#This Row],[Days]]),$G$5,"")),"")</f>
        <v/>
      </c>
      <c r="AO35" s="36" t="str">
        <f ca="1">IFERROR(+IF(AO$27=ProposalToGnatt[[#This Row],[Start Date]],Milestone_Marker,IF(AND(AO$27&gt;ProposalToGnatt[[#This Row],[Start Date]],AO$27&lt;ProposalToGnatt[[#This Row],[Start Date]]+ProposalToGnatt[[#This Row],[Days]]),$G$5,"")),"")</f>
        <v/>
      </c>
      <c r="AP35" s="36" t="str">
        <f ca="1">IFERROR(+IF(AP$27=ProposalToGnatt[[#This Row],[Start Date]],Milestone_Marker,IF(AND(AP$27&gt;ProposalToGnatt[[#This Row],[Start Date]],AP$27&lt;ProposalToGnatt[[#This Row],[Start Date]]+ProposalToGnatt[[#This Row],[Days]]),$G$5,"")),"")</f>
        <v/>
      </c>
      <c r="AQ35" s="36" t="str">
        <f ca="1">IFERROR(+IF(AQ$27=ProposalToGnatt[[#This Row],[Start Date]],Milestone_Marker,IF(AND(AQ$27&gt;ProposalToGnatt[[#This Row],[Start Date]],AQ$27&lt;ProposalToGnatt[[#This Row],[Start Date]]+ProposalToGnatt[[#This Row],[Days]]),$G$5,"")),"")</f>
        <v/>
      </c>
      <c r="AR35" s="36" t="str">
        <f ca="1">IFERROR(+IF(AR$27=ProposalToGnatt[[#This Row],[Start Date]],Milestone_Marker,IF(AND(AR$27&gt;ProposalToGnatt[[#This Row],[Start Date]],AR$27&lt;ProposalToGnatt[[#This Row],[Start Date]]+ProposalToGnatt[[#This Row],[Days]]),$G$5,"")),"")</f>
        <v/>
      </c>
      <c r="AS35" s="36" t="str">
        <f ca="1">IFERROR(+IF(AS$27=ProposalToGnatt[[#This Row],[Start Date]],Milestone_Marker,IF(AND(AS$27&gt;ProposalToGnatt[[#This Row],[Start Date]],AS$27&lt;ProposalToGnatt[[#This Row],[Start Date]]+ProposalToGnatt[[#This Row],[Days]]),$G$5,"")),"")</f>
        <v/>
      </c>
      <c r="AT35" s="36" t="str">
        <f ca="1">IFERROR(+IF(AT$27=ProposalToGnatt[[#This Row],[Start Date]],Milestone_Marker,IF(AND(AT$27&gt;ProposalToGnatt[[#This Row],[Start Date]],AT$27&lt;ProposalToGnatt[[#This Row],[Start Date]]+ProposalToGnatt[[#This Row],[Days]]),$G$5,"")),"")</f>
        <v/>
      </c>
      <c r="AU35" s="36" t="str">
        <f ca="1">IFERROR(+IF(AU$27=ProposalToGnatt[[#This Row],[Start Date]],Milestone_Marker,IF(AND(AU$27&gt;ProposalToGnatt[[#This Row],[Start Date]],AU$27&lt;ProposalToGnatt[[#This Row],[Start Date]]+ProposalToGnatt[[#This Row],[Days]]),$G$5,"")),"")</f>
        <v/>
      </c>
      <c r="AV35" s="36" t="str">
        <f ca="1">IFERROR(+IF(AV$27=ProposalToGnatt[[#This Row],[Start Date]],Milestone_Marker,IF(AND(AV$27&gt;ProposalToGnatt[[#This Row],[Start Date]],AV$27&lt;ProposalToGnatt[[#This Row],[Start Date]]+ProposalToGnatt[[#This Row],[Days]]),$G$5,"")),"")</f>
        <v/>
      </c>
      <c r="AW35" s="36" t="str">
        <f ca="1">IFERROR(+IF(AW$27=ProposalToGnatt[[#This Row],[Start Date]],Milestone_Marker,IF(AND(AW$27&gt;ProposalToGnatt[[#This Row],[Start Date]],AW$27&lt;ProposalToGnatt[[#This Row],[Start Date]]+ProposalToGnatt[[#This Row],[Days]]),$G$5,"")),"")</f>
        <v/>
      </c>
      <c r="AX35" s="36" t="str">
        <f ca="1">IFERROR(+IF(AX$27=ProposalToGnatt[[#This Row],[Start Date]],Milestone_Marker,IF(AND(AX$27&gt;ProposalToGnatt[[#This Row],[Start Date]],AX$27&lt;ProposalToGnatt[[#This Row],[Start Date]]+ProposalToGnatt[[#This Row],[Days]]),$G$5,"")),"")</f>
        <v/>
      </c>
      <c r="AY35" s="36" t="str">
        <f ca="1">IFERROR(+IF(AY$27=ProposalToGnatt[[#This Row],[Start Date]],Milestone_Marker,IF(AND(AY$27&gt;ProposalToGnatt[[#This Row],[Start Date]],AY$27&lt;ProposalToGnatt[[#This Row],[Start Date]]+ProposalToGnatt[[#This Row],[Days]]),$G$5,"")),"")</f>
        <v/>
      </c>
      <c r="AZ35" s="36" t="str">
        <f ca="1">IFERROR(+IF(AZ$27=ProposalToGnatt[[#This Row],[Start Date]],Milestone_Marker,IF(AND(AZ$27&gt;ProposalToGnatt[[#This Row],[Start Date]],AZ$27&lt;ProposalToGnatt[[#This Row],[Start Date]]+ProposalToGnatt[[#This Row],[Days]]),$G$5,"")),"")</f>
        <v/>
      </c>
      <c r="BA35" s="36" t="str">
        <f ca="1">IFERROR(+IF(BA$27=ProposalToGnatt[[#This Row],[Start Date]],Milestone_Marker,IF(AND(BA$27&gt;ProposalToGnatt[[#This Row],[Start Date]],BA$27&lt;ProposalToGnatt[[#This Row],[Start Date]]+ProposalToGnatt[[#This Row],[Days]]),$G$5,"")),"")</f>
        <v/>
      </c>
      <c r="BB35" s="36" t="str">
        <f ca="1">IFERROR(+IF(BB$27=ProposalToGnatt[[#This Row],[Start Date]],Milestone_Marker,IF(AND(BB$27&gt;ProposalToGnatt[[#This Row],[Start Date]],BB$27&lt;ProposalToGnatt[[#This Row],[Start Date]]+ProposalToGnatt[[#This Row],[Days]]),$G$5,"")),"")</f>
        <v/>
      </c>
      <c r="BC35" s="36" t="str">
        <f ca="1">IFERROR(+IF(BC$27=ProposalToGnatt[[#This Row],[Start Date]],Milestone_Marker,IF(AND(BC$27&gt;ProposalToGnatt[[#This Row],[Start Date]],BC$27&lt;ProposalToGnatt[[#This Row],[Start Date]]+ProposalToGnatt[[#This Row],[Days]]),$G$5,"")),"")</f>
        <v/>
      </c>
      <c r="BD35" s="36" t="str">
        <f ca="1">IFERROR(+IF(BD$27=ProposalToGnatt[[#This Row],[Start Date]],Milestone_Marker,IF(AND(BD$27&gt;ProposalToGnatt[[#This Row],[Start Date]],BD$27&lt;ProposalToGnatt[[#This Row],[Start Date]]+ProposalToGnatt[[#This Row],[Days]]),$G$5,"")),"")</f>
        <v/>
      </c>
      <c r="BE35" s="36" t="str">
        <f ca="1">IFERROR(+IF(BE$27=ProposalToGnatt[[#This Row],[Start Date]],Milestone_Marker,IF(AND(BE$27&gt;ProposalToGnatt[[#This Row],[Start Date]],BE$27&lt;ProposalToGnatt[[#This Row],[Start Date]]+ProposalToGnatt[[#This Row],[Days]]),$G$5,"")),"")</f>
        <v/>
      </c>
      <c r="BF35" s="36" t="str">
        <f ca="1">IFERROR(+IF(BF$27=ProposalToGnatt[[#This Row],[Start Date]],Milestone_Marker,IF(AND(BF$27&gt;ProposalToGnatt[[#This Row],[Start Date]],BF$27&lt;ProposalToGnatt[[#This Row],[Start Date]]+ProposalToGnatt[[#This Row],[Days]]),$G$5,"")),"")</f>
        <v/>
      </c>
      <c r="BG35" s="36" t="str">
        <f ca="1">IFERROR(+IF(BG$27=ProposalToGnatt[[#This Row],[Start Date]],Milestone_Marker,IF(AND(BG$27&gt;ProposalToGnatt[[#This Row],[Start Date]],BG$27&lt;ProposalToGnatt[[#This Row],[Start Date]]+ProposalToGnatt[[#This Row],[Days]]),$G$5,"")),"")</f>
        <v/>
      </c>
      <c r="BH35" s="36" t="str">
        <f ca="1">IFERROR(+IF(BH$27=ProposalToGnatt[[#This Row],[Start Date]],Milestone_Marker,IF(AND(BH$27&gt;ProposalToGnatt[[#This Row],[Start Date]],BH$27&lt;ProposalToGnatt[[#This Row],[Start Date]]+ProposalToGnatt[[#This Row],[Days]]),$G$5,"")),"")</f>
        <v/>
      </c>
      <c r="BI35" s="36" t="str">
        <f ca="1">IFERROR(+IF(BI$27=ProposalToGnatt[[#This Row],[Start Date]],Milestone_Marker,IF(AND(BI$27&gt;ProposalToGnatt[[#This Row],[Start Date]],BI$27&lt;ProposalToGnatt[[#This Row],[Start Date]]+ProposalToGnatt[[#This Row],[Days]]),$G$5,"")),"")</f>
        <v/>
      </c>
      <c r="BJ35" s="36" t="str">
        <f ca="1">IFERROR(+IF(BJ$27=ProposalToGnatt[[#This Row],[Start Date]],Milestone_Marker,IF(AND(BJ$27&gt;ProposalToGnatt[[#This Row],[Start Date]],BJ$27&lt;ProposalToGnatt[[#This Row],[Start Date]]+ProposalToGnatt[[#This Row],[Days]]),$G$5,"")),"")</f>
        <v/>
      </c>
      <c r="BK35" s="36" t="str">
        <f ca="1">IFERROR(+IF(BK$27=ProposalToGnatt[[#This Row],[Start Date]],Milestone_Marker,IF(AND(BK$27&gt;ProposalToGnatt[[#This Row],[Start Date]],BK$27&lt;ProposalToGnatt[[#This Row],[Start Date]]+ProposalToGnatt[[#This Row],[Days]]),$G$5,"")),"")</f>
        <v/>
      </c>
      <c r="BL35" s="36" t="str">
        <f ca="1">IFERROR(+IF(BL$27=ProposalToGnatt[[#This Row],[Start Date]],Milestone_Marker,IF(AND(BL$27&gt;ProposalToGnatt[[#This Row],[Start Date]],BL$27&lt;ProposalToGnatt[[#This Row],[Start Date]]+ProposalToGnatt[[#This Row],[Days]]),$G$5,"")),"")</f>
        <v/>
      </c>
      <c r="BM35" s="36" t="str">
        <f ca="1">IFERROR(+IF(BM$27=ProposalToGnatt[[#This Row],[Start Date]],Milestone_Marker,IF(AND(BM$27&gt;ProposalToGnatt[[#This Row],[Start Date]],BM$27&lt;ProposalToGnatt[[#This Row],[Start Date]]+ProposalToGnatt[[#This Row],[Days]]),$G$5,"")),"")</f>
        <v/>
      </c>
      <c r="BN35" s="36" t="str">
        <f ca="1">IFERROR(+IF(BN$27=ProposalToGnatt[[#This Row],[Start Date]],Milestone_Marker,IF(AND(BN$27&gt;ProposalToGnatt[[#This Row],[Start Date]],BN$27&lt;ProposalToGnatt[[#This Row],[Start Date]]+ProposalToGnatt[[#This Row],[Days]]),$G$5,"")),"")</f>
        <v/>
      </c>
      <c r="BO35" s="36" t="str">
        <f ca="1">IFERROR(+IF(BO$27=ProposalToGnatt[[#This Row],[Start Date]],Milestone_Marker,IF(AND(BO$27&gt;ProposalToGnatt[[#This Row],[Start Date]],BO$27&lt;ProposalToGnatt[[#This Row],[Start Date]]+ProposalToGnatt[[#This Row],[Days]]),$G$5,"")),"")</f>
        <v/>
      </c>
      <c r="BP35" s="36" t="str">
        <f ca="1">IFERROR(+IF(BP$27=ProposalToGnatt[[#This Row],[Start Date]],Milestone_Marker,IF(AND(BP$27&gt;ProposalToGnatt[[#This Row],[Start Date]],BP$27&lt;ProposalToGnatt[[#This Row],[Start Date]]+ProposalToGnatt[[#This Row],[Days]]),$G$5,"")),"")</f>
        <v/>
      </c>
      <c r="BQ35" s="36" t="str">
        <f ca="1">IFERROR(+IF(BQ$27=ProposalToGnatt[[#This Row],[Start Date]],Milestone_Marker,IF(AND(BQ$27&gt;ProposalToGnatt[[#This Row],[Start Date]],BQ$27&lt;ProposalToGnatt[[#This Row],[Start Date]]+ProposalToGnatt[[#This Row],[Days]]),$G$5,"")),"")</f>
        <v/>
      </c>
      <c r="BR35" s="36" t="str">
        <f ca="1">IFERROR(+IF(BR$27=ProposalToGnatt[[#This Row],[Start Date]],Milestone_Marker,IF(AND(BR$27&gt;ProposalToGnatt[[#This Row],[Start Date]],BR$27&lt;ProposalToGnatt[[#This Row],[Start Date]]+ProposalToGnatt[[#This Row],[Days]]),$G$5,"")),"")</f>
        <v/>
      </c>
      <c r="BS35" s="36" t="str">
        <f ca="1">IFERROR(+IF(BS$27=ProposalToGnatt[[#This Row],[Start Date]],Milestone_Marker,IF(AND(BS$27&gt;ProposalToGnatt[[#This Row],[Start Date]],BS$27&lt;ProposalToGnatt[[#This Row],[Start Date]]+ProposalToGnatt[[#This Row],[Days]]),$G$5,"")),"")</f>
        <v/>
      </c>
      <c r="BT35" s="36" t="str">
        <f ca="1">IFERROR(+IF(BT$27=ProposalToGnatt[[#This Row],[Start Date]],Milestone_Marker,IF(AND(BT$27&gt;ProposalToGnatt[[#This Row],[Start Date]],BT$27&lt;ProposalToGnatt[[#This Row],[Start Date]]+ProposalToGnatt[[#This Row],[Days]]),$G$5,"")),"")</f>
        <v/>
      </c>
      <c r="BU35" s="36" t="str">
        <f ca="1">IFERROR(+IF(BU$27=ProposalToGnatt[[#This Row],[Start Date]],Milestone_Marker,IF(AND(BU$27&gt;ProposalToGnatt[[#This Row],[Start Date]],BU$27&lt;ProposalToGnatt[[#This Row],[Start Date]]+ProposalToGnatt[[#This Row],[Days]]),$G$5,"")),"")</f>
        <v/>
      </c>
      <c r="BV35" s="36" t="str">
        <f ca="1">IFERROR(+IF(BV$27=ProposalToGnatt[[#This Row],[Start Date]],Milestone_Marker,IF(AND(BV$27&gt;ProposalToGnatt[[#This Row],[Start Date]],BV$27&lt;ProposalToGnatt[[#This Row],[Start Date]]+ProposalToGnatt[[#This Row],[Days]]),$G$5,"")),"")</f>
        <v/>
      </c>
      <c r="BW35" s="36" t="str">
        <f ca="1">IFERROR(+IF(BW$27=ProposalToGnatt[[#This Row],[Start Date]],Milestone_Marker,IF(AND(BW$27&gt;ProposalToGnatt[[#This Row],[Start Date]],BW$27&lt;ProposalToGnatt[[#This Row],[Start Date]]+ProposalToGnatt[[#This Row],[Days]]),$G$5,"")),"")</f>
        <v/>
      </c>
      <c r="BX35" s="36" t="str">
        <f ca="1">IFERROR(+IF(BX$27=ProposalToGnatt[[#This Row],[Start Date]],Milestone_Marker,IF(AND(BX$27&gt;ProposalToGnatt[[#This Row],[Start Date]],BX$27&lt;ProposalToGnatt[[#This Row],[Start Date]]+ProposalToGnatt[[#This Row],[Days]]),$G$5,"")),"")</f>
        <v/>
      </c>
      <c r="BY35" s="36" t="str">
        <f ca="1">IFERROR(+IF(BY$27=ProposalToGnatt[[#This Row],[Start Date]],Milestone_Marker,IF(AND(BY$27&gt;ProposalToGnatt[[#This Row],[Start Date]],BY$27&lt;ProposalToGnatt[[#This Row],[Start Date]]+ProposalToGnatt[[#This Row],[Days]]),$G$5,"")),"")</f>
        <v/>
      </c>
      <c r="BZ35" s="36" t="str">
        <f ca="1">IFERROR(+IF(BZ$27=ProposalToGnatt[[#This Row],[Start Date]],Milestone_Marker,IF(AND(BZ$27&gt;ProposalToGnatt[[#This Row],[Start Date]],BZ$27&lt;ProposalToGnatt[[#This Row],[Start Date]]+ProposalToGnatt[[#This Row],[Days]]),$G$5,"")),"")</f>
        <v/>
      </c>
      <c r="CA35" s="36" t="str">
        <f ca="1">IFERROR(+IF(CA$27=ProposalToGnatt[[#This Row],[Start Date]],Milestone_Marker,IF(AND(CA$27&gt;ProposalToGnatt[[#This Row],[Start Date]],CA$27&lt;ProposalToGnatt[[#This Row],[Start Date]]+ProposalToGnatt[[#This Row],[Days]]),$G$5,"")),"")</f>
        <v/>
      </c>
      <c r="CB35" s="36" t="str">
        <f ca="1">IFERROR(+IF(CB$27=ProposalToGnatt[[#This Row],[Start Date]],Milestone_Marker,IF(AND(CB$27&gt;ProposalToGnatt[[#This Row],[Start Date]],CB$27&lt;ProposalToGnatt[[#This Row],[Start Date]]+ProposalToGnatt[[#This Row],[Days]]),$G$5,"")),"")</f>
        <v/>
      </c>
      <c r="CC35" s="36" t="str">
        <f ca="1">IFERROR(+IF(CC$27=ProposalToGnatt[[#This Row],[Start Date]],Milestone_Marker,IF(AND(CC$27&gt;ProposalToGnatt[[#This Row],[Start Date]],CC$27&lt;ProposalToGnatt[[#This Row],[Start Date]]+ProposalToGnatt[[#This Row],[Days]]),$G$5,"")),"")</f>
        <v/>
      </c>
      <c r="CD35" s="36" t="str">
        <f ca="1">IFERROR(+IF(CD$27=ProposalToGnatt[[#This Row],[Start Date]],Milestone_Marker,IF(AND(CD$27&gt;ProposalToGnatt[[#This Row],[Start Date]],CD$27&lt;ProposalToGnatt[[#This Row],[Start Date]]+ProposalToGnatt[[#This Row],[Days]]),$G$5,"")),"")</f>
        <v/>
      </c>
      <c r="CE35" s="36" t="str">
        <f ca="1">IFERROR(+IF(CE$27=ProposalToGnatt[[#This Row],[Start Date]],Milestone_Marker,IF(AND(CE$27&gt;ProposalToGnatt[[#This Row],[Start Date]],CE$27&lt;ProposalToGnatt[[#This Row],[Start Date]]+ProposalToGnatt[[#This Row],[Days]]),$G$5,"")),"")</f>
        <v/>
      </c>
      <c r="CF35" s="36" t="str">
        <f ca="1">IFERROR(+IF(CF$27=ProposalToGnatt[[#This Row],[Start Date]],Milestone_Marker,IF(AND(CF$27&gt;ProposalToGnatt[[#This Row],[Start Date]],CF$27&lt;ProposalToGnatt[[#This Row],[Start Date]]+ProposalToGnatt[[#This Row],[Days]]),$G$5,"")),"")</f>
        <v/>
      </c>
      <c r="CG35" s="36" t="str">
        <f ca="1">IFERROR(+IF(CG$27=ProposalToGnatt[[#This Row],[Start Date]],Milestone_Marker,IF(AND(CG$27&gt;ProposalToGnatt[[#This Row],[Start Date]],CG$27&lt;ProposalToGnatt[[#This Row],[Start Date]]+ProposalToGnatt[[#This Row],[Days]]),$G$5,"")),"")</f>
        <v/>
      </c>
      <c r="CH35" s="36" t="str">
        <f ca="1">IFERROR(+IF(CH$27=ProposalToGnatt[[#This Row],[Start Date]],Milestone_Marker,IF(AND(CH$27&gt;ProposalToGnatt[[#This Row],[Start Date]],CH$27&lt;ProposalToGnatt[[#This Row],[Start Date]]+ProposalToGnatt[[#This Row],[Days]]),$G$5,"")),"")</f>
        <v/>
      </c>
      <c r="CI35" s="36" t="str">
        <f ca="1">IFERROR(+IF(CI$27=ProposalToGnatt[[#This Row],[Start Date]],Milestone_Marker,IF(AND(CI$27&gt;ProposalToGnatt[[#This Row],[Start Date]],CI$27&lt;ProposalToGnatt[[#This Row],[Start Date]]+ProposalToGnatt[[#This Row],[Days]]),$G$5,"")),"")</f>
        <v/>
      </c>
      <c r="CJ35" s="36" t="str">
        <f ca="1">IFERROR(+IF(CJ$27=ProposalToGnatt[[#This Row],[Start Date]],Milestone_Marker,IF(AND(CJ$27&gt;ProposalToGnatt[[#This Row],[Start Date]],CJ$27&lt;ProposalToGnatt[[#This Row],[Start Date]]+ProposalToGnatt[[#This Row],[Days]]),$G$5,"")),"")</f>
        <v/>
      </c>
      <c r="CK35" s="36" t="str">
        <f ca="1">IFERROR(+IF(CK$27=ProposalToGnatt[[#This Row],[Start Date]],Milestone_Marker,IF(AND(CK$27&gt;ProposalToGnatt[[#This Row],[Start Date]],CK$27&lt;ProposalToGnatt[[#This Row],[Start Date]]+ProposalToGnatt[[#This Row],[Days]]),$G$5,"")),"")</f>
        <v/>
      </c>
      <c r="CL35" s="36" t="str">
        <f ca="1">IFERROR(+IF(CL$27=ProposalToGnatt[[#This Row],[Start Date]],Milestone_Marker,IF(AND(CL$27&gt;ProposalToGnatt[[#This Row],[Start Date]],CL$27&lt;ProposalToGnatt[[#This Row],[Start Date]]+ProposalToGnatt[[#This Row],[Days]]),$G$5,"")),"")</f>
        <v/>
      </c>
      <c r="CM35" s="36" t="str">
        <f ca="1">IFERROR(+IF(CM$27=ProposalToGnatt[[#This Row],[Start Date]],Milestone_Marker,IF(AND(CM$27&gt;ProposalToGnatt[[#This Row],[Start Date]],CM$27&lt;ProposalToGnatt[[#This Row],[Start Date]]+ProposalToGnatt[[#This Row],[Days]]),$G$5,"")),"")</f>
        <v/>
      </c>
      <c r="CN35" s="36" t="str">
        <f ca="1">IFERROR(+IF(CN$27=ProposalToGnatt[[#This Row],[Start Date]],Milestone_Marker,IF(AND(CN$27&gt;ProposalToGnatt[[#This Row],[Start Date]],CN$27&lt;ProposalToGnatt[[#This Row],[Start Date]]+ProposalToGnatt[[#This Row],[Days]]),$G$5,"")),"")</f>
        <v/>
      </c>
      <c r="CO35" s="36" t="str">
        <f ca="1">IFERROR(+IF(CO$27=ProposalToGnatt[[#This Row],[Start Date]],Milestone_Marker,IF(AND(CO$27&gt;ProposalToGnatt[[#This Row],[Start Date]],CO$27&lt;ProposalToGnatt[[#This Row],[Start Date]]+ProposalToGnatt[[#This Row],[Days]]),$G$5,"")),"")</f>
        <v/>
      </c>
      <c r="CP35" s="36" t="str">
        <f ca="1">IFERROR(+IF(CP$27=ProposalToGnatt[[#This Row],[Start Date]],Milestone_Marker,IF(AND(CP$27&gt;ProposalToGnatt[[#This Row],[Start Date]],CP$27&lt;ProposalToGnatt[[#This Row],[Start Date]]+ProposalToGnatt[[#This Row],[Days]]),$G$5,"")),"")</f>
        <v/>
      </c>
      <c r="CQ35" s="36" t="str">
        <f ca="1">IFERROR(+IF(CQ$27=ProposalToGnatt[[#This Row],[Start Date]],Milestone_Marker,IF(AND(CQ$27&gt;ProposalToGnatt[[#This Row],[Start Date]],CQ$27&lt;ProposalToGnatt[[#This Row],[Start Date]]+ProposalToGnatt[[#This Row],[Days]]),$G$5,"")),"")</f>
        <v/>
      </c>
      <c r="CR35" s="36" t="str">
        <f ca="1">IFERROR(+IF(CR$27=ProposalToGnatt[[#This Row],[Start Date]],Milestone_Marker,IF(AND(CR$27&gt;ProposalToGnatt[[#This Row],[Start Date]],CR$27&lt;ProposalToGnatt[[#This Row],[Start Date]]+ProposalToGnatt[[#This Row],[Days]]),$G$5,"")),"")</f>
        <v/>
      </c>
      <c r="CS35" s="36" t="str">
        <f ca="1">IFERROR(+IF(CS$27=ProposalToGnatt[[#This Row],[Start Date]],Milestone_Marker,IF(AND(CS$27&gt;ProposalToGnatt[[#This Row],[Start Date]],CS$27&lt;ProposalToGnatt[[#This Row],[Start Date]]+ProposalToGnatt[[#This Row],[Days]]),$G$5,"")),"")</f>
        <v/>
      </c>
      <c r="CT35" s="36" t="str">
        <f ca="1">IFERROR(+IF(CT$27=ProposalToGnatt[[#This Row],[Start Date]],Milestone_Marker,IF(AND(CT$27&gt;ProposalToGnatt[[#This Row],[Start Date]],CT$27&lt;ProposalToGnatt[[#This Row],[Start Date]]+ProposalToGnatt[[#This Row],[Days]]),$G$5,"")),"")</f>
        <v/>
      </c>
      <c r="CU35" s="36" t="str">
        <f ca="1">IFERROR(+IF(CU$27=ProposalToGnatt[[#This Row],[Start Date]],Milestone_Marker,IF(AND(CU$27&gt;ProposalToGnatt[[#This Row],[Start Date]],CU$27&lt;ProposalToGnatt[[#This Row],[Start Date]]+ProposalToGnatt[[#This Row],[Days]]),$G$5,"")),"")</f>
        <v/>
      </c>
      <c r="CV35" s="36"/>
      <c r="CW35" s="36"/>
      <c r="CX35" s="36"/>
      <c r="CY35" s="36"/>
      <c r="CZ35" s="36"/>
      <c r="DA35" s="36"/>
      <c r="DB35" s="36"/>
      <c r="DC35" s="36"/>
      <c r="DD35" s="36"/>
      <c r="DE35" s="36"/>
      <c r="DF35" s="36"/>
      <c r="DG35" s="36"/>
      <c r="DH35" s="36"/>
      <c r="DI35" s="36"/>
      <c r="DJ35" s="36"/>
      <c r="DK35" s="36"/>
      <c r="DL35" s="36"/>
      <c r="DM35" s="36"/>
      <c r="DN35" s="36"/>
      <c r="DO35" s="36"/>
      <c r="DP35" s="36"/>
      <c r="DQ35" s="36"/>
      <c r="DR35" s="36"/>
      <c r="DS35" s="36"/>
      <c r="DT35" s="36"/>
      <c r="DU35" s="36"/>
    </row>
    <row r="36" spans="1:125" s="41" customFormat="1" ht="20.100000000000001" customHeight="1" x14ac:dyDescent="0.25">
      <c r="A36" t="s">
        <v>545</v>
      </c>
      <c r="B36">
        <v>9</v>
      </c>
      <c r="C36" t="s">
        <v>213</v>
      </c>
      <c r="D36" t="s">
        <v>208</v>
      </c>
      <c r="E36" t="s">
        <v>549</v>
      </c>
      <c r="F36">
        <v>0</v>
      </c>
      <c r="G36" s="14">
        <v>0</v>
      </c>
      <c r="H36" s="14">
        <v>0</v>
      </c>
      <c r="I36"/>
      <c r="J36"/>
      <c r="K36" s="246"/>
      <c r="L36"/>
      <c r="M36" s="14"/>
      <c r="N36" s="299"/>
      <c r="O36" s="281"/>
      <c r="P36" s="36" t="str">
        <f ca="1">IFERROR(+IF(P$27=ProposalToGnatt[[#This Row],[Start Date]],Milestone_Marker,IF(AND(P$27&gt;ProposalToGnatt[[#This Row],[Start Date]],P$27&lt;ProposalToGnatt[[#This Row],[Start Date]]+ProposalToGnatt[[#This Row],[Days]]),$G$5,"")),"")</f>
        <v/>
      </c>
      <c r="Q36" s="36" t="str">
        <f ca="1">IFERROR(+IF(Q$27=ProposalToGnatt[[#This Row],[Start Date]],Milestone_Marker,IF(AND(Q$27&gt;ProposalToGnatt[[#This Row],[Start Date]],Q$27&lt;ProposalToGnatt[[#This Row],[Start Date]]+ProposalToGnatt[[#This Row],[Days]]),$G$5,"")),"")</f>
        <v/>
      </c>
      <c r="R36" s="36" t="str">
        <f ca="1">IFERROR(+IF(R$27=ProposalToGnatt[[#This Row],[Start Date]],Milestone_Marker,IF(AND(R$27&gt;ProposalToGnatt[[#This Row],[Start Date]],R$27&lt;ProposalToGnatt[[#This Row],[Start Date]]+ProposalToGnatt[[#This Row],[Days]]),$G$5,"")),"")</f>
        <v/>
      </c>
      <c r="S36" s="36" t="str">
        <f ca="1">IFERROR(+IF(S$27=ProposalToGnatt[[#This Row],[Start Date]],Milestone_Marker,IF(AND(S$27&gt;ProposalToGnatt[[#This Row],[Start Date]],S$27&lt;ProposalToGnatt[[#This Row],[Start Date]]+ProposalToGnatt[[#This Row],[Days]]),$G$5,"")),"")</f>
        <v/>
      </c>
      <c r="T36" s="36" t="str">
        <f ca="1">IFERROR(+IF(T$27=ProposalToGnatt[[#This Row],[Start Date]],Milestone_Marker,IF(AND(T$27&gt;ProposalToGnatt[[#This Row],[Start Date]],T$27&lt;ProposalToGnatt[[#This Row],[Start Date]]+ProposalToGnatt[[#This Row],[Days]]),$G$5,"")),"")</f>
        <v/>
      </c>
      <c r="U36" s="36" t="str">
        <f ca="1">IFERROR(+IF(U$27=ProposalToGnatt[[#This Row],[Start Date]],Milestone_Marker,IF(AND(U$27&gt;ProposalToGnatt[[#This Row],[Start Date]],U$27&lt;ProposalToGnatt[[#This Row],[Start Date]]+ProposalToGnatt[[#This Row],[Days]]),$G$5,"")),"")</f>
        <v/>
      </c>
      <c r="V36" s="36" t="str">
        <f ca="1">IFERROR(+IF(V$27=ProposalToGnatt[[#This Row],[Start Date]],Milestone_Marker,IF(AND(V$27&gt;ProposalToGnatt[[#This Row],[Start Date]],V$27&lt;ProposalToGnatt[[#This Row],[Start Date]]+ProposalToGnatt[[#This Row],[Days]]),$G$5,"")),"")</f>
        <v/>
      </c>
      <c r="W36" s="36" t="str">
        <f ca="1">IFERROR(+IF(W$27=ProposalToGnatt[[#This Row],[Start Date]],Milestone_Marker,IF(AND(W$27&gt;ProposalToGnatt[[#This Row],[Start Date]],W$27&lt;ProposalToGnatt[[#This Row],[Start Date]]+ProposalToGnatt[[#This Row],[Days]]),$G$5,"")),"")</f>
        <v/>
      </c>
      <c r="X36" s="36" t="str">
        <f ca="1">IFERROR(+IF(X$27=ProposalToGnatt[[#This Row],[Start Date]],Milestone_Marker,IF(AND(X$27&gt;ProposalToGnatt[[#This Row],[Start Date]],X$27&lt;ProposalToGnatt[[#This Row],[Start Date]]+ProposalToGnatt[[#This Row],[Days]]),$G$5,"")),"")</f>
        <v/>
      </c>
      <c r="Y36" s="36" t="str">
        <f ca="1">IFERROR(+IF(Y$27=ProposalToGnatt[[#This Row],[Start Date]],Milestone_Marker,IF(AND(Y$27&gt;ProposalToGnatt[[#This Row],[Start Date]],Y$27&lt;ProposalToGnatt[[#This Row],[Start Date]]+ProposalToGnatt[[#This Row],[Days]]),$G$5,"")),"")</f>
        <v/>
      </c>
      <c r="Z36" s="36" t="str">
        <f ca="1">IFERROR(+IF(Z$27=ProposalToGnatt[[#This Row],[Start Date]],Milestone_Marker,IF(AND(Z$27&gt;ProposalToGnatt[[#This Row],[Start Date]],Z$27&lt;ProposalToGnatt[[#This Row],[Start Date]]+ProposalToGnatt[[#This Row],[Days]]),$G$5,"")),"")</f>
        <v/>
      </c>
      <c r="AA36" s="36" t="str">
        <f ca="1">IFERROR(+IF(AA$27=ProposalToGnatt[[#This Row],[Start Date]],Milestone_Marker,IF(AND(AA$27&gt;ProposalToGnatt[[#This Row],[Start Date]],AA$27&lt;ProposalToGnatt[[#This Row],[Start Date]]+ProposalToGnatt[[#This Row],[Days]]),$G$5,"")),"")</f>
        <v/>
      </c>
      <c r="AB36" s="36" t="str">
        <f ca="1">IFERROR(+IF(AB$27=ProposalToGnatt[[#This Row],[Start Date]],Milestone_Marker,IF(AND(AB$27&gt;ProposalToGnatt[[#This Row],[Start Date]],AB$27&lt;ProposalToGnatt[[#This Row],[Start Date]]+ProposalToGnatt[[#This Row],[Days]]),$G$5,"")),"")</f>
        <v/>
      </c>
      <c r="AC36" s="36" t="str">
        <f ca="1">IFERROR(+IF(AC$27=ProposalToGnatt[[#This Row],[Start Date]],Milestone_Marker,IF(AND(AC$27&gt;ProposalToGnatt[[#This Row],[Start Date]],AC$27&lt;ProposalToGnatt[[#This Row],[Start Date]]+ProposalToGnatt[[#This Row],[Days]]),$G$5,"")),"")</f>
        <v/>
      </c>
      <c r="AD36" s="36" t="str">
        <f ca="1">IFERROR(+IF(AD$27=ProposalToGnatt[[#This Row],[Start Date]],Milestone_Marker,IF(AND(AD$27&gt;ProposalToGnatt[[#This Row],[Start Date]],AD$27&lt;ProposalToGnatt[[#This Row],[Start Date]]+ProposalToGnatt[[#This Row],[Days]]),$G$5,"")),"")</f>
        <v/>
      </c>
      <c r="AE36" s="36" t="str">
        <f ca="1">IFERROR(+IF(AE$27=ProposalToGnatt[[#This Row],[Start Date]],Milestone_Marker,IF(AND(AE$27&gt;ProposalToGnatt[[#This Row],[Start Date]],AE$27&lt;ProposalToGnatt[[#This Row],[Start Date]]+ProposalToGnatt[[#This Row],[Days]]),$G$5,"")),"")</f>
        <v/>
      </c>
      <c r="AF36" s="36" t="str">
        <f ca="1">IFERROR(+IF(AF$27=ProposalToGnatt[[#This Row],[Start Date]],Milestone_Marker,IF(AND(AF$27&gt;ProposalToGnatt[[#This Row],[Start Date]],AF$27&lt;ProposalToGnatt[[#This Row],[Start Date]]+ProposalToGnatt[[#This Row],[Days]]),$G$5,"")),"")</f>
        <v/>
      </c>
      <c r="AG36" s="36" t="str">
        <f ca="1">IFERROR(+IF(AG$27=ProposalToGnatt[[#This Row],[Start Date]],Milestone_Marker,IF(AND(AG$27&gt;ProposalToGnatt[[#This Row],[Start Date]],AG$27&lt;ProposalToGnatt[[#This Row],[Start Date]]+ProposalToGnatt[[#This Row],[Days]]),$G$5,"")),"")</f>
        <v/>
      </c>
      <c r="AH36" s="36" t="str">
        <f ca="1">IFERROR(+IF(AH$27=ProposalToGnatt[[#This Row],[Start Date]],Milestone_Marker,IF(AND(AH$27&gt;ProposalToGnatt[[#This Row],[Start Date]],AH$27&lt;ProposalToGnatt[[#This Row],[Start Date]]+ProposalToGnatt[[#This Row],[Days]]),$G$5,"")),"")</f>
        <v/>
      </c>
      <c r="AI36" s="36" t="str">
        <f ca="1">IFERROR(+IF(AI$27=ProposalToGnatt[[#This Row],[Start Date]],Milestone_Marker,IF(AND(AI$27&gt;ProposalToGnatt[[#This Row],[Start Date]],AI$27&lt;ProposalToGnatt[[#This Row],[Start Date]]+ProposalToGnatt[[#This Row],[Days]]),$G$5,"")),"")</f>
        <v/>
      </c>
      <c r="AJ36" s="36" t="str">
        <f ca="1">IFERROR(+IF(AJ$27=ProposalToGnatt[[#This Row],[Start Date]],Milestone_Marker,IF(AND(AJ$27&gt;ProposalToGnatt[[#This Row],[Start Date]],AJ$27&lt;ProposalToGnatt[[#This Row],[Start Date]]+ProposalToGnatt[[#This Row],[Days]]),$G$5,"")),"")</f>
        <v/>
      </c>
      <c r="AK36" s="36" t="str">
        <f ca="1">IFERROR(+IF(AK$27=ProposalToGnatt[[#This Row],[Start Date]],Milestone_Marker,IF(AND(AK$27&gt;ProposalToGnatt[[#This Row],[Start Date]],AK$27&lt;ProposalToGnatt[[#This Row],[Start Date]]+ProposalToGnatt[[#This Row],[Days]]),$G$5,"")),"")</f>
        <v/>
      </c>
      <c r="AL36" s="36" t="str">
        <f ca="1">IFERROR(+IF(AL$27=ProposalToGnatt[[#This Row],[Start Date]],Milestone_Marker,IF(AND(AL$27&gt;ProposalToGnatt[[#This Row],[Start Date]],AL$27&lt;ProposalToGnatt[[#This Row],[Start Date]]+ProposalToGnatt[[#This Row],[Days]]),$G$5,"")),"")</f>
        <v/>
      </c>
      <c r="AM36" s="36" t="str">
        <f ca="1">IFERROR(+IF(AM$27=ProposalToGnatt[[#This Row],[Start Date]],Milestone_Marker,IF(AND(AM$27&gt;ProposalToGnatt[[#This Row],[Start Date]],AM$27&lt;ProposalToGnatt[[#This Row],[Start Date]]+ProposalToGnatt[[#This Row],[Days]]),$G$5,"")),"")</f>
        <v/>
      </c>
      <c r="AN36" s="36" t="str">
        <f ca="1">IFERROR(+IF(AN$27=ProposalToGnatt[[#This Row],[Start Date]],Milestone_Marker,IF(AND(AN$27&gt;ProposalToGnatt[[#This Row],[Start Date]],AN$27&lt;ProposalToGnatt[[#This Row],[Start Date]]+ProposalToGnatt[[#This Row],[Days]]),$G$5,"")),"")</f>
        <v/>
      </c>
      <c r="AO36" s="36" t="str">
        <f ca="1">IFERROR(+IF(AO$27=ProposalToGnatt[[#This Row],[Start Date]],Milestone_Marker,IF(AND(AO$27&gt;ProposalToGnatt[[#This Row],[Start Date]],AO$27&lt;ProposalToGnatt[[#This Row],[Start Date]]+ProposalToGnatt[[#This Row],[Days]]),$G$5,"")),"")</f>
        <v/>
      </c>
      <c r="AP36" s="36" t="str">
        <f ca="1">IFERROR(+IF(AP$27=ProposalToGnatt[[#This Row],[Start Date]],Milestone_Marker,IF(AND(AP$27&gt;ProposalToGnatt[[#This Row],[Start Date]],AP$27&lt;ProposalToGnatt[[#This Row],[Start Date]]+ProposalToGnatt[[#This Row],[Days]]),$G$5,"")),"")</f>
        <v/>
      </c>
      <c r="AQ36" s="36" t="str">
        <f ca="1">IFERROR(+IF(AQ$27=ProposalToGnatt[[#This Row],[Start Date]],Milestone_Marker,IF(AND(AQ$27&gt;ProposalToGnatt[[#This Row],[Start Date]],AQ$27&lt;ProposalToGnatt[[#This Row],[Start Date]]+ProposalToGnatt[[#This Row],[Days]]),$G$5,"")),"")</f>
        <v/>
      </c>
      <c r="AR36" s="36" t="str">
        <f ca="1">IFERROR(+IF(AR$27=ProposalToGnatt[[#This Row],[Start Date]],Milestone_Marker,IF(AND(AR$27&gt;ProposalToGnatt[[#This Row],[Start Date]],AR$27&lt;ProposalToGnatt[[#This Row],[Start Date]]+ProposalToGnatt[[#This Row],[Days]]),$G$5,"")),"")</f>
        <v/>
      </c>
      <c r="AS36" s="36" t="str">
        <f ca="1">IFERROR(+IF(AS$27=ProposalToGnatt[[#This Row],[Start Date]],Milestone_Marker,IF(AND(AS$27&gt;ProposalToGnatt[[#This Row],[Start Date]],AS$27&lt;ProposalToGnatt[[#This Row],[Start Date]]+ProposalToGnatt[[#This Row],[Days]]),$G$5,"")),"")</f>
        <v/>
      </c>
      <c r="AT36" s="36" t="str">
        <f ca="1">IFERROR(+IF(AT$27=ProposalToGnatt[[#This Row],[Start Date]],Milestone_Marker,IF(AND(AT$27&gt;ProposalToGnatt[[#This Row],[Start Date]],AT$27&lt;ProposalToGnatt[[#This Row],[Start Date]]+ProposalToGnatt[[#This Row],[Days]]),$G$5,"")),"")</f>
        <v/>
      </c>
      <c r="AU36" s="36" t="str">
        <f ca="1">IFERROR(+IF(AU$27=ProposalToGnatt[[#This Row],[Start Date]],Milestone_Marker,IF(AND(AU$27&gt;ProposalToGnatt[[#This Row],[Start Date]],AU$27&lt;ProposalToGnatt[[#This Row],[Start Date]]+ProposalToGnatt[[#This Row],[Days]]),$G$5,"")),"")</f>
        <v/>
      </c>
      <c r="AV36" s="36" t="str">
        <f ca="1">IFERROR(+IF(AV$27=ProposalToGnatt[[#This Row],[Start Date]],Milestone_Marker,IF(AND(AV$27&gt;ProposalToGnatt[[#This Row],[Start Date]],AV$27&lt;ProposalToGnatt[[#This Row],[Start Date]]+ProposalToGnatt[[#This Row],[Days]]),$G$5,"")),"")</f>
        <v/>
      </c>
      <c r="AW36" s="36" t="str">
        <f ca="1">IFERROR(+IF(AW$27=ProposalToGnatt[[#This Row],[Start Date]],Milestone_Marker,IF(AND(AW$27&gt;ProposalToGnatt[[#This Row],[Start Date]],AW$27&lt;ProposalToGnatt[[#This Row],[Start Date]]+ProposalToGnatt[[#This Row],[Days]]),$G$5,"")),"")</f>
        <v/>
      </c>
      <c r="AX36" s="36" t="str">
        <f ca="1">IFERROR(+IF(AX$27=ProposalToGnatt[[#This Row],[Start Date]],Milestone_Marker,IF(AND(AX$27&gt;ProposalToGnatt[[#This Row],[Start Date]],AX$27&lt;ProposalToGnatt[[#This Row],[Start Date]]+ProposalToGnatt[[#This Row],[Days]]),$G$5,"")),"")</f>
        <v/>
      </c>
      <c r="AY36" s="36" t="str">
        <f ca="1">IFERROR(+IF(AY$27=ProposalToGnatt[[#This Row],[Start Date]],Milestone_Marker,IF(AND(AY$27&gt;ProposalToGnatt[[#This Row],[Start Date]],AY$27&lt;ProposalToGnatt[[#This Row],[Start Date]]+ProposalToGnatt[[#This Row],[Days]]),$G$5,"")),"")</f>
        <v/>
      </c>
      <c r="AZ36" s="36" t="str">
        <f ca="1">IFERROR(+IF(AZ$27=ProposalToGnatt[[#This Row],[Start Date]],Milestone_Marker,IF(AND(AZ$27&gt;ProposalToGnatt[[#This Row],[Start Date]],AZ$27&lt;ProposalToGnatt[[#This Row],[Start Date]]+ProposalToGnatt[[#This Row],[Days]]),$G$5,"")),"")</f>
        <v/>
      </c>
      <c r="BA36" s="36" t="str">
        <f ca="1">IFERROR(+IF(BA$27=ProposalToGnatt[[#This Row],[Start Date]],Milestone_Marker,IF(AND(BA$27&gt;ProposalToGnatt[[#This Row],[Start Date]],BA$27&lt;ProposalToGnatt[[#This Row],[Start Date]]+ProposalToGnatt[[#This Row],[Days]]),$G$5,"")),"")</f>
        <v/>
      </c>
      <c r="BB36" s="36" t="str">
        <f ca="1">IFERROR(+IF(BB$27=ProposalToGnatt[[#This Row],[Start Date]],Milestone_Marker,IF(AND(BB$27&gt;ProposalToGnatt[[#This Row],[Start Date]],BB$27&lt;ProposalToGnatt[[#This Row],[Start Date]]+ProposalToGnatt[[#This Row],[Days]]),$G$5,"")),"")</f>
        <v/>
      </c>
      <c r="BC36" s="36" t="str">
        <f ca="1">IFERROR(+IF(BC$27=ProposalToGnatt[[#This Row],[Start Date]],Milestone_Marker,IF(AND(BC$27&gt;ProposalToGnatt[[#This Row],[Start Date]],BC$27&lt;ProposalToGnatt[[#This Row],[Start Date]]+ProposalToGnatt[[#This Row],[Days]]),$G$5,"")),"")</f>
        <v/>
      </c>
      <c r="BD36" s="36" t="str">
        <f ca="1">IFERROR(+IF(BD$27=ProposalToGnatt[[#This Row],[Start Date]],Milestone_Marker,IF(AND(BD$27&gt;ProposalToGnatt[[#This Row],[Start Date]],BD$27&lt;ProposalToGnatt[[#This Row],[Start Date]]+ProposalToGnatt[[#This Row],[Days]]),$G$5,"")),"")</f>
        <v/>
      </c>
      <c r="BE36" s="36" t="str">
        <f ca="1">IFERROR(+IF(BE$27=ProposalToGnatt[[#This Row],[Start Date]],Milestone_Marker,IF(AND(BE$27&gt;ProposalToGnatt[[#This Row],[Start Date]],BE$27&lt;ProposalToGnatt[[#This Row],[Start Date]]+ProposalToGnatt[[#This Row],[Days]]),$G$5,"")),"")</f>
        <v/>
      </c>
      <c r="BF36" s="36" t="str">
        <f ca="1">IFERROR(+IF(BF$27=ProposalToGnatt[[#This Row],[Start Date]],Milestone_Marker,IF(AND(BF$27&gt;ProposalToGnatt[[#This Row],[Start Date]],BF$27&lt;ProposalToGnatt[[#This Row],[Start Date]]+ProposalToGnatt[[#This Row],[Days]]),$G$5,"")),"")</f>
        <v/>
      </c>
      <c r="BG36" s="36" t="str">
        <f ca="1">IFERROR(+IF(BG$27=ProposalToGnatt[[#This Row],[Start Date]],Milestone_Marker,IF(AND(BG$27&gt;ProposalToGnatt[[#This Row],[Start Date]],BG$27&lt;ProposalToGnatt[[#This Row],[Start Date]]+ProposalToGnatt[[#This Row],[Days]]),$G$5,"")),"")</f>
        <v/>
      </c>
      <c r="BH36" s="36" t="str">
        <f ca="1">IFERROR(+IF(BH$27=ProposalToGnatt[[#This Row],[Start Date]],Milestone_Marker,IF(AND(BH$27&gt;ProposalToGnatt[[#This Row],[Start Date]],BH$27&lt;ProposalToGnatt[[#This Row],[Start Date]]+ProposalToGnatt[[#This Row],[Days]]),$G$5,"")),"")</f>
        <v/>
      </c>
      <c r="BI36" s="36" t="str">
        <f ca="1">IFERROR(+IF(BI$27=ProposalToGnatt[[#This Row],[Start Date]],Milestone_Marker,IF(AND(BI$27&gt;ProposalToGnatt[[#This Row],[Start Date]],BI$27&lt;ProposalToGnatt[[#This Row],[Start Date]]+ProposalToGnatt[[#This Row],[Days]]),$G$5,"")),"")</f>
        <v/>
      </c>
      <c r="BJ36" s="36" t="str">
        <f ca="1">IFERROR(+IF(BJ$27=ProposalToGnatt[[#This Row],[Start Date]],Milestone_Marker,IF(AND(BJ$27&gt;ProposalToGnatt[[#This Row],[Start Date]],BJ$27&lt;ProposalToGnatt[[#This Row],[Start Date]]+ProposalToGnatt[[#This Row],[Days]]),$G$5,"")),"")</f>
        <v/>
      </c>
      <c r="BK36" s="36" t="str">
        <f ca="1">IFERROR(+IF(BK$27=ProposalToGnatt[[#This Row],[Start Date]],Milestone_Marker,IF(AND(BK$27&gt;ProposalToGnatt[[#This Row],[Start Date]],BK$27&lt;ProposalToGnatt[[#This Row],[Start Date]]+ProposalToGnatt[[#This Row],[Days]]),$G$5,"")),"")</f>
        <v/>
      </c>
      <c r="BL36" s="36" t="str">
        <f ca="1">IFERROR(+IF(BL$27=ProposalToGnatt[[#This Row],[Start Date]],Milestone_Marker,IF(AND(BL$27&gt;ProposalToGnatt[[#This Row],[Start Date]],BL$27&lt;ProposalToGnatt[[#This Row],[Start Date]]+ProposalToGnatt[[#This Row],[Days]]),$G$5,"")),"")</f>
        <v/>
      </c>
      <c r="BM36" s="36" t="str">
        <f ca="1">IFERROR(+IF(BM$27=ProposalToGnatt[[#This Row],[Start Date]],Milestone_Marker,IF(AND(BM$27&gt;ProposalToGnatt[[#This Row],[Start Date]],BM$27&lt;ProposalToGnatt[[#This Row],[Start Date]]+ProposalToGnatt[[#This Row],[Days]]),$G$5,"")),"")</f>
        <v/>
      </c>
      <c r="BN36" s="36" t="str">
        <f ca="1">IFERROR(+IF(BN$27=ProposalToGnatt[[#This Row],[Start Date]],Milestone_Marker,IF(AND(BN$27&gt;ProposalToGnatt[[#This Row],[Start Date]],BN$27&lt;ProposalToGnatt[[#This Row],[Start Date]]+ProposalToGnatt[[#This Row],[Days]]),$G$5,"")),"")</f>
        <v/>
      </c>
      <c r="BO36" s="36" t="str">
        <f ca="1">IFERROR(+IF(BO$27=ProposalToGnatt[[#This Row],[Start Date]],Milestone_Marker,IF(AND(BO$27&gt;ProposalToGnatt[[#This Row],[Start Date]],BO$27&lt;ProposalToGnatt[[#This Row],[Start Date]]+ProposalToGnatt[[#This Row],[Days]]),$G$5,"")),"")</f>
        <v/>
      </c>
      <c r="BP36" s="36" t="str">
        <f ca="1">IFERROR(+IF(BP$27=ProposalToGnatt[[#This Row],[Start Date]],Milestone_Marker,IF(AND(BP$27&gt;ProposalToGnatt[[#This Row],[Start Date]],BP$27&lt;ProposalToGnatt[[#This Row],[Start Date]]+ProposalToGnatt[[#This Row],[Days]]),$G$5,"")),"")</f>
        <v/>
      </c>
      <c r="BQ36" s="36" t="str">
        <f ca="1">IFERROR(+IF(BQ$27=ProposalToGnatt[[#This Row],[Start Date]],Milestone_Marker,IF(AND(BQ$27&gt;ProposalToGnatt[[#This Row],[Start Date]],BQ$27&lt;ProposalToGnatt[[#This Row],[Start Date]]+ProposalToGnatt[[#This Row],[Days]]),$G$5,"")),"")</f>
        <v/>
      </c>
      <c r="BR36" s="36" t="str">
        <f ca="1">IFERROR(+IF(BR$27=ProposalToGnatt[[#This Row],[Start Date]],Milestone_Marker,IF(AND(BR$27&gt;ProposalToGnatt[[#This Row],[Start Date]],BR$27&lt;ProposalToGnatt[[#This Row],[Start Date]]+ProposalToGnatt[[#This Row],[Days]]),$G$5,"")),"")</f>
        <v/>
      </c>
      <c r="BS36" s="36" t="str">
        <f ca="1">IFERROR(+IF(BS$27=ProposalToGnatt[[#This Row],[Start Date]],Milestone_Marker,IF(AND(BS$27&gt;ProposalToGnatt[[#This Row],[Start Date]],BS$27&lt;ProposalToGnatt[[#This Row],[Start Date]]+ProposalToGnatt[[#This Row],[Days]]),$G$5,"")),"")</f>
        <v/>
      </c>
      <c r="BT36" s="36" t="str">
        <f ca="1">IFERROR(+IF(BT$27=ProposalToGnatt[[#This Row],[Start Date]],Milestone_Marker,IF(AND(BT$27&gt;ProposalToGnatt[[#This Row],[Start Date]],BT$27&lt;ProposalToGnatt[[#This Row],[Start Date]]+ProposalToGnatt[[#This Row],[Days]]),$G$5,"")),"")</f>
        <v/>
      </c>
      <c r="BU36" s="36" t="str">
        <f ca="1">IFERROR(+IF(BU$27=ProposalToGnatt[[#This Row],[Start Date]],Milestone_Marker,IF(AND(BU$27&gt;ProposalToGnatt[[#This Row],[Start Date]],BU$27&lt;ProposalToGnatt[[#This Row],[Start Date]]+ProposalToGnatt[[#This Row],[Days]]),$G$5,"")),"")</f>
        <v/>
      </c>
      <c r="BV36" s="36" t="str">
        <f ca="1">IFERROR(+IF(BV$27=ProposalToGnatt[[#This Row],[Start Date]],Milestone_Marker,IF(AND(BV$27&gt;ProposalToGnatt[[#This Row],[Start Date]],BV$27&lt;ProposalToGnatt[[#This Row],[Start Date]]+ProposalToGnatt[[#This Row],[Days]]),$G$5,"")),"")</f>
        <v/>
      </c>
      <c r="BW36" s="36" t="str">
        <f ca="1">IFERROR(+IF(BW$27=ProposalToGnatt[[#This Row],[Start Date]],Milestone_Marker,IF(AND(BW$27&gt;ProposalToGnatt[[#This Row],[Start Date]],BW$27&lt;ProposalToGnatt[[#This Row],[Start Date]]+ProposalToGnatt[[#This Row],[Days]]),$G$5,"")),"")</f>
        <v/>
      </c>
      <c r="BX36" s="36" t="str">
        <f ca="1">IFERROR(+IF(BX$27=ProposalToGnatt[[#This Row],[Start Date]],Milestone_Marker,IF(AND(BX$27&gt;ProposalToGnatt[[#This Row],[Start Date]],BX$27&lt;ProposalToGnatt[[#This Row],[Start Date]]+ProposalToGnatt[[#This Row],[Days]]),$G$5,"")),"")</f>
        <v/>
      </c>
      <c r="BY36" s="36" t="str">
        <f ca="1">IFERROR(+IF(BY$27=ProposalToGnatt[[#This Row],[Start Date]],Milestone_Marker,IF(AND(BY$27&gt;ProposalToGnatt[[#This Row],[Start Date]],BY$27&lt;ProposalToGnatt[[#This Row],[Start Date]]+ProposalToGnatt[[#This Row],[Days]]),$G$5,"")),"")</f>
        <v/>
      </c>
      <c r="BZ36" s="36" t="str">
        <f ca="1">IFERROR(+IF(BZ$27=ProposalToGnatt[[#This Row],[Start Date]],Milestone_Marker,IF(AND(BZ$27&gt;ProposalToGnatt[[#This Row],[Start Date]],BZ$27&lt;ProposalToGnatt[[#This Row],[Start Date]]+ProposalToGnatt[[#This Row],[Days]]),$G$5,"")),"")</f>
        <v/>
      </c>
      <c r="CA36" s="36" t="str">
        <f ca="1">IFERROR(+IF(CA$27=ProposalToGnatt[[#This Row],[Start Date]],Milestone_Marker,IF(AND(CA$27&gt;ProposalToGnatt[[#This Row],[Start Date]],CA$27&lt;ProposalToGnatt[[#This Row],[Start Date]]+ProposalToGnatt[[#This Row],[Days]]),$G$5,"")),"")</f>
        <v/>
      </c>
      <c r="CB36" s="36" t="str">
        <f ca="1">IFERROR(+IF(CB$27=ProposalToGnatt[[#This Row],[Start Date]],Milestone_Marker,IF(AND(CB$27&gt;ProposalToGnatt[[#This Row],[Start Date]],CB$27&lt;ProposalToGnatt[[#This Row],[Start Date]]+ProposalToGnatt[[#This Row],[Days]]),$G$5,"")),"")</f>
        <v/>
      </c>
      <c r="CC36" s="36" t="str">
        <f ca="1">IFERROR(+IF(CC$27=ProposalToGnatt[[#This Row],[Start Date]],Milestone_Marker,IF(AND(CC$27&gt;ProposalToGnatt[[#This Row],[Start Date]],CC$27&lt;ProposalToGnatt[[#This Row],[Start Date]]+ProposalToGnatt[[#This Row],[Days]]),$G$5,"")),"")</f>
        <v/>
      </c>
      <c r="CD36" s="36" t="str">
        <f ca="1">IFERROR(+IF(CD$27=ProposalToGnatt[[#This Row],[Start Date]],Milestone_Marker,IF(AND(CD$27&gt;ProposalToGnatt[[#This Row],[Start Date]],CD$27&lt;ProposalToGnatt[[#This Row],[Start Date]]+ProposalToGnatt[[#This Row],[Days]]),$G$5,"")),"")</f>
        <v/>
      </c>
      <c r="CE36" s="36" t="str">
        <f ca="1">IFERROR(+IF(CE$27=ProposalToGnatt[[#This Row],[Start Date]],Milestone_Marker,IF(AND(CE$27&gt;ProposalToGnatt[[#This Row],[Start Date]],CE$27&lt;ProposalToGnatt[[#This Row],[Start Date]]+ProposalToGnatt[[#This Row],[Days]]),$G$5,"")),"")</f>
        <v/>
      </c>
      <c r="CF36" s="36" t="str">
        <f ca="1">IFERROR(+IF(CF$27=ProposalToGnatt[[#This Row],[Start Date]],Milestone_Marker,IF(AND(CF$27&gt;ProposalToGnatt[[#This Row],[Start Date]],CF$27&lt;ProposalToGnatt[[#This Row],[Start Date]]+ProposalToGnatt[[#This Row],[Days]]),$G$5,"")),"")</f>
        <v/>
      </c>
      <c r="CG36" s="36" t="str">
        <f ca="1">IFERROR(+IF(CG$27=ProposalToGnatt[[#This Row],[Start Date]],Milestone_Marker,IF(AND(CG$27&gt;ProposalToGnatt[[#This Row],[Start Date]],CG$27&lt;ProposalToGnatt[[#This Row],[Start Date]]+ProposalToGnatt[[#This Row],[Days]]),$G$5,"")),"")</f>
        <v/>
      </c>
      <c r="CH36" s="36" t="str">
        <f ca="1">IFERROR(+IF(CH$27=ProposalToGnatt[[#This Row],[Start Date]],Milestone_Marker,IF(AND(CH$27&gt;ProposalToGnatt[[#This Row],[Start Date]],CH$27&lt;ProposalToGnatt[[#This Row],[Start Date]]+ProposalToGnatt[[#This Row],[Days]]),$G$5,"")),"")</f>
        <v/>
      </c>
      <c r="CI36" s="36" t="str">
        <f ca="1">IFERROR(+IF(CI$27=ProposalToGnatt[[#This Row],[Start Date]],Milestone_Marker,IF(AND(CI$27&gt;ProposalToGnatt[[#This Row],[Start Date]],CI$27&lt;ProposalToGnatt[[#This Row],[Start Date]]+ProposalToGnatt[[#This Row],[Days]]),$G$5,"")),"")</f>
        <v/>
      </c>
      <c r="CJ36" s="36" t="str">
        <f ca="1">IFERROR(+IF(CJ$27=ProposalToGnatt[[#This Row],[Start Date]],Milestone_Marker,IF(AND(CJ$27&gt;ProposalToGnatt[[#This Row],[Start Date]],CJ$27&lt;ProposalToGnatt[[#This Row],[Start Date]]+ProposalToGnatt[[#This Row],[Days]]),$G$5,"")),"")</f>
        <v/>
      </c>
      <c r="CK36" s="36" t="str">
        <f ca="1">IFERROR(+IF(CK$27=ProposalToGnatt[[#This Row],[Start Date]],Milestone_Marker,IF(AND(CK$27&gt;ProposalToGnatt[[#This Row],[Start Date]],CK$27&lt;ProposalToGnatt[[#This Row],[Start Date]]+ProposalToGnatt[[#This Row],[Days]]),$G$5,"")),"")</f>
        <v/>
      </c>
      <c r="CL36" s="36" t="str">
        <f ca="1">IFERROR(+IF(CL$27=ProposalToGnatt[[#This Row],[Start Date]],Milestone_Marker,IF(AND(CL$27&gt;ProposalToGnatt[[#This Row],[Start Date]],CL$27&lt;ProposalToGnatt[[#This Row],[Start Date]]+ProposalToGnatt[[#This Row],[Days]]),$G$5,"")),"")</f>
        <v/>
      </c>
      <c r="CM36" s="36" t="str">
        <f ca="1">IFERROR(+IF(CM$27=ProposalToGnatt[[#This Row],[Start Date]],Milestone_Marker,IF(AND(CM$27&gt;ProposalToGnatt[[#This Row],[Start Date]],CM$27&lt;ProposalToGnatt[[#This Row],[Start Date]]+ProposalToGnatt[[#This Row],[Days]]),$G$5,"")),"")</f>
        <v/>
      </c>
      <c r="CN36" s="36" t="str">
        <f ca="1">IFERROR(+IF(CN$27=ProposalToGnatt[[#This Row],[Start Date]],Milestone_Marker,IF(AND(CN$27&gt;ProposalToGnatt[[#This Row],[Start Date]],CN$27&lt;ProposalToGnatt[[#This Row],[Start Date]]+ProposalToGnatt[[#This Row],[Days]]),$G$5,"")),"")</f>
        <v/>
      </c>
      <c r="CO36" s="36" t="str">
        <f ca="1">IFERROR(+IF(CO$27=ProposalToGnatt[[#This Row],[Start Date]],Milestone_Marker,IF(AND(CO$27&gt;ProposalToGnatt[[#This Row],[Start Date]],CO$27&lt;ProposalToGnatt[[#This Row],[Start Date]]+ProposalToGnatt[[#This Row],[Days]]),$G$5,"")),"")</f>
        <v/>
      </c>
      <c r="CP36" s="36" t="str">
        <f ca="1">IFERROR(+IF(CP$27=ProposalToGnatt[[#This Row],[Start Date]],Milestone_Marker,IF(AND(CP$27&gt;ProposalToGnatt[[#This Row],[Start Date]],CP$27&lt;ProposalToGnatt[[#This Row],[Start Date]]+ProposalToGnatt[[#This Row],[Days]]),$G$5,"")),"")</f>
        <v/>
      </c>
      <c r="CQ36" s="36" t="str">
        <f ca="1">IFERROR(+IF(CQ$27=ProposalToGnatt[[#This Row],[Start Date]],Milestone_Marker,IF(AND(CQ$27&gt;ProposalToGnatt[[#This Row],[Start Date]],CQ$27&lt;ProposalToGnatt[[#This Row],[Start Date]]+ProposalToGnatt[[#This Row],[Days]]),$G$5,"")),"")</f>
        <v/>
      </c>
      <c r="CR36" s="36" t="str">
        <f ca="1">IFERROR(+IF(CR$27=ProposalToGnatt[[#This Row],[Start Date]],Milestone_Marker,IF(AND(CR$27&gt;ProposalToGnatt[[#This Row],[Start Date]],CR$27&lt;ProposalToGnatt[[#This Row],[Start Date]]+ProposalToGnatt[[#This Row],[Days]]),$G$5,"")),"")</f>
        <v/>
      </c>
      <c r="CS36" s="36" t="str">
        <f ca="1">IFERROR(+IF(CS$27=ProposalToGnatt[[#This Row],[Start Date]],Milestone_Marker,IF(AND(CS$27&gt;ProposalToGnatt[[#This Row],[Start Date]],CS$27&lt;ProposalToGnatt[[#This Row],[Start Date]]+ProposalToGnatt[[#This Row],[Days]]),$G$5,"")),"")</f>
        <v/>
      </c>
      <c r="CT36" s="36" t="str">
        <f ca="1">IFERROR(+IF(CT$27=ProposalToGnatt[[#This Row],[Start Date]],Milestone_Marker,IF(AND(CT$27&gt;ProposalToGnatt[[#This Row],[Start Date]],CT$27&lt;ProposalToGnatt[[#This Row],[Start Date]]+ProposalToGnatt[[#This Row],[Days]]),$G$5,"")),"")</f>
        <v/>
      </c>
      <c r="CU36" s="36" t="str">
        <f ca="1">IFERROR(+IF(CU$27=ProposalToGnatt[[#This Row],[Start Date]],Milestone_Marker,IF(AND(CU$27&gt;ProposalToGnatt[[#This Row],[Start Date]],CU$27&lt;ProposalToGnatt[[#This Row],[Start Date]]+ProposalToGnatt[[#This Row],[Days]]),$G$5,"")),"")</f>
        <v/>
      </c>
      <c r="CV36" s="36"/>
      <c r="CW36" s="36"/>
      <c r="CX36" s="36"/>
      <c r="CY36" s="36"/>
      <c r="CZ36" s="36"/>
      <c r="DA36" s="36"/>
      <c r="DB36" s="36"/>
      <c r="DC36" s="36"/>
      <c r="DD36" s="36"/>
      <c r="DE36" s="36"/>
      <c r="DF36" s="36"/>
      <c r="DG36" s="36"/>
      <c r="DH36" s="36"/>
      <c r="DI36" s="36"/>
      <c r="DJ36" s="36"/>
      <c r="DK36" s="36"/>
      <c r="DL36" s="36"/>
      <c r="DM36" s="36"/>
      <c r="DN36" s="36"/>
      <c r="DO36" s="36"/>
      <c r="DP36" s="36"/>
      <c r="DQ36" s="36"/>
      <c r="DR36" s="36"/>
      <c r="DS36" s="36"/>
      <c r="DT36" s="36"/>
      <c r="DU36" s="36"/>
    </row>
    <row r="37" spans="1:125" s="41" customFormat="1" ht="20.100000000000001" customHeight="1" x14ac:dyDescent="0.25">
      <c r="A37" t="s">
        <v>263</v>
      </c>
      <c r="B37">
        <v>10</v>
      </c>
      <c r="C37"/>
      <c r="D37"/>
      <c r="E37"/>
      <c r="F37"/>
      <c r="G37" s="14"/>
      <c r="H37" s="14"/>
      <c r="I37"/>
      <c r="J37"/>
      <c r="K37" s="246"/>
      <c r="L37"/>
      <c r="M37" s="14"/>
      <c r="N37" s="299"/>
      <c r="O37" s="281"/>
      <c r="P37" s="36" t="str">
        <f ca="1">IFERROR(+IF(P$27=ProposalToGnatt[[#This Row],[Start Date]],Milestone_Marker,IF(AND(P$27&gt;ProposalToGnatt[[#This Row],[Start Date]],P$27&lt;ProposalToGnatt[[#This Row],[Start Date]]+ProposalToGnatt[[#This Row],[Days]]),$G$5,"")),"")</f>
        <v/>
      </c>
      <c r="Q37" s="36" t="str">
        <f ca="1">IFERROR(+IF(Q$27=ProposalToGnatt[[#This Row],[Start Date]],Milestone_Marker,IF(AND(Q$27&gt;ProposalToGnatt[[#This Row],[Start Date]],Q$27&lt;ProposalToGnatt[[#This Row],[Start Date]]+ProposalToGnatt[[#This Row],[Days]]),$G$5,"")),"")</f>
        <v/>
      </c>
      <c r="R37" s="36" t="str">
        <f ca="1">IFERROR(+IF(R$27=ProposalToGnatt[[#This Row],[Start Date]],Milestone_Marker,IF(AND(R$27&gt;ProposalToGnatt[[#This Row],[Start Date]],R$27&lt;ProposalToGnatt[[#This Row],[Start Date]]+ProposalToGnatt[[#This Row],[Days]]),$G$5,"")),"")</f>
        <v/>
      </c>
      <c r="S37" s="36" t="str">
        <f ca="1">IFERROR(+IF(S$27=ProposalToGnatt[[#This Row],[Start Date]],Milestone_Marker,IF(AND(S$27&gt;ProposalToGnatt[[#This Row],[Start Date]],S$27&lt;ProposalToGnatt[[#This Row],[Start Date]]+ProposalToGnatt[[#This Row],[Days]]),$G$5,"")),"")</f>
        <v/>
      </c>
      <c r="T37" s="36" t="str">
        <f ca="1">IFERROR(+IF(T$27=ProposalToGnatt[[#This Row],[Start Date]],Milestone_Marker,IF(AND(T$27&gt;ProposalToGnatt[[#This Row],[Start Date]],T$27&lt;ProposalToGnatt[[#This Row],[Start Date]]+ProposalToGnatt[[#This Row],[Days]]),$G$5,"")),"")</f>
        <v/>
      </c>
      <c r="U37" s="36" t="str">
        <f ca="1">IFERROR(+IF(U$27=ProposalToGnatt[[#This Row],[Start Date]],Milestone_Marker,IF(AND(U$27&gt;ProposalToGnatt[[#This Row],[Start Date]],U$27&lt;ProposalToGnatt[[#This Row],[Start Date]]+ProposalToGnatt[[#This Row],[Days]]),$G$5,"")),"")</f>
        <v/>
      </c>
      <c r="V37" s="36" t="str">
        <f ca="1">IFERROR(+IF(V$27=ProposalToGnatt[[#This Row],[Start Date]],Milestone_Marker,IF(AND(V$27&gt;ProposalToGnatt[[#This Row],[Start Date]],V$27&lt;ProposalToGnatt[[#This Row],[Start Date]]+ProposalToGnatt[[#This Row],[Days]]),$G$5,"")),"")</f>
        <v/>
      </c>
      <c r="W37" s="36" t="str">
        <f ca="1">IFERROR(+IF(W$27=ProposalToGnatt[[#This Row],[Start Date]],Milestone_Marker,IF(AND(W$27&gt;ProposalToGnatt[[#This Row],[Start Date]],W$27&lt;ProposalToGnatt[[#This Row],[Start Date]]+ProposalToGnatt[[#This Row],[Days]]),$G$5,"")),"")</f>
        <v/>
      </c>
      <c r="X37" s="36" t="str">
        <f ca="1">IFERROR(+IF(X$27=ProposalToGnatt[[#This Row],[Start Date]],Milestone_Marker,IF(AND(X$27&gt;ProposalToGnatt[[#This Row],[Start Date]],X$27&lt;ProposalToGnatt[[#This Row],[Start Date]]+ProposalToGnatt[[#This Row],[Days]]),$G$5,"")),"")</f>
        <v/>
      </c>
      <c r="Y37" s="36" t="str">
        <f ca="1">IFERROR(+IF(Y$27=ProposalToGnatt[[#This Row],[Start Date]],Milestone_Marker,IF(AND(Y$27&gt;ProposalToGnatt[[#This Row],[Start Date]],Y$27&lt;ProposalToGnatt[[#This Row],[Start Date]]+ProposalToGnatt[[#This Row],[Days]]),$G$5,"")),"")</f>
        <v/>
      </c>
      <c r="Z37" s="36" t="str">
        <f ca="1">IFERROR(+IF(Z$27=ProposalToGnatt[[#This Row],[Start Date]],Milestone_Marker,IF(AND(Z$27&gt;ProposalToGnatt[[#This Row],[Start Date]],Z$27&lt;ProposalToGnatt[[#This Row],[Start Date]]+ProposalToGnatt[[#This Row],[Days]]),$G$5,"")),"")</f>
        <v/>
      </c>
      <c r="AA37" s="36" t="str">
        <f ca="1">IFERROR(+IF(AA$27=ProposalToGnatt[[#This Row],[Start Date]],Milestone_Marker,IF(AND(AA$27&gt;ProposalToGnatt[[#This Row],[Start Date]],AA$27&lt;ProposalToGnatt[[#This Row],[Start Date]]+ProposalToGnatt[[#This Row],[Days]]),$G$5,"")),"")</f>
        <v/>
      </c>
      <c r="AB37" s="36" t="str">
        <f ca="1">IFERROR(+IF(AB$27=ProposalToGnatt[[#This Row],[Start Date]],Milestone_Marker,IF(AND(AB$27&gt;ProposalToGnatt[[#This Row],[Start Date]],AB$27&lt;ProposalToGnatt[[#This Row],[Start Date]]+ProposalToGnatt[[#This Row],[Days]]),$G$5,"")),"")</f>
        <v/>
      </c>
      <c r="AC37" s="36" t="str">
        <f ca="1">IFERROR(+IF(AC$27=ProposalToGnatt[[#This Row],[Start Date]],Milestone_Marker,IF(AND(AC$27&gt;ProposalToGnatt[[#This Row],[Start Date]],AC$27&lt;ProposalToGnatt[[#This Row],[Start Date]]+ProposalToGnatt[[#This Row],[Days]]),$G$5,"")),"")</f>
        <v/>
      </c>
      <c r="AD37" s="36" t="str">
        <f ca="1">IFERROR(+IF(AD$27=ProposalToGnatt[[#This Row],[Start Date]],Milestone_Marker,IF(AND(AD$27&gt;ProposalToGnatt[[#This Row],[Start Date]],AD$27&lt;ProposalToGnatt[[#This Row],[Start Date]]+ProposalToGnatt[[#This Row],[Days]]),$G$5,"")),"")</f>
        <v/>
      </c>
      <c r="AE37" s="36" t="str">
        <f ca="1">IFERROR(+IF(AE$27=ProposalToGnatt[[#This Row],[Start Date]],Milestone_Marker,IF(AND(AE$27&gt;ProposalToGnatt[[#This Row],[Start Date]],AE$27&lt;ProposalToGnatt[[#This Row],[Start Date]]+ProposalToGnatt[[#This Row],[Days]]),$G$5,"")),"")</f>
        <v/>
      </c>
      <c r="AF37" s="36" t="str">
        <f ca="1">IFERROR(+IF(AF$27=ProposalToGnatt[[#This Row],[Start Date]],Milestone_Marker,IF(AND(AF$27&gt;ProposalToGnatt[[#This Row],[Start Date]],AF$27&lt;ProposalToGnatt[[#This Row],[Start Date]]+ProposalToGnatt[[#This Row],[Days]]),$G$5,"")),"")</f>
        <v/>
      </c>
      <c r="AG37" s="36" t="str">
        <f ca="1">IFERROR(+IF(AG$27=ProposalToGnatt[[#This Row],[Start Date]],Milestone_Marker,IF(AND(AG$27&gt;ProposalToGnatt[[#This Row],[Start Date]],AG$27&lt;ProposalToGnatt[[#This Row],[Start Date]]+ProposalToGnatt[[#This Row],[Days]]),$G$5,"")),"")</f>
        <v/>
      </c>
      <c r="AH37" s="36" t="str">
        <f ca="1">IFERROR(+IF(AH$27=ProposalToGnatt[[#This Row],[Start Date]],Milestone_Marker,IF(AND(AH$27&gt;ProposalToGnatt[[#This Row],[Start Date]],AH$27&lt;ProposalToGnatt[[#This Row],[Start Date]]+ProposalToGnatt[[#This Row],[Days]]),$G$5,"")),"")</f>
        <v/>
      </c>
      <c r="AI37" s="36" t="str">
        <f ca="1">IFERROR(+IF(AI$27=ProposalToGnatt[[#This Row],[Start Date]],Milestone_Marker,IF(AND(AI$27&gt;ProposalToGnatt[[#This Row],[Start Date]],AI$27&lt;ProposalToGnatt[[#This Row],[Start Date]]+ProposalToGnatt[[#This Row],[Days]]),$G$5,"")),"")</f>
        <v/>
      </c>
      <c r="AJ37" s="36" t="str">
        <f ca="1">IFERROR(+IF(AJ$27=ProposalToGnatt[[#This Row],[Start Date]],Milestone_Marker,IF(AND(AJ$27&gt;ProposalToGnatt[[#This Row],[Start Date]],AJ$27&lt;ProposalToGnatt[[#This Row],[Start Date]]+ProposalToGnatt[[#This Row],[Days]]),$G$5,"")),"")</f>
        <v/>
      </c>
      <c r="AK37" s="36" t="str">
        <f ca="1">IFERROR(+IF(AK$27=ProposalToGnatt[[#This Row],[Start Date]],Milestone_Marker,IF(AND(AK$27&gt;ProposalToGnatt[[#This Row],[Start Date]],AK$27&lt;ProposalToGnatt[[#This Row],[Start Date]]+ProposalToGnatt[[#This Row],[Days]]),$G$5,"")),"")</f>
        <v/>
      </c>
      <c r="AL37" s="36" t="str">
        <f ca="1">IFERROR(+IF(AL$27=ProposalToGnatt[[#This Row],[Start Date]],Milestone_Marker,IF(AND(AL$27&gt;ProposalToGnatt[[#This Row],[Start Date]],AL$27&lt;ProposalToGnatt[[#This Row],[Start Date]]+ProposalToGnatt[[#This Row],[Days]]),$G$5,"")),"")</f>
        <v/>
      </c>
      <c r="AM37" s="36" t="str">
        <f ca="1">IFERROR(+IF(AM$27=ProposalToGnatt[[#This Row],[Start Date]],Milestone_Marker,IF(AND(AM$27&gt;ProposalToGnatt[[#This Row],[Start Date]],AM$27&lt;ProposalToGnatt[[#This Row],[Start Date]]+ProposalToGnatt[[#This Row],[Days]]),$G$5,"")),"")</f>
        <v/>
      </c>
      <c r="AN37" s="36" t="str">
        <f ca="1">IFERROR(+IF(AN$27=ProposalToGnatt[[#This Row],[Start Date]],Milestone_Marker,IF(AND(AN$27&gt;ProposalToGnatt[[#This Row],[Start Date]],AN$27&lt;ProposalToGnatt[[#This Row],[Start Date]]+ProposalToGnatt[[#This Row],[Days]]),$G$5,"")),"")</f>
        <v/>
      </c>
      <c r="AO37" s="36" t="str">
        <f ca="1">IFERROR(+IF(AO$27=ProposalToGnatt[[#This Row],[Start Date]],Milestone_Marker,IF(AND(AO$27&gt;ProposalToGnatt[[#This Row],[Start Date]],AO$27&lt;ProposalToGnatt[[#This Row],[Start Date]]+ProposalToGnatt[[#This Row],[Days]]),$G$5,"")),"")</f>
        <v/>
      </c>
      <c r="AP37" s="36" t="str">
        <f ca="1">IFERROR(+IF(AP$27=ProposalToGnatt[[#This Row],[Start Date]],Milestone_Marker,IF(AND(AP$27&gt;ProposalToGnatt[[#This Row],[Start Date]],AP$27&lt;ProposalToGnatt[[#This Row],[Start Date]]+ProposalToGnatt[[#This Row],[Days]]),$G$5,"")),"")</f>
        <v/>
      </c>
      <c r="AQ37" s="36" t="str">
        <f ca="1">IFERROR(+IF(AQ$27=ProposalToGnatt[[#This Row],[Start Date]],Milestone_Marker,IF(AND(AQ$27&gt;ProposalToGnatt[[#This Row],[Start Date]],AQ$27&lt;ProposalToGnatt[[#This Row],[Start Date]]+ProposalToGnatt[[#This Row],[Days]]),$G$5,"")),"")</f>
        <v/>
      </c>
      <c r="AR37" s="36" t="str">
        <f ca="1">IFERROR(+IF(AR$27=ProposalToGnatt[[#This Row],[Start Date]],Milestone_Marker,IF(AND(AR$27&gt;ProposalToGnatt[[#This Row],[Start Date]],AR$27&lt;ProposalToGnatt[[#This Row],[Start Date]]+ProposalToGnatt[[#This Row],[Days]]),$G$5,"")),"")</f>
        <v/>
      </c>
      <c r="AS37" s="36" t="str">
        <f ca="1">IFERROR(+IF(AS$27=ProposalToGnatt[[#This Row],[Start Date]],Milestone_Marker,IF(AND(AS$27&gt;ProposalToGnatt[[#This Row],[Start Date]],AS$27&lt;ProposalToGnatt[[#This Row],[Start Date]]+ProposalToGnatt[[#This Row],[Days]]),$G$5,"")),"")</f>
        <v/>
      </c>
      <c r="AT37" s="36" t="str">
        <f ca="1">IFERROR(+IF(AT$27=ProposalToGnatt[[#This Row],[Start Date]],Milestone_Marker,IF(AND(AT$27&gt;ProposalToGnatt[[#This Row],[Start Date]],AT$27&lt;ProposalToGnatt[[#This Row],[Start Date]]+ProposalToGnatt[[#This Row],[Days]]),$G$5,"")),"")</f>
        <v/>
      </c>
      <c r="AU37" s="36" t="str">
        <f ca="1">IFERROR(+IF(AU$27=ProposalToGnatt[[#This Row],[Start Date]],Milestone_Marker,IF(AND(AU$27&gt;ProposalToGnatt[[#This Row],[Start Date]],AU$27&lt;ProposalToGnatt[[#This Row],[Start Date]]+ProposalToGnatt[[#This Row],[Days]]),$G$5,"")),"")</f>
        <v/>
      </c>
      <c r="AV37" s="36" t="str">
        <f ca="1">IFERROR(+IF(AV$27=ProposalToGnatt[[#This Row],[Start Date]],Milestone_Marker,IF(AND(AV$27&gt;ProposalToGnatt[[#This Row],[Start Date]],AV$27&lt;ProposalToGnatt[[#This Row],[Start Date]]+ProposalToGnatt[[#This Row],[Days]]),$G$5,"")),"")</f>
        <v/>
      </c>
      <c r="AW37" s="36" t="str">
        <f ca="1">IFERROR(+IF(AW$27=ProposalToGnatt[[#This Row],[Start Date]],Milestone_Marker,IF(AND(AW$27&gt;ProposalToGnatt[[#This Row],[Start Date]],AW$27&lt;ProposalToGnatt[[#This Row],[Start Date]]+ProposalToGnatt[[#This Row],[Days]]),$G$5,"")),"")</f>
        <v/>
      </c>
      <c r="AX37" s="36" t="str">
        <f ca="1">IFERROR(+IF(AX$27=ProposalToGnatt[[#This Row],[Start Date]],Milestone_Marker,IF(AND(AX$27&gt;ProposalToGnatt[[#This Row],[Start Date]],AX$27&lt;ProposalToGnatt[[#This Row],[Start Date]]+ProposalToGnatt[[#This Row],[Days]]),$G$5,"")),"")</f>
        <v/>
      </c>
      <c r="AY37" s="36" t="str">
        <f ca="1">IFERROR(+IF(AY$27=ProposalToGnatt[[#This Row],[Start Date]],Milestone_Marker,IF(AND(AY$27&gt;ProposalToGnatt[[#This Row],[Start Date]],AY$27&lt;ProposalToGnatt[[#This Row],[Start Date]]+ProposalToGnatt[[#This Row],[Days]]),$G$5,"")),"")</f>
        <v/>
      </c>
      <c r="AZ37" s="36" t="str">
        <f ca="1">IFERROR(+IF(AZ$27=ProposalToGnatt[[#This Row],[Start Date]],Milestone_Marker,IF(AND(AZ$27&gt;ProposalToGnatt[[#This Row],[Start Date]],AZ$27&lt;ProposalToGnatt[[#This Row],[Start Date]]+ProposalToGnatt[[#This Row],[Days]]),$G$5,"")),"")</f>
        <v/>
      </c>
      <c r="BA37" s="36" t="str">
        <f ca="1">IFERROR(+IF(BA$27=ProposalToGnatt[[#This Row],[Start Date]],Milestone_Marker,IF(AND(BA$27&gt;ProposalToGnatt[[#This Row],[Start Date]],BA$27&lt;ProposalToGnatt[[#This Row],[Start Date]]+ProposalToGnatt[[#This Row],[Days]]),$G$5,"")),"")</f>
        <v/>
      </c>
      <c r="BB37" s="36" t="str">
        <f ca="1">IFERROR(+IF(BB$27=ProposalToGnatt[[#This Row],[Start Date]],Milestone_Marker,IF(AND(BB$27&gt;ProposalToGnatt[[#This Row],[Start Date]],BB$27&lt;ProposalToGnatt[[#This Row],[Start Date]]+ProposalToGnatt[[#This Row],[Days]]),$G$5,"")),"")</f>
        <v/>
      </c>
      <c r="BC37" s="36" t="str">
        <f ca="1">IFERROR(+IF(BC$27=ProposalToGnatt[[#This Row],[Start Date]],Milestone_Marker,IF(AND(BC$27&gt;ProposalToGnatt[[#This Row],[Start Date]],BC$27&lt;ProposalToGnatt[[#This Row],[Start Date]]+ProposalToGnatt[[#This Row],[Days]]),$G$5,"")),"")</f>
        <v/>
      </c>
      <c r="BD37" s="36" t="str">
        <f ca="1">IFERROR(+IF(BD$27=ProposalToGnatt[[#This Row],[Start Date]],Milestone_Marker,IF(AND(BD$27&gt;ProposalToGnatt[[#This Row],[Start Date]],BD$27&lt;ProposalToGnatt[[#This Row],[Start Date]]+ProposalToGnatt[[#This Row],[Days]]),$G$5,"")),"")</f>
        <v/>
      </c>
      <c r="BE37" s="36" t="str">
        <f ca="1">IFERROR(+IF(BE$27=ProposalToGnatt[[#This Row],[Start Date]],Milestone_Marker,IF(AND(BE$27&gt;ProposalToGnatt[[#This Row],[Start Date]],BE$27&lt;ProposalToGnatt[[#This Row],[Start Date]]+ProposalToGnatt[[#This Row],[Days]]),$G$5,"")),"")</f>
        <v/>
      </c>
      <c r="BF37" s="36" t="str">
        <f ca="1">IFERROR(+IF(BF$27=ProposalToGnatt[[#This Row],[Start Date]],Milestone_Marker,IF(AND(BF$27&gt;ProposalToGnatt[[#This Row],[Start Date]],BF$27&lt;ProposalToGnatt[[#This Row],[Start Date]]+ProposalToGnatt[[#This Row],[Days]]),$G$5,"")),"")</f>
        <v/>
      </c>
      <c r="BG37" s="36" t="str">
        <f ca="1">IFERROR(+IF(BG$27=ProposalToGnatt[[#This Row],[Start Date]],Milestone_Marker,IF(AND(BG$27&gt;ProposalToGnatt[[#This Row],[Start Date]],BG$27&lt;ProposalToGnatt[[#This Row],[Start Date]]+ProposalToGnatt[[#This Row],[Days]]),$G$5,"")),"")</f>
        <v/>
      </c>
      <c r="BH37" s="36" t="str">
        <f ca="1">IFERROR(+IF(BH$27=ProposalToGnatt[[#This Row],[Start Date]],Milestone_Marker,IF(AND(BH$27&gt;ProposalToGnatt[[#This Row],[Start Date]],BH$27&lt;ProposalToGnatt[[#This Row],[Start Date]]+ProposalToGnatt[[#This Row],[Days]]),$G$5,"")),"")</f>
        <v/>
      </c>
      <c r="BI37" s="36" t="str">
        <f ca="1">IFERROR(+IF(BI$27=ProposalToGnatt[[#This Row],[Start Date]],Milestone_Marker,IF(AND(BI$27&gt;ProposalToGnatt[[#This Row],[Start Date]],BI$27&lt;ProposalToGnatt[[#This Row],[Start Date]]+ProposalToGnatt[[#This Row],[Days]]),$G$5,"")),"")</f>
        <v/>
      </c>
      <c r="BJ37" s="36" t="str">
        <f ca="1">IFERROR(+IF(BJ$27=ProposalToGnatt[[#This Row],[Start Date]],Milestone_Marker,IF(AND(BJ$27&gt;ProposalToGnatt[[#This Row],[Start Date]],BJ$27&lt;ProposalToGnatt[[#This Row],[Start Date]]+ProposalToGnatt[[#This Row],[Days]]),$G$5,"")),"")</f>
        <v/>
      </c>
      <c r="BK37" s="36" t="str">
        <f ca="1">IFERROR(+IF(BK$27=ProposalToGnatt[[#This Row],[Start Date]],Milestone_Marker,IF(AND(BK$27&gt;ProposalToGnatt[[#This Row],[Start Date]],BK$27&lt;ProposalToGnatt[[#This Row],[Start Date]]+ProposalToGnatt[[#This Row],[Days]]),$G$5,"")),"")</f>
        <v/>
      </c>
      <c r="BL37" s="36" t="str">
        <f ca="1">IFERROR(+IF(BL$27=ProposalToGnatt[[#This Row],[Start Date]],Milestone_Marker,IF(AND(BL$27&gt;ProposalToGnatt[[#This Row],[Start Date]],BL$27&lt;ProposalToGnatt[[#This Row],[Start Date]]+ProposalToGnatt[[#This Row],[Days]]),$G$5,"")),"")</f>
        <v/>
      </c>
      <c r="BM37" s="36" t="str">
        <f ca="1">IFERROR(+IF(BM$27=ProposalToGnatt[[#This Row],[Start Date]],Milestone_Marker,IF(AND(BM$27&gt;ProposalToGnatt[[#This Row],[Start Date]],BM$27&lt;ProposalToGnatt[[#This Row],[Start Date]]+ProposalToGnatt[[#This Row],[Days]]),$G$5,"")),"")</f>
        <v/>
      </c>
      <c r="BN37" s="36" t="str">
        <f ca="1">IFERROR(+IF(BN$27=ProposalToGnatt[[#This Row],[Start Date]],Milestone_Marker,IF(AND(BN$27&gt;ProposalToGnatt[[#This Row],[Start Date]],BN$27&lt;ProposalToGnatt[[#This Row],[Start Date]]+ProposalToGnatt[[#This Row],[Days]]),$G$5,"")),"")</f>
        <v/>
      </c>
      <c r="BO37" s="36" t="str">
        <f ca="1">IFERROR(+IF(BO$27=ProposalToGnatt[[#This Row],[Start Date]],Milestone_Marker,IF(AND(BO$27&gt;ProposalToGnatt[[#This Row],[Start Date]],BO$27&lt;ProposalToGnatt[[#This Row],[Start Date]]+ProposalToGnatt[[#This Row],[Days]]),$G$5,"")),"")</f>
        <v/>
      </c>
      <c r="BP37" s="36" t="str">
        <f ca="1">IFERROR(+IF(BP$27=ProposalToGnatt[[#This Row],[Start Date]],Milestone_Marker,IF(AND(BP$27&gt;ProposalToGnatt[[#This Row],[Start Date]],BP$27&lt;ProposalToGnatt[[#This Row],[Start Date]]+ProposalToGnatt[[#This Row],[Days]]),$G$5,"")),"")</f>
        <v/>
      </c>
      <c r="BQ37" s="36" t="str">
        <f ca="1">IFERROR(+IF(BQ$27=ProposalToGnatt[[#This Row],[Start Date]],Milestone_Marker,IF(AND(BQ$27&gt;ProposalToGnatt[[#This Row],[Start Date]],BQ$27&lt;ProposalToGnatt[[#This Row],[Start Date]]+ProposalToGnatt[[#This Row],[Days]]),$G$5,"")),"")</f>
        <v/>
      </c>
      <c r="BR37" s="36" t="str">
        <f ca="1">IFERROR(+IF(BR$27=ProposalToGnatt[[#This Row],[Start Date]],Milestone_Marker,IF(AND(BR$27&gt;ProposalToGnatt[[#This Row],[Start Date]],BR$27&lt;ProposalToGnatt[[#This Row],[Start Date]]+ProposalToGnatt[[#This Row],[Days]]),$G$5,"")),"")</f>
        <v/>
      </c>
      <c r="BS37" s="36" t="str">
        <f ca="1">IFERROR(+IF(BS$27=ProposalToGnatt[[#This Row],[Start Date]],Milestone_Marker,IF(AND(BS$27&gt;ProposalToGnatt[[#This Row],[Start Date]],BS$27&lt;ProposalToGnatt[[#This Row],[Start Date]]+ProposalToGnatt[[#This Row],[Days]]),$G$5,"")),"")</f>
        <v/>
      </c>
      <c r="BT37" s="36" t="str">
        <f ca="1">IFERROR(+IF(BT$27=ProposalToGnatt[[#This Row],[Start Date]],Milestone_Marker,IF(AND(BT$27&gt;ProposalToGnatt[[#This Row],[Start Date]],BT$27&lt;ProposalToGnatt[[#This Row],[Start Date]]+ProposalToGnatt[[#This Row],[Days]]),$G$5,"")),"")</f>
        <v/>
      </c>
      <c r="BU37" s="36" t="str">
        <f ca="1">IFERROR(+IF(BU$27=ProposalToGnatt[[#This Row],[Start Date]],Milestone_Marker,IF(AND(BU$27&gt;ProposalToGnatt[[#This Row],[Start Date]],BU$27&lt;ProposalToGnatt[[#This Row],[Start Date]]+ProposalToGnatt[[#This Row],[Days]]),$G$5,"")),"")</f>
        <v/>
      </c>
      <c r="BV37" s="36" t="str">
        <f ca="1">IFERROR(+IF(BV$27=ProposalToGnatt[[#This Row],[Start Date]],Milestone_Marker,IF(AND(BV$27&gt;ProposalToGnatt[[#This Row],[Start Date]],BV$27&lt;ProposalToGnatt[[#This Row],[Start Date]]+ProposalToGnatt[[#This Row],[Days]]),$G$5,"")),"")</f>
        <v/>
      </c>
      <c r="BW37" s="36" t="str">
        <f ca="1">IFERROR(+IF(BW$27=ProposalToGnatt[[#This Row],[Start Date]],Milestone_Marker,IF(AND(BW$27&gt;ProposalToGnatt[[#This Row],[Start Date]],BW$27&lt;ProposalToGnatt[[#This Row],[Start Date]]+ProposalToGnatt[[#This Row],[Days]]),$G$5,"")),"")</f>
        <v/>
      </c>
      <c r="BX37" s="36" t="str">
        <f ca="1">IFERROR(+IF(BX$27=ProposalToGnatt[[#This Row],[Start Date]],Milestone_Marker,IF(AND(BX$27&gt;ProposalToGnatt[[#This Row],[Start Date]],BX$27&lt;ProposalToGnatt[[#This Row],[Start Date]]+ProposalToGnatt[[#This Row],[Days]]),$G$5,"")),"")</f>
        <v/>
      </c>
      <c r="BY37" s="36" t="str">
        <f ca="1">IFERROR(+IF(BY$27=ProposalToGnatt[[#This Row],[Start Date]],Milestone_Marker,IF(AND(BY$27&gt;ProposalToGnatt[[#This Row],[Start Date]],BY$27&lt;ProposalToGnatt[[#This Row],[Start Date]]+ProposalToGnatt[[#This Row],[Days]]),$G$5,"")),"")</f>
        <v/>
      </c>
      <c r="BZ37" s="36" t="str">
        <f ca="1">IFERROR(+IF(BZ$27=ProposalToGnatt[[#This Row],[Start Date]],Milestone_Marker,IF(AND(BZ$27&gt;ProposalToGnatt[[#This Row],[Start Date]],BZ$27&lt;ProposalToGnatt[[#This Row],[Start Date]]+ProposalToGnatt[[#This Row],[Days]]),$G$5,"")),"")</f>
        <v/>
      </c>
      <c r="CA37" s="36" t="str">
        <f ca="1">IFERROR(+IF(CA$27=ProposalToGnatt[[#This Row],[Start Date]],Milestone_Marker,IF(AND(CA$27&gt;ProposalToGnatt[[#This Row],[Start Date]],CA$27&lt;ProposalToGnatt[[#This Row],[Start Date]]+ProposalToGnatt[[#This Row],[Days]]),$G$5,"")),"")</f>
        <v/>
      </c>
      <c r="CB37" s="36" t="str">
        <f ca="1">IFERROR(+IF(CB$27=ProposalToGnatt[[#This Row],[Start Date]],Milestone_Marker,IF(AND(CB$27&gt;ProposalToGnatt[[#This Row],[Start Date]],CB$27&lt;ProposalToGnatt[[#This Row],[Start Date]]+ProposalToGnatt[[#This Row],[Days]]),$G$5,"")),"")</f>
        <v/>
      </c>
      <c r="CC37" s="36" t="str">
        <f ca="1">IFERROR(+IF(CC$27=ProposalToGnatt[[#This Row],[Start Date]],Milestone_Marker,IF(AND(CC$27&gt;ProposalToGnatt[[#This Row],[Start Date]],CC$27&lt;ProposalToGnatt[[#This Row],[Start Date]]+ProposalToGnatt[[#This Row],[Days]]),$G$5,"")),"")</f>
        <v/>
      </c>
      <c r="CD37" s="36" t="str">
        <f ca="1">IFERROR(+IF(CD$27=ProposalToGnatt[[#This Row],[Start Date]],Milestone_Marker,IF(AND(CD$27&gt;ProposalToGnatt[[#This Row],[Start Date]],CD$27&lt;ProposalToGnatt[[#This Row],[Start Date]]+ProposalToGnatt[[#This Row],[Days]]),$G$5,"")),"")</f>
        <v/>
      </c>
      <c r="CE37" s="36" t="str">
        <f ca="1">IFERROR(+IF(CE$27=ProposalToGnatt[[#This Row],[Start Date]],Milestone_Marker,IF(AND(CE$27&gt;ProposalToGnatt[[#This Row],[Start Date]],CE$27&lt;ProposalToGnatt[[#This Row],[Start Date]]+ProposalToGnatt[[#This Row],[Days]]),$G$5,"")),"")</f>
        <v/>
      </c>
      <c r="CF37" s="36" t="str">
        <f ca="1">IFERROR(+IF(CF$27=ProposalToGnatt[[#This Row],[Start Date]],Milestone_Marker,IF(AND(CF$27&gt;ProposalToGnatt[[#This Row],[Start Date]],CF$27&lt;ProposalToGnatt[[#This Row],[Start Date]]+ProposalToGnatt[[#This Row],[Days]]),$G$5,"")),"")</f>
        <v/>
      </c>
      <c r="CG37" s="36" t="str">
        <f ca="1">IFERROR(+IF(CG$27=ProposalToGnatt[[#This Row],[Start Date]],Milestone_Marker,IF(AND(CG$27&gt;ProposalToGnatt[[#This Row],[Start Date]],CG$27&lt;ProposalToGnatt[[#This Row],[Start Date]]+ProposalToGnatt[[#This Row],[Days]]),$G$5,"")),"")</f>
        <v/>
      </c>
      <c r="CH37" s="36" t="str">
        <f ca="1">IFERROR(+IF(CH$27=ProposalToGnatt[[#This Row],[Start Date]],Milestone_Marker,IF(AND(CH$27&gt;ProposalToGnatt[[#This Row],[Start Date]],CH$27&lt;ProposalToGnatt[[#This Row],[Start Date]]+ProposalToGnatt[[#This Row],[Days]]),$G$5,"")),"")</f>
        <v/>
      </c>
      <c r="CI37" s="36" t="str">
        <f ca="1">IFERROR(+IF(CI$27=ProposalToGnatt[[#This Row],[Start Date]],Milestone_Marker,IF(AND(CI$27&gt;ProposalToGnatt[[#This Row],[Start Date]],CI$27&lt;ProposalToGnatt[[#This Row],[Start Date]]+ProposalToGnatt[[#This Row],[Days]]),$G$5,"")),"")</f>
        <v/>
      </c>
      <c r="CJ37" s="36" t="str">
        <f ca="1">IFERROR(+IF(CJ$27=ProposalToGnatt[[#This Row],[Start Date]],Milestone_Marker,IF(AND(CJ$27&gt;ProposalToGnatt[[#This Row],[Start Date]],CJ$27&lt;ProposalToGnatt[[#This Row],[Start Date]]+ProposalToGnatt[[#This Row],[Days]]),$G$5,"")),"")</f>
        <v/>
      </c>
      <c r="CK37" s="36" t="str">
        <f ca="1">IFERROR(+IF(CK$27=ProposalToGnatt[[#This Row],[Start Date]],Milestone_Marker,IF(AND(CK$27&gt;ProposalToGnatt[[#This Row],[Start Date]],CK$27&lt;ProposalToGnatt[[#This Row],[Start Date]]+ProposalToGnatt[[#This Row],[Days]]),$G$5,"")),"")</f>
        <v/>
      </c>
      <c r="CL37" s="36" t="str">
        <f ca="1">IFERROR(+IF(CL$27=ProposalToGnatt[[#This Row],[Start Date]],Milestone_Marker,IF(AND(CL$27&gt;ProposalToGnatt[[#This Row],[Start Date]],CL$27&lt;ProposalToGnatt[[#This Row],[Start Date]]+ProposalToGnatt[[#This Row],[Days]]),$G$5,"")),"")</f>
        <v/>
      </c>
      <c r="CM37" s="36" t="str">
        <f ca="1">IFERROR(+IF(CM$27=ProposalToGnatt[[#This Row],[Start Date]],Milestone_Marker,IF(AND(CM$27&gt;ProposalToGnatt[[#This Row],[Start Date]],CM$27&lt;ProposalToGnatt[[#This Row],[Start Date]]+ProposalToGnatt[[#This Row],[Days]]),$G$5,"")),"")</f>
        <v/>
      </c>
      <c r="CN37" s="36" t="str">
        <f ca="1">IFERROR(+IF(CN$27=ProposalToGnatt[[#This Row],[Start Date]],Milestone_Marker,IF(AND(CN$27&gt;ProposalToGnatt[[#This Row],[Start Date]],CN$27&lt;ProposalToGnatt[[#This Row],[Start Date]]+ProposalToGnatt[[#This Row],[Days]]),$G$5,"")),"")</f>
        <v/>
      </c>
      <c r="CO37" s="36" t="str">
        <f ca="1">IFERROR(+IF(CO$27=ProposalToGnatt[[#This Row],[Start Date]],Milestone_Marker,IF(AND(CO$27&gt;ProposalToGnatt[[#This Row],[Start Date]],CO$27&lt;ProposalToGnatt[[#This Row],[Start Date]]+ProposalToGnatt[[#This Row],[Days]]),$G$5,"")),"")</f>
        <v/>
      </c>
      <c r="CP37" s="36" t="str">
        <f ca="1">IFERROR(+IF(CP$27=ProposalToGnatt[[#This Row],[Start Date]],Milestone_Marker,IF(AND(CP$27&gt;ProposalToGnatt[[#This Row],[Start Date]],CP$27&lt;ProposalToGnatt[[#This Row],[Start Date]]+ProposalToGnatt[[#This Row],[Days]]),$G$5,"")),"")</f>
        <v/>
      </c>
      <c r="CQ37" s="36" t="str">
        <f ca="1">IFERROR(+IF(CQ$27=ProposalToGnatt[[#This Row],[Start Date]],Milestone_Marker,IF(AND(CQ$27&gt;ProposalToGnatt[[#This Row],[Start Date]],CQ$27&lt;ProposalToGnatt[[#This Row],[Start Date]]+ProposalToGnatt[[#This Row],[Days]]),$G$5,"")),"")</f>
        <v/>
      </c>
      <c r="CR37" s="36" t="str">
        <f ca="1">IFERROR(+IF(CR$27=ProposalToGnatt[[#This Row],[Start Date]],Milestone_Marker,IF(AND(CR$27&gt;ProposalToGnatt[[#This Row],[Start Date]],CR$27&lt;ProposalToGnatt[[#This Row],[Start Date]]+ProposalToGnatt[[#This Row],[Days]]),$G$5,"")),"")</f>
        <v/>
      </c>
      <c r="CS37" s="36" t="str">
        <f ca="1">IFERROR(+IF(CS$27=ProposalToGnatt[[#This Row],[Start Date]],Milestone_Marker,IF(AND(CS$27&gt;ProposalToGnatt[[#This Row],[Start Date]],CS$27&lt;ProposalToGnatt[[#This Row],[Start Date]]+ProposalToGnatt[[#This Row],[Days]]),$G$5,"")),"")</f>
        <v/>
      </c>
      <c r="CT37" s="36" t="str">
        <f ca="1">IFERROR(+IF(CT$27=ProposalToGnatt[[#This Row],[Start Date]],Milestone_Marker,IF(AND(CT$27&gt;ProposalToGnatt[[#This Row],[Start Date]],CT$27&lt;ProposalToGnatt[[#This Row],[Start Date]]+ProposalToGnatt[[#This Row],[Days]]),$G$5,"")),"")</f>
        <v/>
      </c>
      <c r="CU37" s="36" t="str">
        <f ca="1">IFERROR(+IF(CU$27=ProposalToGnatt[[#This Row],[Start Date]],Milestone_Marker,IF(AND(CU$27&gt;ProposalToGnatt[[#This Row],[Start Date]],CU$27&lt;ProposalToGnatt[[#This Row],[Start Date]]+ProposalToGnatt[[#This Row],[Days]]),$G$5,"")),"")</f>
        <v/>
      </c>
      <c r="CV37" s="36"/>
      <c r="CW37" s="36"/>
      <c r="CX37" s="36"/>
      <c r="CY37" s="36"/>
      <c r="CZ37" s="36"/>
      <c r="DA37" s="36"/>
      <c r="DB37" s="36"/>
      <c r="DC37" s="36"/>
      <c r="DD37" s="36"/>
      <c r="DE37" s="36"/>
      <c r="DF37" s="36"/>
      <c r="DG37" s="36"/>
      <c r="DH37" s="36"/>
      <c r="DI37" s="36"/>
      <c r="DJ37" s="36"/>
      <c r="DK37" s="36"/>
      <c r="DL37" s="36"/>
      <c r="DM37" s="36"/>
      <c r="DN37" s="36"/>
      <c r="DO37" s="36"/>
      <c r="DP37" s="36"/>
      <c r="DQ37" s="36"/>
      <c r="DR37" s="36"/>
      <c r="DS37" s="36"/>
      <c r="DT37" s="36"/>
      <c r="DU37" s="36"/>
    </row>
    <row r="38" spans="1:125" s="41" customFormat="1" ht="20.100000000000001" customHeight="1" x14ac:dyDescent="0.25">
      <c r="A38" t="s">
        <v>263</v>
      </c>
      <c r="B38">
        <v>11</v>
      </c>
      <c r="C38"/>
      <c r="D38"/>
      <c r="E38"/>
      <c r="F38"/>
      <c r="G38" s="14"/>
      <c r="H38" s="14"/>
      <c r="I38"/>
      <c r="J38"/>
      <c r="K38" s="246"/>
      <c r="L38"/>
      <c r="M38" s="14"/>
      <c r="N38" s="299"/>
      <c r="O38" s="281"/>
      <c r="P38" s="36" t="str">
        <f ca="1">IFERROR(+IF(P$27=ProposalToGnatt[[#This Row],[Start Date]],Milestone_Marker,IF(AND(P$27&gt;ProposalToGnatt[[#This Row],[Start Date]],P$27&lt;ProposalToGnatt[[#This Row],[Start Date]]+ProposalToGnatt[[#This Row],[Days]]),$G$5,"")),"")</f>
        <v/>
      </c>
      <c r="Q38" s="36" t="str">
        <f ca="1">IFERROR(+IF(Q$27=ProposalToGnatt[[#This Row],[Start Date]],Milestone_Marker,IF(AND(Q$27&gt;ProposalToGnatt[[#This Row],[Start Date]],Q$27&lt;ProposalToGnatt[[#This Row],[Start Date]]+ProposalToGnatt[[#This Row],[Days]]),$G$5,"")),"")</f>
        <v/>
      </c>
      <c r="R38" s="36" t="str">
        <f ca="1">IFERROR(+IF(R$27=ProposalToGnatt[[#This Row],[Start Date]],Milestone_Marker,IF(AND(R$27&gt;ProposalToGnatt[[#This Row],[Start Date]],R$27&lt;ProposalToGnatt[[#This Row],[Start Date]]+ProposalToGnatt[[#This Row],[Days]]),$G$5,"")),"")</f>
        <v/>
      </c>
      <c r="S38" s="36" t="str">
        <f ca="1">IFERROR(+IF(S$27=ProposalToGnatt[[#This Row],[Start Date]],Milestone_Marker,IF(AND(S$27&gt;ProposalToGnatt[[#This Row],[Start Date]],S$27&lt;ProposalToGnatt[[#This Row],[Start Date]]+ProposalToGnatt[[#This Row],[Days]]),$G$5,"")),"")</f>
        <v/>
      </c>
      <c r="T38" s="36" t="str">
        <f ca="1">IFERROR(+IF(T$27=ProposalToGnatt[[#This Row],[Start Date]],Milestone_Marker,IF(AND(T$27&gt;ProposalToGnatt[[#This Row],[Start Date]],T$27&lt;ProposalToGnatt[[#This Row],[Start Date]]+ProposalToGnatt[[#This Row],[Days]]),$G$5,"")),"")</f>
        <v/>
      </c>
      <c r="U38" s="36" t="str">
        <f ca="1">IFERROR(+IF(U$27=ProposalToGnatt[[#This Row],[Start Date]],Milestone_Marker,IF(AND(U$27&gt;ProposalToGnatt[[#This Row],[Start Date]],U$27&lt;ProposalToGnatt[[#This Row],[Start Date]]+ProposalToGnatt[[#This Row],[Days]]),$G$5,"")),"")</f>
        <v/>
      </c>
      <c r="V38" s="36" t="str">
        <f ca="1">IFERROR(+IF(V$27=ProposalToGnatt[[#This Row],[Start Date]],Milestone_Marker,IF(AND(V$27&gt;ProposalToGnatt[[#This Row],[Start Date]],V$27&lt;ProposalToGnatt[[#This Row],[Start Date]]+ProposalToGnatt[[#This Row],[Days]]),$G$5,"")),"")</f>
        <v/>
      </c>
      <c r="W38" s="36" t="str">
        <f ca="1">IFERROR(+IF(W$27=ProposalToGnatt[[#This Row],[Start Date]],Milestone_Marker,IF(AND(W$27&gt;ProposalToGnatt[[#This Row],[Start Date]],W$27&lt;ProposalToGnatt[[#This Row],[Start Date]]+ProposalToGnatt[[#This Row],[Days]]),$G$5,"")),"")</f>
        <v/>
      </c>
      <c r="X38" s="36" t="str">
        <f ca="1">IFERROR(+IF(X$27=ProposalToGnatt[[#This Row],[Start Date]],Milestone_Marker,IF(AND(X$27&gt;ProposalToGnatt[[#This Row],[Start Date]],X$27&lt;ProposalToGnatt[[#This Row],[Start Date]]+ProposalToGnatt[[#This Row],[Days]]),$G$5,"")),"")</f>
        <v/>
      </c>
      <c r="Y38" s="36" t="str">
        <f ca="1">IFERROR(+IF(Y$27=ProposalToGnatt[[#This Row],[Start Date]],Milestone_Marker,IF(AND(Y$27&gt;ProposalToGnatt[[#This Row],[Start Date]],Y$27&lt;ProposalToGnatt[[#This Row],[Start Date]]+ProposalToGnatt[[#This Row],[Days]]),$G$5,"")),"")</f>
        <v/>
      </c>
      <c r="Z38" s="36" t="str">
        <f ca="1">IFERROR(+IF(Z$27=ProposalToGnatt[[#This Row],[Start Date]],Milestone_Marker,IF(AND(Z$27&gt;ProposalToGnatt[[#This Row],[Start Date]],Z$27&lt;ProposalToGnatt[[#This Row],[Start Date]]+ProposalToGnatt[[#This Row],[Days]]),$G$5,"")),"")</f>
        <v/>
      </c>
      <c r="AA38" s="36" t="str">
        <f ca="1">IFERROR(+IF(AA$27=ProposalToGnatt[[#This Row],[Start Date]],Milestone_Marker,IF(AND(AA$27&gt;ProposalToGnatt[[#This Row],[Start Date]],AA$27&lt;ProposalToGnatt[[#This Row],[Start Date]]+ProposalToGnatt[[#This Row],[Days]]),$G$5,"")),"")</f>
        <v/>
      </c>
      <c r="AB38" s="36" t="str">
        <f ca="1">IFERROR(+IF(AB$27=ProposalToGnatt[[#This Row],[Start Date]],Milestone_Marker,IF(AND(AB$27&gt;ProposalToGnatt[[#This Row],[Start Date]],AB$27&lt;ProposalToGnatt[[#This Row],[Start Date]]+ProposalToGnatt[[#This Row],[Days]]),$G$5,"")),"")</f>
        <v/>
      </c>
      <c r="AC38" s="36" t="str">
        <f ca="1">IFERROR(+IF(AC$27=ProposalToGnatt[[#This Row],[Start Date]],Milestone_Marker,IF(AND(AC$27&gt;ProposalToGnatt[[#This Row],[Start Date]],AC$27&lt;ProposalToGnatt[[#This Row],[Start Date]]+ProposalToGnatt[[#This Row],[Days]]),$G$5,"")),"")</f>
        <v/>
      </c>
      <c r="AD38" s="36" t="str">
        <f ca="1">IFERROR(+IF(AD$27=ProposalToGnatt[[#This Row],[Start Date]],Milestone_Marker,IF(AND(AD$27&gt;ProposalToGnatt[[#This Row],[Start Date]],AD$27&lt;ProposalToGnatt[[#This Row],[Start Date]]+ProposalToGnatt[[#This Row],[Days]]),$G$5,"")),"")</f>
        <v/>
      </c>
      <c r="AE38" s="36" t="str">
        <f ca="1">IFERROR(+IF(AE$27=ProposalToGnatt[[#This Row],[Start Date]],Milestone_Marker,IF(AND(AE$27&gt;ProposalToGnatt[[#This Row],[Start Date]],AE$27&lt;ProposalToGnatt[[#This Row],[Start Date]]+ProposalToGnatt[[#This Row],[Days]]),$G$5,"")),"")</f>
        <v/>
      </c>
      <c r="AF38" s="36" t="str">
        <f ca="1">IFERROR(+IF(AF$27=ProposalToGnatt[[#This Row],[Start Date]],Milestone_Marker,IF(AND(AF$27&gt;ProposalToGnatt[[#This Row],[Start Date]],AF$27&lt;ProposalToGnatt[[#This Row],[Start Date]]+ProposalToGnatt[[#This Row],[Days]]),$G$5,"")),"")</f>
        <v/>
      </c>
      <c r="AG38" s="36" t="str">
        <f ca="1">IFERROR(+IF(AG$27=ProposalToGnatt[[#This Row],[Start Date]],Milestone_Marker,IF(AND(AG$27&gt;ProposalToGnatt[[#This Row],[Start Date]],AG$27&lt;ProposalToGnatt[[#This Row],[Start Date]]+ProposalToGnatt[[#This Row],[Days]]),$G$5,"")),"")</f>
        <v/>
      </c>
      <c r="AH38" s="36" t="str">
        <f ca="1">IFERROR(+IF(AH$27=ProposalToGnatt[[#This Row],[Start Date]],Milestone_Marker,IF(AND(AH$27&gt;ProposalToGnatt[[#This Row],[Start Date]],AH$27&lt;ProposalToGnatt[[#This Row],[Start Date]]+ProposalToGnatt[[#This Row],[Days]]),$G$5,"")),"")</f>
        <v/>
      </c>
      <c r="AI38" s="36" t="str">
        <f ca="1">IFERROR(+IF(AI$27=ProposalToGnatt[[#This Row],[Start Date]],Milestone_Marker,IF(AND(AI$27&gt;ProposalToGnatt[[#This Row],[Start Date]],AI$27&lt;ProposalToGnatt[[#This Row],[Start Date]]+ProposalToGnatt[[#This Row],[Days]]),$G$5,"")),"")</f>
        <v/>
      </c>
      <c r="AJ38" s="36" t="str">
        <f ca="1">IFERROR(+IF(AJ$27=ProposalToGnatt[[#This Row],[Start Date]],Milestone_Marker,IF(AND(AJ$27&gt;ProposalToGnatt[[#This Row],[Start Date]],AJ$27&lt;ProposalToGnatt[[#This Row],[Start Date]]+ProposalToGnatt[[#This Row],[Days]]),$G$5,"")),"")</f>
        <v/>
      </c>
      <c r="AK38" s="36" t="str">
        <f ca="1">IFERROR(+IF(AK$27=ProposalToGnatt[[#This Row],[Start Date]],Milestone_Marker,IF(AND(AK$27&gt;ProposalToGnatt[[#This Row],[Start Date]],AK$27&lt;ProposalToGnatt[[#This Row],[Start Date]]+ProposalToGnatt[[#This Row],[Days]]),$G$5,"")),"")</f>
        <v/>
      </c>
      <c r="AL38" s="36" t="str">
        <f ca="1">IFERROR(+IF(AL$27=ProposalToGnatt[[#This Row],[Start Date]],Milestone_Marker,IF(AND(AL$27&gt;ProposalToGnatt[[#This Row],[Start Date]],AL$27&lt;ProposalToGnatt[[#This Row],[Start Date]]+ProposalToGnatt[[#This Row],[Days]]),$G$5,"")),"")</f>
        <v/>
      </c>
      <c r="AM38" s="36" t="str">
        <f ca="1">IFERROR(+IF(AM$27=ProposalToGnatt[[#This Row],[Start Date]],Milestone_Marker,IF(AND(AM$27&gt;ProposalToGnatt[[#This Row],[Start Date]],AM$27&lt;ProposalToGnatt[[#This Row],[Start Date]]+ProposalToGnatt[[#This Row],[Days]]),$G$5,"")),"")</f>
        <v/>
      </c>
      <c r="AN38" s="36" t="str">
        <f ca="1">IFERROR(+IF(AN$27=ProposalToGnatt[[#This Row],[Start Date]],Milestone_Marker,IF(AND(AN$27&gt;ProposalToGnatt[[#This Row],[Start Date]],AN$27&lt;ProposalToGnatt[[#This Row],[Start Date]]+ProposalToGnatt[[#This Row],[Days]]),$G$5,"")),"")</f>
        <v/>
      </c>
      <c r="AO38" s="36" t="str">
        <f ca="1">IFERROR(+IF(AO$27=ProposalToGnatt[[#This Row],[Start Date]],Milestone_Marker,IF(AND(AO$27&gt;ProposalToGnatt[[#This Row],[Start Date]],AO$27&lt;ProposalToGnatt[[#This Row],[Start Date]]+ProposalToGnatt[[#This Row],[Days]]),$G$5,"")),"")</f>
        <v/>
      </c>
      <c r="AP38" s="36" t="str">
        <f ca="1">IFERROR(+IF(AP$27=ProposalToGnatt[[#This Row],[Start Date]],Milestone_Marker,IF(AND(AP$27&gt;ProposalToGnatt[[#This Row],[Start Date]],AP$27&lt;ProposalToGnatt[[#This Row],[Start Date]]+ProposalToGnatt[[#This Row],[Days]]),$G$5,"")),"")</f>
        <v/>
      </c>
      <c r="AQ38" s="36" t="str">
        <f ca="1">IFERROR(+IF(AQ$27=ProposalToGnatt[[#This Row],[Start Date]],Milestone_Marker,IF(AND(AQ$27&gt;ProposalToGnatt[[#This Row],[Start Date]],AQ$27&lt;ProposalToGnatt[[#This Row],[Start Date]]+ProposalToGnatt[[#This Row],[Days]]),$G$5,"")),"")</f>
        <v/>
      </c>
      <c r="AR38" s="36" t="str">
        <f ca="1">IFERROR(+IF(AR$27=ProposalToGnatt[[#This Row],[Start Date]],Milestone_Marker,IF(AND(AR$27&gt;ProposalToGnatt[[#This Row],[Start Date]],AR$27&lt;ProposalToGnatt[[#This Row],[Start Date]]+ProposalToGnatt[[#This Row],[Days]]),$G$5,"")),"")</f>
        <v/>
      </c>
      <c r="AS38" s="36" t="str">
        <f ca="1">IFERROR(+IF(AS$27=ProposalToGnatt[[#This Row],[Start Date]],Milestone_Marker,IF(AND(AS$27&gt;ProposalToGnatt[[#This Row],[Start Date]],AS$27&lt;ProposalToGnatt[[#This Row],[Start Date]]+ProposalToGnatt[[#This Row],[Days]]),$G$5,"")),"")</f>
        <v/>
      </c>
      <c r="AT38" s="36" t="str">
        <f ca="1">IFERROR(+IF(AT$27=ProposalToGnatt[[#This Row],[Start Date]],Milestone_Marker,IF(AND(AT$27&gt;ProposalToGnatt[[#This Row],[Start Date]],AT$27&lt;ProposalToGnatt[[#This Row],[Start Date]]+ProposalToGnatt[[#This Row],[Days]]),$G$5,"")),"")</f>
        <v/>
      </c>
      <c r="AU38" s="36" t="str">
        <f ca="1">IFERROR(+IF(AU$27=ProposalToGnatt[[#This Row],[Start Date]],Milestone_Marker,IF(AND(AU$27&gt;ProposalToGnatt[[#This Row],[Start Date]],AU$27&lt;ProposalToGnatt[[#This Row],[Start Date]]+ProposalToGnatt[[#This Row],[Days]]),$G$5,"")),"")</f>
        <v/>
      </c>
      <c r="AV38" s="36" t="str">
        <f ca="1">IFERROR(+IF(AV$27=ProposalToGnatt[[#This Row],[Start Date]],Milestone_Marker,IF(AND(AV$27&gt;ProposalToGnatt[[#This Row],[Start Date]],AV$27&lt;ProposalToGnatt[[#This Row],[Start Date]]+ProposalToGnatt[[#This Row],[Days]]),$G$5,"")),"")</f>
        <v/>
      </c>
      <c r="AW38" s="36" t="str">
        <f ca="1">IFERROR(+IF(AW$27=ProposalToGnatt[[#This Row],[Start Date]],Milestone_Marker,IF(AND(AW$27&gt;ProposalToGnatt[[#This Row],[Start Date]],AW$27&lt;ProposalToGnatt[[#This Row],[Start Date]]+ProposalToGnatt[[#This Row],[Days]]),$G$5,"")),"")</f>
        <v/>
      </c>
      <c r="AX38" s="36" t="str">
        <f ca="1">IFERROR(+IF(AX$27=ProposalToGnatt[[#This Row],[Start Date]],Milestone_Marker,IF(AND(AX$27&gt;ProposalToGnatt[[#This Row],[Start Date]],AX$27&lt;ProposalToGnatt[[#This Row],[Start Date]]+ProposalToGnatt[[#This Row],[Days]]),$G$5,"")),"")</f>
        <v/>
      </c>
      <c r="AY38" s="36" t="str">
        <f ca="1">IFERROR(+IF(AY$27=ProposalToGnatt[[#This Row],[Start Date]],Milestone_Marker,IF(AND(AY$27&gt;ProposalToGnatt[[#This Row],[Start Date]],AY$27&lt;ProposalToGnatt[[#This Row],[Start Date]]+ProposalToGnatt[[#This Row],[Days]]),$G$5,"")),"")</f>
        <v/>
      </c>
      <c r="AZ38" s="36" t="str">
        <f ca="1">IFERROR(+IF(AZ$27=ProposalToGnatt[[#This Row],[Start Date]],Milestone_Marker,IF(AND(AZ$27&gt;ProposalToGnatt[[#This Row],[Start Date]],AZ$27&lt;ProposalToGnatt[[#This Row],[Start Date]]+ProposalToGnatt[[#This Row],[Days]]),$G$5,"")),"")</f>
        <v/>
      </c>
      <c r="BA38" s="36" t="str">
        <f ca="1">IFERROR(+IF(BA$27=ProposalToGnatt[[#This Row],[Start Date]],Milestone_Marker,IF(AND(BA$27&gt;ProposalToGnatt[[#This Row],[Start Date]],BA$27&lt;ProposalToGnatt[[#This Row],[Start Date]]+ProposalToGnatt[[#This Row],[Days]]),$G$5,"")),"")</f>
        <v/>
      </c>
      <c r="BB38" s="36" t="str">
        <f ca="1">IFERROR(+IF(BB$27=ProposalToGnatt[[#This Row],[Start Date]],Milestone_Marker,IF(AND(BB$27&gt;ProposalToGnatt[[#This Row],[Start Date]],BB$27&lt;ProposalToGnatt[[#This Row],[Start Date]]+ProposalToGnatt[[#This Row],[Days]]),$G$5,"")),"")</f>
        <v/>
      </c>
      <c r="BC38" s="36" t="str">
        <f ca="1">IFERROR(+IF(BC$27=ProposalToGnatt[[#This Row],[Start Date]],Milestone_Marker,IF(AND(BC$27&gt;ProposalToGnatt[[#This Row],[Start Date]],BC$27&lt;ProposalToGnatt[[#This Row],[Start Date]]+ProposalToGnatt[[#This Row],[Days]]),$G$5,"")),"")</f>
        <v/>
      </c>
      <c r="BD38" s="36" t="str">
        <f ca="1">IFERROR(+IF(BD$27=ProposalToGnatt[[#This Row],[Start Date]],Milestone_Marker,IF(AND(BD$27&gt;ProposalToGnatt[[#This Row],[Start Date]],BD$27&lt;ProposalToGnatt[[#This Row],[Start Date]]+ProposalToGnatt[[#This Row],[Days]]),$G$5,"")),"")</f>
        <v/>
      </c>
      <c r="BE38" s="36" t="str">
        <f ca="1">IFERROR(+IF(BE$27=ProposalToGnatt[[#This Row],[Start Date]],Milestone_Marker,IF(AND(BE$27&gt;ProposalToGnatt[[#This Row],[Start Date]],BE$27&lt;ProposalToGnatt[[#This Row],[Start Date]]+ProposalToGnatt[[#This Row],[Days]]),$G$5,"")),"")</f>
        <v/>
      </c>
      <c r="BF38" s="36" t="str">
        <f ca="1">IFERROR(+IF(BF$27=ProposalToGnatt[[#This Row],[Start Date]],Milestone_Marker,IF(AND(BF$27&gt;ProposalToGnatt[[#This Row],[Start Date]],BF$27&lt;ProposalToGnatt[[#This Row],[Start Date]]+ProposalToGnatt[[#This Row],[Days]]),$G$5,"")),"")</f>
        <v/>
      </c>
      <c r="BG38" s="36" t="str">
        <f ca="1">IFERROR(+IF(BG$27=ProposalToGnatt[[#This Row],[Start Date]],Milestone_Marker,IF(AND(BG$27&gt;ProposalToGnatt[[#This Row],[Start Date]],BG$27&lt;ProposalToGnatt[[#This Row],[Start Date]]+ProposalToGnatt[[#This Row],[Days]]),$G$5,"")),"")</f>
        <v/>
      </c>
      <c r="BH38" s="36" t="str">
        <f ca="1">IFERROR(+IF(BH$27=ProposalToGnatt[[#This Row],[Start Date]],Milestone_Marker,IF(AND(BH$27&gt;ProposalToGnatt[[#This Row],[Start Date]],BH$27&lt;ProposalToGnatt[[#This Row],[Start Date]]+ProposalToGnatt[[#This Row],[Days]]),$G$5,"")),"")</f>
        <v/>
      </c>
      <c r="BI38" s="36" t="str">
        <f ca="1">IFERROR(+IF(BI$27=ProposalToGnatt[[#This Row],[Start Date]],Milestone_Marker,IF(AND(BI$27&gt;ProposalToGnatt[[#This Row],[Start Date]],BI$27&lt;ProposalToGnatt[[#This Row],[Start Date]]+ProposalToGnatt[[#This Row],[Days]]),$G$5,"")),"")</f>
        <v/>
      </c>
      <c r="BJ38" s="36" t="str">
        <f ca="1">IFERROR(+IF(BJ$27=ProposalToGnatt[[#This Row],[Start Date]],Milestone_Marker,IF(AND(BJ$27&gt;ProposalToGnatt[[#This Row],[Start Date]],BJ$27&lt;ProposalToGnatt[[#This Row],[Start Date]]+ProposalToGnatt[[#This Row],[Days]]),$G$5,"")),"")</f>
        <v/>
      </c>
      <c r="BK38" s="36" t="str">
        <f ca="1">IFERROR(+IF(BK$27=ProposalToGnatt[[#This Row],[Start Date]],Milestone_Marker,IF(AND(BK$27&gt;ProposalToGnatt[[#This Row],[Start Date]],BK$27&lt;ProposalToGnatt[[#This Row],[Start Date]]+ProposalToGnatt[[#This Row],[Days]]),$G$5,"")),"")</f>
        <v/>
      </c>
      <c r="BL38" s="36" t="str">
        <f ca="1">IFERROR(+IF(BL$27=ProposalToGnatt[[#This Row],[Start Date]],Milestone_Marker,IF(AND(BL$27&gt;ProposalToGnatt[[#This Row],[Start Date]],BL$27&lt;ProposalToGnatt[[#This Row],[Start Date]]+ProposalToGnatt[[#This Row],[Days]]),$G$5,"")),"")</f>
        <v/>
      </c>
      <c r="BM38" s="36" t="str">
        <f ca="1">IFERROR(+IF(BM$27=ProposalToGnatt[[#This Row],[Start Date]],Milestone_Marker,IF(AND(BM$27&gt;ProposalToGnatt[[#This Row],[Start Date]],BM$27&lt;ProposalToGnatt[[#This Row],[Start Date]]+ProposalToGnatt[[#This Row],[Days]]),$G$5,"")),"")</f>
        <v/>
      </c>
      <c r="BN38" s="36" t="str">
        <f ca="1">IFERROR(+IF(BN$27=ProposalToGnatt[[#This Row],[Start Date]],Milestone_Marker,IF(AND(BN$27&gt;ProposalToGnatt[[#This Row],[Start Date]],BN$27&lt;ProposalToGnatt[[#This Row],[Start Date]]+ProposalToGnatt[[#This Row],[Days]]),$G$5,"")),"")</f>
        <v/>
      </c>
      <c r="BO38" s="36" t="str">
        <f ca="1">IFERROR(+IF(BO$27=ProposalToGnatt[[#This Row],[Start Date]],Milestone_Marker,IF(AND(BO$27&gt;ProposalToGnatt[[#This Row],[Start Date]],BO$27&lt;ProposalToGnatt[[#This Row],[Start Date]]+ProposalToGnatt[[#This Row],[Days]]),$G$5,"")),"")</f>
        <v/>
      </c>
      <c r="BP38" s="36" t="str">
        <f ca="1">IFERROR(+IF(BP$27=ProposalToGnatt[[#This Row],[Start Date]],Milestone_Marker,IF(AND(BP$27&gt;ProposalToGnatt[[#This Row],[Start Date]],BP$27&lt;ProposalToGnatt[[#This Row],[Start Date]]+ProposalToGnatt[[#This Row],[Days]]),$G$5,"")),"")</f>
        <v/>
      </c>
      <c r="BQ38" s="36" t="str">
        <f ca="1">IFERROR(+IF(BQ$27=ProposalToGnatt[[#This Row],[Start Date]],Milestone_Marker,IF(AND(BQ$27&gt;ProposalToGnatt[[#This Row],[Start Date]],BQ$27&lt;ProposalToGnatt[[#This Row],[Start Date]]+ProposalToGnatt[[#This Row],[Days]]),$G$5,"")),"")</f>
        <v/>
      </c>
      <c r="BR38" s="36" t="str">
        <f ca="1">IFERROR(+IF(BR$27=ProposalToGnatt[[#This Row],[Start Date]],Milestone_Marker,IF(AND(BR$27&gt;ProposalToGnatt[[#This Row],[Start Date]],BR$27&lt;ProposalToGnatt[[#This Row],[Start Date]]+ProposalToGnatt[[#This Row],[Days]]),$G$5,"")),"")</f>
        <v/>
      </c>
      <c r="BS38" s="36" t="str">
        <f ca="1">IFERROR(+IF(BS$27=ProposalToGnatt[[#This Row],[Start Date]],Milestone_Marker,IF(AND(BS$27&gt;ProposalToGnatt[[#This Row],[Start Date]],BS$27&lt;ProposalToGnatt[[#This Row],[Start Date]]+ProposalToGnatt[[#This Row],[Days]]),$G$5,"")),"")</f>
        <v/>
      </c>
      <c r="BT38" s="36" t="str">
        <f ca="1">IFERROR(+IF(BT$27=ProposalToGnatt[[#This Row],[Start Date]],Milestone_Marker,IF(AND(BT$27&gt;ProposalToGnatt[[#This Row],[Start Date]],BT$27&lt;ProposalToGnatt[[#This Row],[Start Date]]+ProposalToGnatt[[#This Row],[Days]]),$G$5,"")),"")</f>
        <v/>
      </c>
      <c r="BU38" s="36" t="str">
        <f ca="1">IFERROR(+IF(BU$27=ProposalToGnatt[[#This Row],[Start Date]],Milestone_Marker,IF(AND(BU$27&gt;ProposalToGnatt[[#This Row],[Start Date]],BU$27&lt;ProposalToGnatt[[#This Row],[Start Date]]+ProposalToGnatt[[#This Row],[Days]]),$G$5,"")),"")</f>
        <v/>
      </c>
      <c r="BV38" s="36" t="str">
        <f ca="1">IFERROR(+IF(BV$27=ProposalToGnatt[[#This Row],[Start Date]],Milestone_Marker,IF(AND(BV$27&gt;ProposalToGnatt[[#This Row],[Start Date]],BV$27&lt;ProposalToGnatt[[#This Row],[Start Date]]+ProposalToGnatt[[#This Row],[Days]]),$G$5,"")),"")</f>
        <v/>
      </c>
      <c r="BW38" s="36" t="str">
        <f ca="1">IFERROR(+IF(BW$27=ProposalToGnatt[[#This Row],[Start Date]],Milestone_Marker,IF(AND(BW$27&gt;ProposalToGnatt[[#This Row],[Start Date]],BW$27&lt;ProposalToGnatt[[#This Row],[Start Date]]+ProposalToGnatt[[#This Row],[Days]]),$G$5,"")),"")</f>
        <v/>
      </c>
      <c r="BX38" s="36" t="str">
        <f ca="1">IFERROR(+IF(BX$27=ProposalToGnatt[[#This Row],[Start Date]],Milestone_Marker,IF(AND(BX$27&gt;ProposalToGnatt[[#This Row],[Start Date]],BX$27&lt;ProposalToGnatt[[#This Row],[Start Date]]+ProposalToGnatt[[#This Row],[Days]]),$G$5,"")),"")</f>
        <v/>
      </c>
      <c r="BY38" s="36" t="str">
        <f ca="1">IFERROR(+IF(BY$27=ProposalToGnatt[[#This Row],[Start Date]],Milestone_Marker,IF(AND(BY$27&gt;ProposalToGnatt[[#This Row],[Start Date]],BY$27&lt;ProposalToGnatt[[#This Row],[Start Date]]+ProposalToGnatt[[#This Row],[Days]]),$G$5,"")),"")</f>
        <v/>
      </c>
      <c r="BZ38" s="36" t="str">
        <f ca="1">IFERROR(+IF(BZ$27=ProposalToGnatt[[#This Row],[Start Date]],Milestone_Marker,IF(AND(BZ$27&gt;ProposalToGnatt[[#This Row],[Start Date]],BZ$27&lt;ProposalToGnatt[[#This Row],[Start Date]]+ProposalToGnatt[[#This Row],[Days]]),$G$5,"")),"")</f>
        <v/>
      </c>
      <c r="CA38" s="36" t="str">
        <f ca="1">IFERROR(+IF(CA$27=ProposalToGnatt[[#This Row],[Start Date]],Milestone_Marker,IF(AND(CA$27&gt;ProposalToGnatt[[#This Row],[Start Date]],CA$27&lt;ProposalToGnatt[[#This Row],[Start Date]]+ProposalToGnatt[[#This Row],[Days]]),$G$5,"")),"")</f>
        <v/>
      </c>
      <c r="CB38" s="36" t="str">
        <f ca="1">IFERROR(+IF(CB$27=ProposalToGnatt[[#This Row],[Start Date]],Milestone_Marker,IF(AND(CB$27&gt;ProposalToGnatt[[#This Row],[Start Date]],CB$27&lt;ProposalToGnatt[[#This Row],[Start Date]]+ProposalToGnatt[[#This Row],[Days]]),$G$5,"")),"")</f>
        <v/>
      </c>
      <c r="CC38" s="36" t="str">
        <f ca="1">IFERROR(+IF(CC$27=ProposalToGnatt[[#This Row],[Start Date]],Milestone_Marker,IF(AND(CC$27&gt;ProposalToGnatt[[#This Row],[Start Date]],CC$27&lt;ProposalToGnatt[[#This Row],[Start Date]]+ProposalToGnatt[[#This Row],[Days]]),$G$5,"")),"")</f>
        <v/>
      </c>
      <c r="CD38" s="36" t="str">
        <f ca="1">IFERROR(+IF(CD$27=ProposalToGnatt[[#This Row],[Start Date]],Milestone_Marker,IF(AND(CD$27&gt;ProposalToGnatt[[#This Row],[Start Date]],CD$27&lt;ProposalToGnatt[[#This Row],[Start Date]]+ProposalToGnatt[[#This Row],[Days]]),$G$5,"")),"")</f>
        <v/>
      </c>
      <c r="CE38" s="36" t="str">
        <f ca="1">IFERROR(+IF(CE$27=ProposalToGnatt[[#This Row],[Start Date]],Milestone_Marker,IF(AND(CE$27&gt;ProposalToGnatt[[#This Row],[Start Date]],CE$27&lt;ProposalToGnatt[[#This Row],[Start Date]]+ProposalToGnatt[[#This Row],[Days]]),$G$5,"")),"")</f>
        <v/>
      </c>
      <c r="CF38" s="36" t="str">
        <f ca="1">IFERROR(+IF(CF$27=ProposalToGnatt[[#This Row],[Start Date]],Milestone_Marker,IF(AND(CF$27&gt;ProposalToGnatt[[#This Row],[Start Date]],CF$27&lt;ProposalToGnatt[[#This Row],[Start Date]]+ProposalToGnatt[[#This Row],[Days]]),$G$5,"")),"")</f>
        <v/>
      </c>
      <c r="CG38" s="36" t="str">
        <f ca="1">IFERROR(+IF(CG$27=ProposalToGnatt[[#This Row],[Start Date]],Milestone_Marker,IF(AND(CG$27&gt;ProposalToGnatt[[#This Row],[Start Date]],CG$27&lt;ProposalToGnatt[[#This Row],[Start Date]]+ProposalToGnatt[[#This Row],[Days]]),$G$5,"")),"")</f>
        <v/>
      </c>
      <c r="CH38" s="36" t="str">
        <f ca="1">IFERROR(+IF(CH$27=ProposalToGnatt[[#This Row],[Start Date]],Milestone_Marker,IF(AND(CH$27&gt;ProposalToGnatt[[#This Row],[Start Date]],CH$27&lt;ProposalToGnatt[[#This Row],[Start Date]]+ProposalToGnatt[[#This Row],[Days]]),$G$5,"")),"")</f>
        <v/>
      </c>
      <c r="CI38" s="36" t="str">
        <f ca="1">IFERROR(+IF(CI$27=ProposalToGnatt[[#This Row],[Start Date]],Milestone_Marker,IF(AND(CI$27&gt;ProposalToGnatt[[#This Row],[Start Date]],CI$27&lt;ProposalToGnatt[[#This Row],[Start Date]]+ProposalToGnatt[[#This Row],[Days]]),$G$5,"")),"")</f>
        <v/>
      </c>
      <c r="CJ38" s="36" t="str">
        <f ca="1">IFERROR(+IF(CJ$27=ProposalToGnatt[[#This Row],[Start Date]],Milestone_Marker,IF(AND(CJ$27&gt;ProposalToGnatt[[#This Row],[Start Date]],CJ$27&lt;ProposalToGnatt[[#This Row],[Start Date]]+ProposalToGnatt[[#This Row],[Days]]),$G$5,"")),"")</f>
        <v/>
      </c>
      <c r="CK38" s="36" t="str">
        <f ca="1">IFERROR(+IF(CK$27=ProposalToGnatt[[#This Row],[Start Date]],Milestone_Marker,IF(AND(CK$27&gt;ProposalToGnatt[[#This Row],[Start Date]],CK$27&lt;ProposalToGnatt[[#This Row],[Start Date]]+ProposalToGnatt[[#This Row],[Days]]),$G$5,"")),"")</f>
        <v/>
      </c>
      <c r="CL38" s="36" t="str">
        <f ca="1">IFERROR(+IF(CL$27=ProposalToGnatt[[#This Row],[Start Date]],Milestone_Marker,IF(AND(CL$27&gt;ProposalToGnatt[[#This Row],[Start Date]],CL$27&lt;ProposalToGnatt[[#This Row],[Start Date]]+ProposalToGnatt[[#This Row],[Days]]),$G$5,"")),"")</f>
        <v/>
      </c>
      <c r="CM38" s="36" t="str">
        <f ca="1">IFERROR(+IF(CM$27=ProposalToGnatt[[#This Row],[Start Date]],Milestone_Marker,IF(AND(CM$27&gt;ProposalToGnatt[[#This Row],[Start Date]],CM$27&lt;ProposalToGnatt[[#This Row],[Start Date]]+ProposalToGnatt[[#This Row],[Days]]),$G$5,"")),"")</f>
        <v/>
      </c>
      <c r="CN38" s="36" t="str">
        <f ca="1">IFERROR(+IF(CN$27=ProposalToGnatt[[#This Row],[Start Date]],Milestone_Marker,IF(AND(CN$27&gt;ProposalToGnatt[[#This Row],[Start Date]],CN$27&lt;ProposalToGnatt[[#This Row],[Start Date]]+ProposalToGnatt[[#This Row],[Days]]),$G$5,"")),"")</f>
        <v/>
      </c>
      <c r="CO38" s="36" t="str">
        <f ca="1">IFERROR(+IF(CO$27=ProposalToGnatt[[#This Row],[Start Date]],Milestone_Marker,IF(AND(CO$27&gt;ProposalToGnatt[[#This Row],[Start Date]],CO$27&lt;ProposalToGnatt[[#This Row],[Start Date]]+ProposalToGnatt[[#This Row],[Days]]),$G$5,"")),"")</f>
        <v/>
      </c>
      <c r="CP38" s="36" t="str">
        <f ca="1">IFERROR(+IF(CP$27=ProposalToGnatt[[#This Row],[Start Date]],Milestone_Marker,IF(AND(CP$27&gt;ProposalToGnatt[[#This Row],[Start Date]],CP$27&lt;ProposalToGnatt[[#This Row],[Start Date]]+ProposalToGnatt[[#This Row],[Days]]),$G$5,"")),"")</f>
        <v/>
      </c>
      <c r="CQ38" s="36" t="str">
        <f ca="1">IFERROR(+IF(CQ$27=ProposalToGnatt[[#This Row],[Start Date]],Milestone_Marker,IF(AND(CQ$27&gt;ProposalToGnatt[[#This Row],[Start Date]],CQ$27&lt;ProposalToGnatt[[#This Row],[Start Date]]+ProposalToGnatt[[#This Row],[Days]]),$G$5,"")),"")</f>
        <v/>
      </c>
      <c r="CR38" s="36" t="str">
        <f ca="1">IFERROR(+IF(CR$27=ProposalToGnatt[[#This Row],[Start Date]],Milestone_Marker,IF(AND(CR$27&gt;ProposalToGnatt[[#This Row],[Start Date]],CR$27&lt;ProposalToGnatt[[#This Row],[Start Date]]+ProposalToGnatt[[#This Row],[Days]]),$G$5,"")),"")</f>
        <v/>
      </c>
      <c r="CS38" s="36" t="str">
        <f ca="1">IFERROR(+IF(CS$27=ProposalToGnatt[[#This Row],[Start Date]],Milestone_Marker,IF(AND(CS$27&gt;ProposalToGnatt[[#This Row],[Start Date]],CS$27&lt;ProposalToGnatt[[#This Row],[Start Date]]+ProposalToGnatt[[#This Row],[Days]]),$G$5,"")),"")</f>
        <v/>
      </c>
      <c r="CT38" s="36" t="str">
        <f ca="1">IFERROR(+IF(CT$27=ProposalToGnatt[[#This Row],[Start Date]],Milestone_Marker,IF(AND(CT$27&gt;ProposalToGnatt[[#This Row],[Start Date]],CT$27&lt;ProposalToGnatt[[#This Row],[Start Date]]+ProposalToGnatt[[#This Row],[Days]]),$G$5,"")),"")</f>
        <v/>
      </c>
      <c r="CU38" s="36" t="str">
        <f ca="1">IFERROR(+IF(CU$27=ProposalToGnatt[[#This Row],[Start Date]],Milestone_Marker,IF(AND(CU$27&gt;ProposalToGnatt[[#This Row],[Start Date]],CU$27&lt;ProposalToGnatt[[#This Row],[Start Date]]+ProposalToGnatt[[#This Row],[Days]]),$G$5,"")),"")</f>
        <v/>
      </c>
      <c r="CV38" s="36"/>
      <c r="CW38" s="36"/>
      <c r="CX38" s="36"/>
      <c r="CY38" s="36"/>
      <c r="CZ38" s="36"/>
      <c r="DA38" s="36"/>
      <c r="DB38" s="36"/>
      <c r="DC38" s="36"/>
      <c r="DD38" s="36"/>
      <c r="DE38" s="36"/>
      <c r="DF38" s="36"/>
      <c r="DG38" s="36"/>
      <c r="DH38" s="36"/>
      <c r="DI38" s="36"/>
      <c r="DJ38" s="36"/>
      <c r="DK38" s="36"/>
      <c r="DL38" s="36"/>
      <c r="DM38" s="36"/>
      <c r="DN38" s="36"/>
      <c r="DO38" s="36"/>
      <c r="DP38" s="36"/>
      <c r="DQ38" s="36"/>
      <c r="DR38" s="36"/>
      <c r="DS38" s="36"/>
      <c r="DT38" s="36"/>
      <c r="DU38" s="36"/>
    </row>
    <row r="39" spans="1:125" s="41" customFormat="1" ht="20.100000000000001" customHeight="1" x14ac:dyDescent="0.25">
      <c r="A39" t="s">
        <v>263</v>
      </c>
      <c r="B39">
        <v>12</v>
      </c>
      <c r="C39"/>
      <c r="D39"/>
      <c r="E39"/>
      <c r="F39"/>
      <c r="G39" s="14"/>
      <c r="H39" s="14"/>
      <c r="I39"/>
      <c r="J39"/>
      <c r="K39" s="246"/>
      <c r="L39"/>
      <c r="M39" s="14"/>
      <c r="N39" s="299"/>
      <c r="O39" s="281"/>
      <c r="P39" s="36" t="str">
        <f ca="1">IFERROR(+IF(P$27=ProposalToGnatt[[#This Row],[Start Date]],Milestone_Marker,IF(AND(P$27&gt;ProposalToGnatt[[#This Row],[Start Date]],P$27&lt;ProposalToGnatt[[#This Row],[Start Date]]+ProposalToGnatt[[#This Row],[Days]]),$G$5,"")),"")</f>
        <v/>
      </c>
      <c r="Q39" s="36" t="str">
        <f ca="1">IFERROR(+IF(Q$27=ProposalToGnatt[[#This Row],[Start Date]],Milestone_Marker,IF(AND(Q$27&gt;ProposalToGnatt[[#This Row],[Start Date]],Q$27&lt;ProposalToGnatt[[#This Row],[Start Date]]+ProposalToGnatt[[#This Row],[Days]]),$G$5,"")),"")</f>
        <v/>
      </c>
      <c r="R39" s="36" t="str">
        <f ca="1">IFERROR(+IF(R$27=ProposalToGnatt[[#This Row],[Start Date]],Milestone_Marker,IF(AND(R$27&gt;ProposalToGnatt[[#This Row],[Start Date]],R$27&lt;ProposalToGnatt[[#This Row],[Start Date]]+ProposalToGnatt[[#This Row],[Days]]),$G$5,"")),"")</f>
        <v/>
      </c>
      <c r="S39" s="36" t="str">
        <f ca="1">IFERROR(+IF(S$27=ProposalToGnatt[[#This Row],[Start Date]],Milestone_Marker,IF(AND(S$27&gt;ProposalToGnatt[[#This Row],[Start Date]],S$27&lt;ProposalToGnatt[[#This Row],[Start Date]]+ProposalToGnatt[[#This Row],[Days]]),$G$5,"")),"")</f>
        <v/>
      </c>
      <c r="T39" s="36" t="str">
        <f ca="1">IFERROR(+IF(T$27=ProposalToGnatt[[#This Row],[Start Date]],Milestone_Marker,IF(AND(T$27&gt;ProposalToGnatt[[#This Row],[Start Date]],T$27&lt;ProposalToGnatt[[#This Row],[Start Date]]+ProposalToGnatt[[#This Row],[Days]]),$G$5,"")),"")</f>
        <v/>
      </c>
      <c r="U39" s="36" t="str">
        <f ca="1">IFERROR(+IF(U$27=ProposalToGnatt[[#This Row],[Start Date]],Milestone_Marker,IF(AND(U$27&gt;ProposalToGnatt[[#This Row],[Start Date]],U$27&lt;ProposalToGnatt[[#This Row],[Start Date]]+ProposalToGnatt[[#This Row],[Days]]),$G$5,"")),"")</f>
        <v/>
      </c>
      <c r="V39" s="36" t="str">
        <f ca="1">IFERROR(+IF(V$27=ProposalToGnatt[[#This Row],[Start Date]],Milestone_Marker,IF(AND(V$27&gt;ProposalToGnatt[[#This Row],[Start Date]],V$27&lt;ProposalToGnatt[[#This Row],[Start Date]]+ProposalToGnatt[[#This Row],[Days]]),$G$5,"")),"")</f>
        <v/>
      </c>
      <c r="W39" s="36" t="str">
        <f ca="1">IFERROR(+IF(W$27=ProposalToGnatt[[#This Row],[Start Date]],Milestone_Marker,IF(AND(W$27&gt;ProposalToGnatt[[#This Row],[Start Date]],W$27&lt;ProposalToGnatt[[#This Row],[Start Date]]+ProposalToGnatt[[#This Row],[Days]]),$G$5,"")),"")</f>
        <v/>
      </c>
      <c r="X39" s="36" t="str">
        <f ca="1">IFERROR(+IF(X$27=ProposalToGnatt[[#This Row],[Start Date]],Milestone_Marker,IF(AND(X$27&gt;ProposalToGnatt[[#This Row],[Start Date]],X$27&lt;ProposalToGnatt[[#This Row],[Start Date]]+ProposalToGnatt[[#This Row],[Days]]),$G$5,"")),"")</f>
        <v/>
      </c>
      <c r="Y39" s="36" t="str">
        <f ca="1">IFERROR(+IF(Y$27=ProposalToGnatt[[#This Row],[Start Date]],Milestone_Marker,IF(AND(Y$27&gt;ProposalToGnatt[[#This Row],[Start Date]],Y$27&lt;ProposalToGnatt[[#This Row],[Start Date]]+ProposalToGnatt[[#This Row],[Days]]),$G$5,"")),"")</f>
        <v/>
      </c>
      <c r="Z39" s="36" t="str">
        <f ca="1">IFERROR(+IF(Z$27=ProposalToGnatt[[#This Row],[Start Date]],Milestone_Marker,IF(AND(Z$27&gt;ProposalToGnatt[[#This Row],[Start Date]],Z$27&lt;ProposalToGnatt[[#This Row],[Start Date]]+ProposalToGnatt[[#This Row],[Days]]),$G$5,"")),"")</f>
        <v/>
      </c>
      <c r="AA39" s="36" t="str">
        <f ca="1">IFERROR(+IF(AA$27=ProposalToGnatt[[#This Row],[Start Date]],Milestone_Marker,IF(AND(AA$27&gt;ProposalToGnatt[[#This Row],[Start Date]],AA$27&lt;ProposalToGnatt[[#This Row],[Start Date]]+ProposalToGnatt[[#This Row],[Days]]),$G$5,"")),"")</f>
        <v/>
      </c>
      <c r="AB39" s="36" t="str">
        <f ca="1">IFERROR(+IF(AB$27=ProposalToGnatt[[#This Row],[Start Date]],Milestone_Marker,IF(AND(AB$27&gt;ProposalToGnatt[[#This Row],[Start Date]],AB$27&lt;ProposalToGnatt[[#This Row],[Start Date]]+ProposalToGnatt[[#This Row],[Days]]),$G$5,"")),"")</f>
        <v/>
      </c>
      <c r="AC39" s="36" t="str">
        <f ca="1">IFERROR(+IF(AC$27=ProposalToGnatt[[#This Row],[Start Date]],Milestone_Marker,IF(AND(AC$27&gt;ProposalToGnatt[[#This Row],[Start Date]],AC$27&lt;ProposalToGnatt[[#This Row],[Start Date]]+ProposalToGnatt[[#This Row],[Days]]),$G$5,"")),"")</f>
        <v/>
      </c>
      <c r="AD39" s="36" t="str">
        <f ca="1">IFERROR(+IF(AD$27=ProposalToGnatt[[#This Row],[Start Date]],Milestone_Marker,IF(AND(AD$27&gt;ProposalToGnatt[[#This Row],[Start Date]],AD$27&lt;ProposalToGnatt[[#This Row],[Start Date]]+ProposalToGnatt[[#This Row],[Days]]),$G$5,"")),"")</f>
        <v/>
      </c>
      <c r="AE39" s="36" t="str">
        <f ca="1">IFERROR(+IF(AE$27=ProposalToGnatt[[#This Row],[Start Date]],Milestone_Marker,IF(AND(AE$27&gt;ProposalToGnatt[[#This Row],[Start Date]],AE$27&lt;ProposalToGnatt[[#This Row],[Start Date]]+ProposalToGnatt[[#This Row],[Days]]),$G$5,"")),"")</f>
        <v/>
      </c>
      <c r="AF39" s="36" t="str">
        <f ca="1">IFERROR(+IF(AF$27=ProposalToGnatt[[#This Row],[Start Date]],Milestone_Marker,IF(AND(AF$27&gt;ProposalToGnatt[[#This Row],[Start Date]],AF$27&lt;ProposalToGnatt[[#This Row],[Start Date]]+ProposalToGnatt[[#This Row],[Days]]),$G$5,"")),"")</f>
        <v/>
      </c>
      <c r="AG39" s="36" t="str">
        <f ca="1">IFERROR(+IF(AG$27=ProposalToGnatt[[#This Row],[Start Date]],Milestone_Marker,IF(AND(AG$27&gt;ProposalToGnatt[[#This Row],[Start Date]],AG$27&lt;ProposalToGnatt[[#This Row],[Start Date]]+ProposalToGnatt[[#This Row],[Days]]),$G$5,"")),"")</f>
        <v/>
      </c>
      <c r="AH39" s="36" t="str">
        <f ca="1">IFERROR(+IF(AH$27=ProposalToGnatt[[#This Row],[Start Date]],Milestone_Marker,IF(AND(AH$27&gt;ProposalToGnatt[[#This Row],[Start Date]],AH$27&lt;ProposalToGnatt[[#This Row],[Start Date]]+ProposalToGnatt[[#This Row],[Days]]),$G$5,"")),"")</f>
        <v/>
      </c>
      <c r="AI39" s="36" t="str">
        <f ca="1">IFERROR(+IF(AI$27=ProposalToGnatt[[#This Row],[Start Date]],Milestone_Marker,IF(AND(AI$27&gt;ProposalToGnatt[[#This Row],[Start Date]],AI$27&lt;ProposalToGnatt[[#This Row],[Start Date]]+ProposalToGnatt[[#This Row],[Days]]),$G$5,"")),"")</f>
        <v/>
      </c>
      <c r="AJ39" s="36" t="str">
        <f ca="1">IFERROR(+IF(AJ$27=ProposalToGnatt[[#This Row],[Start Date]],Milestone_Marker,IF(AND(AJ$27&gt;ProposalToGnatt[[#This Row],[Start Date]],AJ$27&lt;ProposalToGnatt[[#This Row],[Start Date]]+ProposalToGnatt[[#This Row],[Days]]),$G$5,"")),"")</f>
        <v/>
      </c>
      <c r="AK39" s="36" t="str">
        <f ca="1">IFERROR(+IF(AK$27=ProposalToGnatt[[#This Row],[Start Date]],Milestone_Marker,IF(AND(AK$27&gt;ProposalToGnatt[[#This Row],[Start Date]],AK$27&lt;ProposalToGnatt[[#This Row],[Start Date]]+ProposalToGnatt[[#This Row],[Days]]),$G$5,"")),"")</f>
        <v/>
      </c>
      <c r="AL39" s="36" t="str">
        <f ca="1">IFERROR(+IF(AL$27=ProposalToGnatt[[#This Row],[Start Date]],Milestone_Marker,IF(AND(AL$27&gt;ProposalToGnatt[[#This Row],[Start Date]],AL$27&lt;ProposalToGnatt[[#This Row],[Start Date]]+ProposalToGnatt[[#This Row],[Days]]),$G$5,"")),"")</f>
        <v/>
      </c>
      <c r="AM39" s="36" t="str">
        <f ca="1">IFERROR(+IF(AM$27=ProposalToGnatt[[#This Row],[Start Date]],Milestone_Marker,IF(AND(AM$27&gt;ProposalToGnatt[[#This Row],[Start Date]],AM$27&lt;ProposalToGnatt[[#This Row],[Start Date]]+ProposalToGnatt[[#This Row],[Days]]),$G$5,"")),"")</f>
        <v/>
      </c>
      <c r="AN39" s="36" t="str">
        <f ca="1">IFERROR(+IF(AN$27=ProposalToGnatt[[#This Row],[Start Date]],Milestone_Marker,IF(AND(AN$27&gt;ProposalToGnatt[[#This Row],[Start Date]],AN$27&lt;ProposalToGnatt[[#This Row],[Start Date]]+ProposalToGnatt[[#This Row],[Days]]),$G$5,"")),"")</f>
        <v/>
      </c>
      <c r="AO39" s="36" t="str">
        <f ca="1">IFERROR(+IF(AO$27=ProposalToGnatt[[#This Row],[Start Date]],Milestone_Marker,IF(AND(AO$27&gt;ProposalToGnatt[[#This Row],[Start Date]],AO$27&lt;ProposalToGnatt[[#This Row],[Start Date]]+ProposalToGnatt[[#This Row],[Days]]),$G$5,"")),"")</f>
        <v/>
      </c>
      <c r="AP39" s="36" t="str">
        <f ca="1">IFERROR(+IF(AP$27=ProposalToGnatt[[#This Row],[Start Date]],Milestone_Marker,IF(AND(AP$27&gt;ProposalToGnatt[[#This Row],[Start Date]],AP$27&lt;ProposalToGnatt[[#This Row],[Start Date]]+ProposalToGnatt[[#This Row],[Days]]),$G$5,"")),"")</f>
        <v/>
      </c>
      <c r="AQ39" s="36" t="str">
        <f ca="1">IFERROR(+IF(AQ$27=ProposalToGnatt[[#This Row],[Start Date]],Milestone_Marker,IF(AND(AQ$27&gt;ProposalToGnatt[[#This Row],[Start Date]],AQ$27&lt;ProposalToGnatt[[#This Row],[Start Date]]+ProposalToGnatt[[#This Row],[Days]]),$G$5,"")),"")</f>
        <v/>
      </c>
      <c r="AR39" s="36" t="str">
        <f ca="1">IFERROR(+IF(AR$27=ProposalToGnatt[[#This Row],[Start Date]],Milestone_Marker,IF(AND(AR$27&gt;ProposalToGnatt[[#This Row],[Start Date]],AR$27&lt;ProposalToGnatt[[#This Row],[Start Date]]+ProposalToGnatt[[#This Row],[Days]]),$G$5,"")),"")</f>
        <v/>
      </c>
      <c r="AS39" s="36" t="str">
        <f ca="1">IFERROR(+IF(AS$27=ProposalToGnatt[[#This Row],[Start Date]],Milestone_Marker,IF(AND(AS$27&gt;ProposalToGnatt[[#This Row],[Start Date]],AS$27&lt;ProposalToGnatt[[#This Row],[Start Date]]+ProposalToGnatt[[#This Row],[Days]]),$G$5,"")),"")</f>
        <v/>
      </c>
      <c r="AT39" s="36" t="str">
        <f ca="1">IFERROR(+IF(AT$27=ProposalToGnatt[[#This Row],[Start Date]],Milestone_Marker,IF(AND(AT$27&gt;ProposalToGnatt[[#This Row],[Start Date]],AT$27&lt;ProposalToGnatt[[#This Row],[Start Date]]+ProposalToGnatt[[#This Row],[Days]]),$G$5,"")),"")</f>
        <v/>
      </c>
      <c r="AU39" s="36" t="str">
        <f ca="1">IFERROR(+IF(AU$27=ProposalToGnatt[[#This Row],[Start Date]],Milestone_Marker,IF(AND(AU$27&gt;ProposalToGnatt[[#This Row],[Start Date]],AU$27&lt;ProposalToGnatt[[#This Row],[Start Date]]+ProposalToGnatt[[#This Row],[Days]]),$G$5,"")),"")</f>
        <v/>
      </c>
      <c r="AV39" s="36" t="str">
        <f ca="1">IFERROR(+IF(AV$27=ProposalToGnatt[[#This Row],[Start Date]],Milestone_Marker,IF(AND(AV$27&gt;ProposalToGnatt[[#This Row],[Start Date]],AV$27&lt;ProposalToGnatt[[#This Row],[Start Date]]+ProposalToGnatt[[#This Row],[Days]]),$G$5,"")),"")</f>
        <v/>
      </c>
      <c r="AW39" s="36" t="str">
        <f ca="1">IFERROR(+IF(AW$27=ProposalToGnatt[[#This Row],[Start Date]],Milestone_Marker,IF(AND(AW$27&gt;ProposalToGnatt[[#This Row],[Start Date]],AW$27&lt;ProposalToGnatt[[#This Row],[Start Date]]+ProposalToGnatt[[#This Row],[Days]]),$G$5,"")),"")</f>
        <v/>
      </c>
      <c r="AX39" s="36" t="str">
        <f ca="1">IFERROR(+IF(AX$27=ProposalToGnatt[[#This Row],[Start Date]],Milestone_Marker,IF(AND(AX$27&gt;ProposalToGnatt[[#This Row],[Start Date]],AX$27&lt;ProposalToGnatt[[#This Row],[Start Date]]+ProposalToGnatt[[#This Row],[Days]]),$G$5,"")),"")</f>
        <v/>
      </c>
      <c r="AY39" s="36" t="str">
        <f ca="1">IFERROR(+IF(AY$27=ProposalToGnatt[[#This Row],[Start Date]],Milestone_Marker,IF(AND(AY$27&gt;ProposalToGnatt[[#This Row],[Start Date]],AY$27&lt;ProposalToGnatt[[#This Row],[Start Date]]+ProposalToGnatt[[#This Row],[Days]]),$G$5,"")),"")</f>
        <v/>
      </c>
      <c r="AZ39" s="36" t="str">
        <f ca="1">IFERROR(+IF(AZ$27=ProposalToGnatt[[#This Row],[Start Date]],Milestone_Marker,IF(AND(AZ$27&gt;ProposalToGnatt[[#This Row],[Start Date]],AZ$27&lt;ProposalToGnatt[[#This Row],[Start Date]]+ProposalToGnatt[[#This Row],[Days]]),$G$5,"")),"")</f>
        <v/>
      </c>
      <c r="BA39" s="36" t="str">
        <f ca="1">IFERROR(+IF(BA$27=ProposalToGnatt[[#This Row],[Start Date]],Milestone_Marker,IF(AND(BA$27&gt;ProposalToGnatt[[#This Row],[Start Date]],BA$27&lt;ProposalToGnatt[[#This Row],[Start Date]]+ProposalToGnatt[[#This Row],[Days]]),$G$5,"")),"")</f>
        <v/>
      </c>
      <c r="BB39" s="36" t="str">
        <f ca="1">IFERROR(+IF(BB$27=ProposalToGnatt[[#This Row],[Start Date]],Milestone_Marker,IF(AND(BB$27&gt;ProposalToGnatt[[#This Row],[Start Date]],BB$27&lt;ProposalToGnatt[[#This Row],[Start Date]]+ProposalToGnatt[[#This Row],[Days]]),$G$5,"")),"")</f>
        <v/>
      </c>
      <c r="BC39" s="36" t="str">
        <f ca="1">IFERROR(+IF(BC$27=ProposalToGnatt[[#This Row],[Start Date]],Milestone_Marker,IF(AND(BC$27&gt;ProposalToGnatt[[#This Row],[Start Date]],BC$27&lt;ProposalToGnatt[[#This Row],[Start Date]]+ProposalToGnatt[[#This Row],[Days]]),$G$5,"")),"")</f>
        <v/>
      </c>
      <c r="BD39" s="36" t="str">
        <f ca="1">IFERROR(+IF(BD$27=ProposalToGnatt[[#This Row],[Start Date]],Milestone_Marker,IF(AND(BD$27&gt;ProposalToGnatt[[#This Row],[Start Date]],BD$27&lt;ProposalToGnatt[[#This Row],[Start Date]]+ProposalToGnatt[[#This Row],[Days]]),$G$5,"")),"")</f>
        <v/>
      </c>
      <c r="BE39" s="36" t="str">
        <f ca="1">IFERROR(+IF(BE$27=ProposalToGnatt[[#This Row],[Start Date]],Milestone_Marker,IF(AND(BE$27&gt;ProposalToGnatt[[#This Row],[Start Date]],BE$27&lt;ProposalToGnatt[[#This Row],[Start Date]]+ProposalToGnatt[[#This Row],[Days]]),$G$5,"")),"")</f>
        <v/>
      </c>
      <c r="BF39" s="36" t="str">
        <f ca="1">IFERROR(+IF(BF$27=ProposalToGnatt[[#This Row],[Start Date]],Milestone_Marker,IF(AND(BF$27&gt;ProposalToGnatt[[#This Row],[Start Date]],BF$27&lt;ProposalToGnatt[[#This Row],[Start Date]]+ProposalToGnatt[[#This Row],[Days]]),$G$5,"")),"")</f>
        <v/>
      </c>
      <c r="BG39" s="36" t="str">
        <f ca="1">IFERROR(+IF(BG$27=ProposalToGnatt[[#This Row],[Start Date]],Milestone_Marker,IF(AND(BG$27&gt;ProposalToGnatt[[#This Row],[Start Date]],BG$27&lt;ProposalToGnatt[[#This Row],[Start Date]]+ProposalToGnatt[[#This Row],[Days]]),$G$5,"")),"")</f>
        <v/>
      </c>
      <c r="BH39" s="36" t="str">
        <f ca="1">IFERROR(+IF(BH$27=ProposalToGnatt[[#This Row],[Start Date]],Milestone_Marker,IF(AND(BH$27&gt;ProposalToGnatt[[#This Row],[Start Date]],BH$27&lt;ProposalToGnatt[[#This Row],[Start Date]]+ProposalToGnatt[[#This Row],[Days]]),$G$5,"")),"")</f>
        <v/>
      </c>
      <c r="BI39" s="36" t="str">
        <f ca="1">IFERROR(+IF(BI$27=ProposalToGnatt[[#This Row],[Start Date]],Milestone_Marker,IF(AND(BI$27&gt;ProposalToGnatt[[#This Row],[Start Date]],BI$27&lt;ProposalToGnatt[[#This Row],[Start Date]]+ProposalToGnatt[[#This Row],[Days]]),$G$5,"")),"")</f>
        <v/>
      </c>
      <c r="BJ39" s="36" t="str">
        <f ca="1">IFERROR(+IF(BJ$27=ProposalToGnatt[[#This Row],[Start Date]],Milestone_Marker,IF(AND(BJ$27&gt;ProposalToGnatt[[#This Row],[Start Date]],BJ$27&lt;ProposalToGnatt[[#This Row],[Start Date]]+ProposalToGnatt[[#This Row],[Days]]),$G$5,"")),"")</f>
        <v/>
      </c>
      <c r="BK39" s="36" t="str">
        <f ca="1">IFERROR(+IF(BK$27=ProposalToGnatt[[#This Row],[Start Date]],Milestone_Marker,IF(AND(BK$27&gt;ProposalToGnatt[[#This Row],[Start Date]],BK$27&lt;ProposalToGnatt[[#This Row],[Start Date]]+ProposalToGnatt[[#This Row],[Days]]),$G$5,"")),"")</f>
        <v/>
      </c>
      <c r="BL39" s="36" t="str">
        <f ca="1">IFERROR(+IF(BL$27=ProposalToGnatt[[#This Row],[Start Date]],Milestone_Marker,IF(AND(BL$27&gt;ProposalToGnatt[[#This Row],[Start Date]],BL$27&lt;ProposalToGnatt[[#This Row],[Start Date]]+ProposalToGnatt[[#This Row],[Days]]),$G$5,"")),"")</f>
        <v/>
      </c>
      <c r="BM39" s="36" t="str">
        <f ca="1">IFERROR(+IF(BM$27=ProposalToGnatt[[#This Row],[Start Date]],Milestone_Marker,IF(AND(BM$27&gt;ProposalToGnatt[[#This Row],[Start Date]],BM$27&lt;ProposalToGnatt[[#This Row],[Start Date]]+ProposalToGnatt[[#This Row],[Days]]),$G$5,"")),"")</f>
        <v/>
      </c>
      <c r="BN39" s="36" t="str">
        <f ca="1">IFERROR(+IF(BN$27=ProposalToGnatt[[#This Row],[Start Date]],Milestone_Marker,IF(AND(BN$27&gt;ProposalToGnatt[[#This Row],[Start Date]],BN$27&lt;ProposalToGnatt[[#This Row],[Start Date]]+ProposalToGnatt[[#This Row],[Days]]),$G$5,"")),"")</f>
        <v/>
      </c>
      <c r="BO39" s="36" t="str">
        <f ca="1">IFERROR(+IF(BO$27=ProposalToGnatt[[#This Row],[Start Date]],Milestone_Marker,IF(AND(BO$27&gt;ProposalToGnatt[[#This Row],[Start Date]],BO$27&lt;ProposalToGnatt[[#This Row],[Start Date]]+ProposalToGnatt[[#This Row],[Days]]),$G$5,"")),"")</f>
        <v/>
      </c>
      <c r="BP39" s="36" t="str">
        <f ca="1">IFERROR(+IF(BP$27=ProposalToGnatt[[#This Row],[Start Date]],Milestone_Marker,IF(AND(BP$27&gt;ProposalToGnatt[[#This Row],[Start Date]],BP$27&lt;ProposalToGnatt[[#This Row],[Start Date]]+ProposalToGnatt[[#This Row],[Days]]),$G$5,"")),"")</f>
        <v/>
      </c>
      <c r="BQ39" s="36" t="str">
        <f ca="1">IFERROR(+IF(BQ$27=ProposalToGnatt[[#This Row],[Start Date]],Milestone_Marker,IF(AND(BQ$27&gt;ProposalToGnatt[[#This Row],[Start Date]],BQ$27&lt;ProposalToGnatt[[#This Row],[Start Date]]+ProposalToGnatt[[#This Row],[Days]]),$G$5,"")),"")</f>
        <v/>
      </c>
      <c r="BR39" s="36" t="str">
        <f ca="1">IFERROR(+IF(BR$27=ProposalToGnatt[[#This Row],[Start Date]],Milestone_Marker,IF(AND(BR$27&gt;ProposalToGnatt[[#This Row],[Start Date]],BR$27&lt;ProposalToGnatt[[#This Row],[Start Date]]+ProposalToGnatt[[#This Row],[Days]]),$G$5,"")),"")</f>
        <v/>
      </c>
      <c r="BS39" s="36" t="str">
        <f ca="1">IFERROR(+IF(BS$27=ProposalToGnatt[[#This Row],[Start Date]],Milestone_Marker,IF(AND(BS$27&gt;ProposalToGnatt[[#This Row],[Start Date]],BS$27&lt;ProposalToGnatt[[#This Row],[Start Date]]+ProposalToGnatt[[#This Row],[Days]]),$G$5,"")),"")</f>
        <v/>
      </c>
      <c r="BT39" s="36" t="str">
        <f ca="1">IFERROR(+IF(BT$27=ProposalToGnatt[[#This Row],[Start Date]],Milestone_Marker,IF(AND(BT$27&gt;ProposalToGnatt[[#This Row],[Start Date]],BT$27&lt;ProposalToGnatt[[#This Row],[Start Date]]+ProposalToGnatt[[#This Row],[Days]]),$G$5,"")),"")</f>
        <v/>
      </c>
      <c r="BU39" s="36" t="str">
        <f ca="1">IFERROR(+IF(BU$27=ProposalToGnatt[[#This Row],[Start Date]],Milestone_Marker,IF(AND(BU$27&gt;ProposalToGnatt[[#This Row],[Start Date]],BU$27&lt;ProposalToGnatt[[#This Row],[Start Date]]+ProposalToGnatt[[#This Row],[Days]]),$G$5,"")),"")</f>
        <v/>
      </c>
      <c r="BV39" s="36" t="str">
        <f ca="1">IFERROR(+IF(BV$27=ProposalToGnatt[[#This Row],[Start Date]],Milestone_Marker,IF(AND(BV$27&gt;ProposalToGnatt[[#This Row],[Start Date]],BV$27&lt;ProposalToGnatt[[#This Row],[Start Date]]+ProposalToGnatt[[#This Row],[Days]]),$G$5,"")),"")</f>
        <v/>
      </c>
      <c r="BW39" s="36" t="str">
        <f ca="1">IFERROR(+IF(BW$27=ProposalToGnatt[[#This Row],[Start Date]],Milestone_Marker,IF(AND(BW$27&gt;ProposalToGnatt[[#This Row],[Start Date]],BW$27&lt;ProposalToGnatt[[#This Row],[Start Date]]+ProposalToGnatt[[#This Row],[Days]]),$G$5,"")),"")</f>
        <v/>
      </c>
      <c r="BX39" s="36" t="str">
        <f ca="1">IFERROR(+IF(BX$27=ProposalToGnatt[[#This Row],[Start Date]],Milestone_Marker,IF(AND(BX$27&gt;ProposalToGnatt[[#This Row],[Start Date]],BX$27&lt;ProposalToGnatt[[#This Row],[Start Date]]+ProposalToGnatt[[#This Row],[Days]]),$G$5,"")),"")</f>
        <v/>
      </c>
      <c r="BY39" s="36" t="str">
        <f ca="1">IFERROR(+IF(BY$27=ProposalToGnatt[[#This Row],[Start Date]],Milestone_Marker,IF(AND(BY$27&gt;ProposalToGnatt[[#This Row],[Start Date]],BY$27&lt;ProposalToGnatt[[#This Row],[Start Date]]+ProposalToGnatt[[#This Row],[Days]]),$G$5,"")),"")</f>
        <v/>
      </c>
      <c r="BZ39" s="36" t="str">
        <f ca="1">IFERROR(+IF(BZ$27=ProposalToGnatt[[#This Row],[Start Date]],Milestone_Marker,IF(AND(BZ$27&gt;ProposalToGnatt[[#This Row],[Start Date]],BZ$27&lt;ProposalToGnatt[[#This Row],[Start Date]]+ProposalToGnatt[[#This Row],[Days]]),$G$5,"")),"")</f>
        <v/>
      </c>
      <c r="CA39" s="36" t="str">
        <f ca="1">IFERROR(+IF(CA$27=ProposalToGnatt[[#This Row],[Start Date]],Milestone_Marker,IF(AND(CA$27&gt;ProposalToGnatt[[#This Row],[Start Date]],CA$27&lt;ProposalToGnatt[[#This Row],[Start Date]]+ProposalToGnatt[[#This Row],[Days]]),$G$5,"")),"")</f>
        <v/>
      </c>
      <c r="CB39" s="36" t="str">
        <f ca="1">IFERROR(+IF(CB$27=ProposalToGnatt[[#This Row],[Start Date]],Milestone_Marker,IF(AND(CB$27&gt;ProposalToGnatt[[#This Row],[Start Date]],CB$27&lt;ProposalToGnatt[[#This Row],[Start Date]]+ProposalToGnatt[[#This Row],[Days]]),$G$5,"")),"")</f>
        <v/>
      </c>
      <c r="CC39" s="36" t="str">
        <f ca="1">IFERROR(+IF(CC$27=ProposalToGnatt[[#This Row],[Start Date]],Milestone_Marker,IF(AND(CC$27&gt;ProposalToGnatt[[#This Row],[Start Date]],CC$27&lt;ProposalToGnatt[[#This Row],[Start Date]]+ProposalToGnatt[[#This Row],[Days]]),$G$5,"")),"")</f>
        <v/>
      </c>
      <c r="CD39" s="36" t="str">
        <f ca="1">IFERROR(+IF(CD$27=ProposalToGnatt[[#This Row],[Start Date]],Milestone_Marker,IF(AND(CD$27&gt;ProposalToGnatt[[#This Row],[Start Date]],CD$27&lt;ProposalToGnatt[[#This Row],[Start Date]]+ProposalToGnatt[[#This Row],[Days]]),$G$5,"")),"")</f>
        <v/>
      </c>
      <c r="CE39" s="36" t="str">
        <f ca="1">IFERROR(+IF(CE$27=ProposalToGnatt[[#This Row],[Start Date]],Milestone_Marker,IF(AND(CE$27&gt;ProposalToGnatt[[#This Row],[Start Date]],CE$27&lt;ProposalToGnatt[[#This Row],[Start Date]]+ProposalToGnatt[[#This Row],[Days]]),$G$5,"")),"")</f>
        <v/>
      </c>
      <c r="CF39" s="36" t="str">
        <f ca="1">IFERROR(+IF(CF$27=ProposalToGnatt[[#This Row],[Start Date]],Milestone_Marker,IF(AND(CF$27&gt;ProposalToGnatt[[#This Row],[Start Date]],CF$27&lt;ProposalToGnatt[[#This Row],[Start Date]]+ProposalToGnatt[[#This Row],[Days]]),$G$5,"")),"")</f>
        <v/>
      </c>
      <c r="CG39" s="36" t="str">
        <f ca="1">IFERROR(+IF(CG$27=ProposalToGnatt[[#This Row],[Start Date]],Milestone_Marker,IF(AND(CG$27&gt;ProposalToGnatt[[#This Row],[Start Date]],CG$27&lt;ProposalToGnatt[[#This Row],[Start Date]]+ProposalToGnatt[[#This Row],[Days]]),$G$5,"")),"")</f>
        <v/>
      </c>
      <c r="CH39" s="36" t="str">
        <f ca="1">IFERROR(+IF(CH$27=ProposalToGnatt[[#This Row],[Start Date]],Milestone_Marker,IF(AND(CH$27&gt;ProposalToGnatt[[#This Row],[Start Date]],CH$27&lt;ProposalToGnatt[[#This Row],[Start Date]]+ProposalToGnatt[[#This Row],[Days]]),$G$5,"")),"")</f>
        <v/>
      </c>
      <c r="CI39" s="36" t="str">
        <f ca="1">IFERROR(+IF(CI$27=ProposalToGnatt[[#This Row],[Start Date]],Milestone_Marker,IF(AND(CI$27&gt;ProposalToGnatt[[#This Row],[Start Date]],CI$27&lt;ProposalToGnatt[[#This Row],[Start Date]]+ProposalToGnatt[[#This Row],[Days]]),$G$5,"")),"")</f>
        <v/>
      </c>
      <c r="CJ39" s="36" t="str">
        <f ca="1">IFERROR(+IF(CJ$27=ProposalToGnatt[[#This Row],[Start Date]],Milestone_Marker,IF(AND(CJ$27&gt;ProposalToGnatt[[#This Row],[Start Date]],CJ$27&lt;ProposalToGnatt[[#This Row],[Start Date]]+ProposalToGnatt[[#This Row],[Days]]),$G$5,"")),"")</f>
        <v/>
      </c>
      <c r="CK39" s="36" t="str">
        <f ca="1">IFERROR(+IF(CK$27=ProposalToGnatt[[#This Row],[Start Date]],Milestone_Marker,IF(AND(CK$27&gt;ProposalToGnatt[[#This Row],[Start Date]],CK$27&lt;ProposalToGnatt[[#This Row],[Start Date]]+ProposalToGnatt[[#This Row],[Days]]),$G$5,"")),"")</f>
        <v/>
      </c>
      <c r="CL39" s="36" t="str">
        <f ca="1">IFERROR(+IF(CL$27=ProposalToGnatt[[#This Row],[Start Date]],Milestone_Marker,IF(AND(CL$27&gt;ProposalToGnatt[[#This Row],[Start Date]],CL$27&lt;ProposalToGnatt[[#This Row],[Start Date]]+ProposalToGnatt[[#This Row],[Days]]),$G$5,"")),"")</f>
        <v/>
      </c>
      <c r="CM39" s="36" t="str">
        <f ca="1">IFERROR(+IF(CM$27=ProposalToGnatt[[#This Row],[Start Date]],Milestone_Marker,IF(AND(CM$27&gt;ProposalToGnatt[[#This Row],[Start Date]],CM$27&lt;ProposalToGnatt[[#This Row],[Start Date]]+ProposalToGnatt[[#This Row],[Days]]),$G$5,"")),"")</f>
        <v/>
      </c>
      <c r="CN39" s="36" t="str">
        <f ca="1">IFERROR(+IF(CN$27=ProposalToGnatt[[#This Row],[Start Date]],Milestone_Marker,IF(AND(CN$27&gt;ProposalToGnatt[[#This Row],[Start Date]],CN$27&lt;ProposalToGnatt[[#This Row],[Start Date]]+ProposalToGnatt[[#This Row],[Days]]),$G$5,"")),"")</f>
        <v/>
      </c>
      <c r="CO39" s="36" t="str">
        <f ca="1">IFERROR(+IF(CO$27=ProposalToGnatt[[#This Row],[Start Date]],Milestone_Marker,IF(AND(CO$27&gt;ProposalToGnatt[[#This Row],[Start Date]],CO$27&lt;ProposalToGnatt[[#This Row],[Start Date]]+ProposalToGnatt[[#This Row],[Days]]),$G$5,"")),"")</f>
        <v/>
      </c>
      <c r="CP39" s="36" t="str">
        <f ca="1">IFERROR(+IF(CP$27=ProposalToGnatt[[#This Row],[Start Date]],Milestone_Marker,IF(AND(CP$27&gt;ProposalToGnatt[[#This Row],[Start Date]],CP$27&lt;ProposalToGnatt[[#This Row],[Start Date]]+ProposalToGnatt[[#This Row],[Days]]),$G$5,"")),"")</f>
        <v/>
      </c>
      <c r="CQ39" s="36" t="str">
        <f ca="1">IFERROR(+IF(CQ$27=ProposalToGnatt[[#This Row],[Start Date]],Milestone_Marker,IF(AND(CQ$27&gt;ProposalToGnatt[[#This Row],[Start Date]],CQ$27&lt;ProposalToGnatt[[#This Row],[Start Date]]+ProposalToGnatt[[#This Row],[Days]]),$G$5,"")),"")</f>
        <v/>
      </c>
      <c r="CR39" s="36" t="str">
        <f ca="1">IFERROR(+IF(CR$27=ProposalToGnatt[[#This Row],[Start Date]],Milestone_Marker,IF(AND(CR$27&gt;ProposalToGnatt[[#This Row],[Start Date]],CR$27&lt;ProposalToGnatt[[#This Row],[Start Date]]+ProposalToGnatt[[#This Row],[Days]]),$G$5,"")),"")</f>
        <v/>
      </c>
      <c r="CS39" s="36" t="str">
        <f ca="1">IFERROR(+IF(CS$27=ProposalToGnatt[[#This Row],[Start Date]],Milestone_Marker,IF(AND(CS$27&gt;ProposalToGnatt[[#This Row],[Start Date]],CS$27&lt;ProposalToGnatt[[#This Row],[Start Date]]+ProposalToGnatt[[#This Row],[Days]]),$G$5,"")),"")</f>
        <v/>
      </c>
      <c r="CT39" s="36" t="str">
        <f ca="1">IFERROR(+IF(CT$27=ProposalToGnatt[[#This Row],[Start Date]],Milestone_Marker,IF(AND(CT$27&gt;ProposalToGnatt[[#This Row],[Start Date]],CT$27&lt;ProposalToGnatt[[#This Row],[Start Date]]+ProposalToGnatt[[#This Row],[Days]]),$G$5,"")),"")</f>
        <v/>
      </c>
      <c r="CU39" s="36" t="str">
        <f ca="1">IFERROR(+IF(CU$27=ProposalToGnatt[[#This Row],[Start Date]],Milestone_Marker,IF(AND(CU$27&gt;ProposalToGnatt[[#This Row],[Start Date]],CU$27&lt;ProposalToGnatt[[#This Row],[Start Date]]+ProposalToGnatt[[#This Row],[Days]]),$G$5,"")),"")</f>
        <v/>
      </c>
      <c r="CV39" s="36"/>
      <c r="CW39" s="36"/>
      <c r="CX39" s="36"/>
      <c r="CY39" s="36"/>
      <c r="CZ39" s="36"/>
      <c r="DA39" s="36"/>
      <c r="DB39" s="36"/>
      <c r="DC39" s="36"/>
      <c r="DD39" s="36"/>
      <c r="DE39" s="36"/>
      <c r="DF39" s="36"/>
      <c r="DG39" s="36"/>
      <c r="DH39" s="36"/>
      <c r="DI39" s="36"/>
      <c r="DJ39" s="36"/>
      <c r="DK39" s="36"/>
      <c r="DL39" s="36"/>
      <c r="DM39" s="36"/>
      <c r="DN39" s="36"/>
      <c r="DO39" s="36"/>
      <c r="DP39" s="36"/>
      <c r="DQ39" s="36"/>
      <c r="DR39" s="36"/>
      <c r="DS39" s="36"/>
      <c r="DT39" s="36"/>
      <c r="DU39" s="36"/>
    </row>
    <row r="40" spans="1:125" s="41" customFormat="1" ht="15" x14ac:dyDescent="0.25">
      <c r="A40" t="s">
        <v>263</v>
      </c>
      <c r="B40">
        <v>13</v>
      </c>
      <c r="C40"/>
      <c r="D40"/>
      <c r="E40"/>
      <c r="F40"/>
      <c r="G40" s="14"/>
      <c r="H40" s="14"/>
      <c r="I40"/>
      <c r="J40"/>
      <c r="K40" s="246"/>
      <c r="L40"/>
      <c r="M40" s="14"/>
      <c r="N40" s="299"/>
      <c r="O40" s="281"/>
      <c r="P40" s="36" t="str">
        <f ca="1">IFERROR(+IF(P$27=ProposalToGnatt[[#This Row],[Start Date]],Milestone_Marker,IF(AND(P$27&gt;ProposalToGnatt[[#This Row],[Start Date]],P$27&lt;ProposalToGnatt[[#This Row],[Start Date]]+ProposalToGnatt[[#This Row],[Days]]),$G$5,"")),"")</f>
        <v/>
      </c>
      <c r="Q40" s="36" t="str">
        <f ca="1">IFERROR(+IF(Q$27=ProposalToGnatt[[#This Row],[Start Date]],Milestone_Marker,IF(AND(Q$27&gt;ProposalToGnatt[[#This Row],[Start Date]],Q$27&lt;ProposalToGnatt[[#This Row],[Start Date]]+ProposalToGnatt[[#This Row],[Days]]),$G$5,"")),"")</f>
        <v/>
      </c>
      <c r="R40" s="36" t="str">
        <f ca="1">IFERROR(+IF(R$27=ProposalToGnatt[[#This Row],[Start Date]],Milestone_Marker,IF(AND(R$27&gt;ProposalToGnatt[[#This Row],[Start Date]],R$27&lt;ProposalToGnatt[[#This Row],[Start Date]]+ProposalToGnatt[[#This Row],[Days]]),$G$5,"")),"")</f>
        <v/>
      </c>
      <c r="S40" s="36" t="str">
        <f ca="1">IFERROR(+IF(S$27=ProposalToGnatt[[#This Row],[Start Date]],Milestone_Marker,IF(AND(S$27&gt;ProposalToGnatt[[#This Row],[Start Date]],S$27&lt;ProposalToGnatt[[#This Row],[Start Date]]+ProposalToGnatt[[#This Row],[Days]]),$G$5,"")),"")</f>
        <v/>
      </c>
      <c r="T40" s="36" t="str">
        <f ca="1">IFERROR(+IF(T$27=ProposalToGnatt[[#This Row],[Start Date]],Milestone_Marker,IF(AND(T$27&gt;ProposalToGnatt[[#This Row],[Start Date]],T$27&lt;ProposalToGnatt[[#This Row],[Start Date]]+ProposalToGnatt[[#This Row],[Days]]),$G$5,"")),"")</f>
        <v/>
      </c>
      <c r="U40" s="36" t="str">
        <f ca="1">IFERROR(+IF(U$27=ProposalToGnatt[[#This Row],[Start Date]],Milestone_Marker,IF(AND(U$27&gt;ProposalToGnatt[[#This Row],[Start Date]],U$27&lt;ProposalToGnatt[[#This Row],[Start Date]]+ProposalToGnatt[[#This Row],[Days]]),$G$5,"")),"")</f>
        <v/>
      </c>
      <c r="V40" s="36" t="str">
        <f ca="1">IFERROR(+IF(V$27=ProposalToGnatt[[#This Row],[Start Date]],Milestone_Marker,IF(AND(V$27&gt;ProposalToGnatt[[#This Row],[Start Date]],V$27&lt;ProposalToGnatt[[#This Row],[Start Date]]+ProposalToGnatt[[#This Row],[Days]]),$G$5,"")),"")</f>
        <v/>
      </c>
      <c r="W40" s="36" t="str">
        <f ca="1">IFERROR(+IF(W$27=ProposalToGnatt[[#This Row],[Start Date]],Milestone_Marker,IF(AND(W$27&gt;ProposalToGnatt[[#This Row],[Start Date]],W$27&lt;ProposalToGnatt[[#This Row],[Start Date]]+ProposalToGnatt[[#This Row],[Days]]),$G$5,"")),"")</f>
        <v/>
      </c>
      <c r="X40" s="36" t="str">
        <f ca="1">IFERROR(+IF(X$27=ProposalToGnatt[[#This Row],[Start Date]],Milestone_Marker,IF(AND(X$27&gt;ProposalToGnatt[[#This Row],[Start Date]],X$27&lt;ProposalToGnatt[[#This Row],[Start Date]]+ProposalToGnatt[[#This Row],[Days]]),$G$5,"")),"")</f>
        <v/>
      </c>
      <c r="Y40" s="36" t="str">
        <f ca="1">IFERROR(+IF(Y$27=ProposalToGnatt[[#This Row],[Start Date]],Milestone_Marker,IF(AND(Y$27&gt;ProposalToGnatt[[#This Row],[Start Date]],Y$27&lt;ProposalToGnatt[[#This Row],[Start Date]]+ProposalToGnatt[[#This Row],[Days]]),$G$5,"")),"")</f>
        <v/>
      </c>
      <c r="Z40" s="36" t="str">
        <f ca="1">IFERROR(+IF(Z$27=ProposalToGnatt[[#This Row],[Start Date]],Milestone_Marker,IF(AND(Z$27&gt;ProposalToGnatt[[#This Row],[Start Date]],Z$27&lt;ProposalToGnatt[[#This Row],[Start Date]]+ProposalToGnatt[[#This Row],[Days]]),$G$5,"")),"")</f>
        <v/>
      </c>
      <c r="AA40" s="36" t="str">
        <f ca="1">IFERROR(+IF(AA$27=ProposalToGnatt[[#This Row],[Start Date]],Milestone_Marker,IF(AND(AA$27&gt;ProposalToGnatt[[#This Row],[Start Date]],AA$27&lt;ProposalToGnatt[[#This Row],[Start Date]]+ProposalToGnatt[[#This Row],[Days]]),$G$5,"")),"")</f>
        <v/>
      </c>
      <c r="AB40" s="36" t="str">
        <f ca="1">IFERROR(+IF(AB$27=ProposalToGnatt[[#This Row],[Start Date]],Milestone_Marker,IF(AND(AB$27&gt;ProposalToGnatt[[#This Row],[Start Date]],AB$27&lt;ProposalToGnatt[[#This Row],[Start Date]]+ProposalToGnatt[[#This Row],[Days]]),$G$5,"")),"")</f>
        <v/>
      </c>
      <c r="AC40" s="36" t="str">
        <f ca="1">IFERROR(+IF(AC$27=ProposalToGnatt[[#This Row],[Start Date]],Milestone_Marker,IF(AND(AC$27&gt;ProposalToGnatt[[#This Row],[Start Date]],AC$27&lt;ProposalToGnatt[[#This Row],[Start Date]]+ProposalToGnatt[[#This Row],[Days]]),$G$5,"")),"")</f>
        <v/>
      </c>
      <c r="AD40" s="36" t="str">
        <f ca="1">IFERROR(+IF(AD$27=ProposalToGnatt[[#This Row],[Start Date]],Milestone_Marker,IF(AND(AD$27&gt;ProposalToGnatt[[#This Row],[Start Date]],AD$27&lt;ProposalToGnatt[[#This Row],[Start Date]]+ProposalToGnatt[[#This Row],[Days]]),$G$5,"")),"")</f>
        <v/>
      </c>
      <c r="AE40" s="36" t="str">
        <f ca="1">IFERROR(+IF(AE$27=ProposalToGnatt[[#This Row],[Start Date]],Milestone_Marker,IF(AND(AE$27&gt;ProposalToGnatt[[#This Row],[Start Date]],AE$27&lt;ProposalToGnatt[[#This Row],[Start Date]]+ProposalToGnatt[[#This Row],[Days]]),$G$5,"")),"")</f>
        <v/>
      </c>
      <c r="AF40" s="36" t="str">
        <f ca="1">IFERROR(+IF(AF$27=ProposalToGnatt[[#This Row],[Start Date]],Milestone_Marker,IF(AND(AF$27&gt;ProposalToGnatt[[#This Row],[Start Date]],AF$27&lt;ProposalToGnatt[[#This Row],[Start Date]]+ProposalToGnatt[[#This Row],[Days]]),$G$5,"")),"")</f>
        <v/>
      </c>
      <c r="AG40" s="36" t="str">
        <f ca="1">IFERROR(+IF(AG$27=ProposalToGnatt[[#This Row],[Start Date]],Milestone_Marker,IF(AND(AG$27&gt;ProposalToGnatt[[#This Row],[Start Date]],AG$27&lt;ProposalToGnatt[[#This Row],[Start Date]]+ProposalToGnatt[[#This Row],[Days]]),$G$5,"")),"")</f>
        <v/>
      </c>
      <c r="AH40" s="36" t="str">
        <f ca="1">IFERROR(+IF(AH$27=ProposalToGnatt[[#This Row],[Start Date]],Milestone_Marker,IF(AND(AH$27&gt;ProposalToGnatt[[#This Row],[Start Date]],AH$27&lt;ProposalToGnatt[[#This Row],[Start Date]]+ProposalToGnatt[[#This Row],[Days]]),$G$5,"")),"")</f>
        <v/>
      </c>
      <c r="AI40" s="36" t="str">
        <f ca="1">IFERROR(+IF(AI$27=ProposalToGnatt[[#This Row],[Start Date]],Milestone_Marker,IF(AND(AI$27&gt;ProposalToGnatt[[#This Row],[Start Date]],AI$27&lt;ProposalToGnatt[[#This Row],[Start Date]]+ProposalToGnatt[[#This Row],[Days]]),$G$5,"")),"")</f>
        <v/>
      </c>
      <c r="AJ40" s="36" t="str">
        <f ca="1">IFERROR(+IF(AJ$27=ProposalToGnatt[[#This Row],[Start Date]],Milestone_Marker,IF(AND(AJ$27&gt;ProposalToGnatt[[#This Row],[Start Date]],AJ$27&lt;ProposalToGnatt[[#This Row],[Start Date]]+ProposalToGnatt[[#This Row],[Days]]),$G$5,"")),"")</f>
        <v/>
      </c>
      <c r="AK40" s="36" t="str">
        <f ca="1">IFERROR(+IF(AK$27=ProposalToGnatt[[#This Row],[Start Date]],Milestone_Marker,IF(AND(AK$27&gt;ProposalToGnatt[[#This Row],[Start Date]],AK$27&lt;ProposalToGnatt[[#This Row],[Start Date]]+ProposalToGnatt[[#This Row],[Days]]),$G$5,"")),"")</f>
        <v/>
      </c>
      <c r="AL40" s="36" t="str">
        <f ca="1">IFERROR(+IF(AL$27=ProposalToGnatt[[#This Row],[Start Date]],Milestone_Marker,IF(AND(AL$27&gt;ProposalToGnatt[[#This Row],[Start Date]],AL$27&lt;ProposalToGnatt[[#This Row],[Start Date]]+ProposalToGnatt[[#This Row],[Days]]),$G$5,"")),"")</f>
        <v/>
      </c>
      <c r="AM40" s="36" t="str">
        <f ca="1">IFERROR(+IF(AM$27=ProposalToGnatt[[#This Row],[Start Date]],Milestone_Marker,IF(AND(AM$27&gt;ProposalToGnatt[[#This Row],[Start Date]],AM$27&lt;ProposalToGnatt[[#This Row],[Start Date]]+ProposalToGnatt[[#This Row],[Days]]),$G$5,"")),"")</f>
        <v/>
      </c>
      <c r="AN40" s="36" t="str">
        <f ca="1">IFERROR(+IF(AN$27=ProposalToGnatt[[#This Row],[Start Date]],Milestone_Marker,IF(AND(AN$27&gt;ProposalToGnatt[[#This Row],[Start Date]],AN$27&lt;ProposalToGnatt[[#This Row],[Start Date]]+ProposalToGnatt[[#This Row],[Days]]),$G$5,"")),"")</f>
        <v/>
      </c>
      <c r="AO40" s="36" t="str">
        <f ca="1">IFERROR(+IF(AO$27=ProposalToGnatt[[#This Row],[Start Date]],Milestone_Marker,IF(AND(AO$27&gt;ProposalToGnatt[[#This Row],[Start Date]],AO$27&lt;ProposalToGnatt[[#This Row],[Start Date]]+ProposalToGnatt[[#This Row],[Days]]),$G$5,"")),"")</f>
        <v/>
      </c>
      <c r="AP40" s="36" t="str">
        <f ca="1">IFERROR(+IF(AP$27=ProposalToGnatt[[#This Row],[Start Date]],Milestone_Marker,IF(AND(AP$27&gt;ProposalToGnatt[[#This Row],[Start Date]],AP$27&lt;ProposalToGnatt[[#This Row],[Start Date]]+ProposalToGnatt[[#This Row],[Days]]),$G$5,"")),"")</f>
        <v/>
      </c>
      <c r="AQ40" s="36" t="str">
        <f ca="1">IFERROR(+IF(AQ$27=ProposalToGnatt[[#This Row],[Start Date]],Milestone_Marker,IF(AND(AQ$27&gt;ProposalToGnatt[[#This Row],[Start Date]],AQ$27&lt;ProposalToGnatt[[#This Row],[Start Date]]+ProposalToGnatt[[#This Row],[Days]]),$G$5,"")),"")</f>
        <v/>
      </c>
      <c r="AR40" s="36" t="str">
        <f ca="1">IFERROR(+IF(AR$27=ProposalToGnatt[[#This Row],[Start Date]],Milestone_Marker,IF(AND(AR$27&gt;ProposalToGnatt[[#This Row],[Start Date]],AR$27&lt;ProposalToGnatt[[#This Row],[Start Date]]+ProposalToGnatt[[#This Row],[Days]]),$G$5,"")),"")</f>
        <v/>
      </c>
      <c r="AS40" s="36" t="str">
        <f ca="1">IFERROR(+IF(AS$27=ProposalToGnatt[[#This Row],[Start Date]],Milestone_Marker,IF(AND(AS$27&gt;ProposalToGnatt[[#This Row],[Start Date]],AS$27&lt;ProposalToGnatt[[#This Row],[Start Date]]+ProposalToGnatt[[#This Row],[Days]]),$G$5,"")),"")</f>
        <v/>
      </c>
      <c r="AT40" s="36" t="str">
        <f ca="1">IFERROR(+IF(AT$27=ProposalToGnatt[[#This Row],[Start Date]],Milestone_Marker,IF(AND(AT$27&gt;ProposalToGnatt[[#This Row],[Start Date]],AT$27&lt;ProposalToGnatt[[#This Row],[Start Date]]+ProposalToGnatt[[#This Row],[Days]]),$G$5,"")),"")</f>
        <v/>
      </c>
      <c r="AU40" s="36" t="str">
        <f ca="1">IFERROR(+IF(AU$27=ProposalToGnatt[[#This Row],[Start Date]],Milestone_Marker,IF(AND(AU$27&gt;ProposalToGnatt[[#This Row],[Start Date]],AU$27&lt;ProposalToGnatt[[#This Row],[Start Date]]+ProposalToGnatt[[#This Row],[Days]]),$G$5,"")),"")</f>
        <v/>
      </c>
      <c r="AV40" s="36" t="str">
        <f ca="1">IFERROR(+IF(AV$27=ProposalToGnatt[[#This Row],[Start Date]],Milestone_Marker,IF(AND(AV$27&gt;ProposalToGnatt[[#This Row],[Start Date]],AV$27&lt;ProposalToGnatt[[#This Row],[Start Date]]+ProposalToGnatt[[#This Row],[Days]]),$G$5,"")),"")</f>
        <v/>
      </c>
      <c r="AW40" s="36" t="str">
        <f ca="1">IFERROR(+IF(AW$27=ProposalToGnatt[[#This Row],[Start Date]],Milestone_Marker,IF(AND(AW$27&gt;ProposalToGnatt[[#This Row],[Start Date]],AW$27&lt;ProposalToGnatt[[#This Row],[Start Date]]+ProposalToGnatt[[#This Row],[Days]]),$G$5,"")),"")</f>
        <v/>
      </c>
      <c r="AX40" s="36" t="str">
        <f ca="1">IFERROR(+IF(AX$27=ProposalToGnatt[[#This Row],[Start Date]],Milestone_Marker,IF(AND(AX$27&gt;ProposalToGnatt[[#This Row],[Start Date]],AX$27&lt;ProposalToGnatt[[#This Row],[Start Date]]+ProposalToGnatt[[#This Row],[Days]]),$G$5,"")),"")</f>
        <v/>
      </c>
      <c r="AY40" s="36" t="str">
        <f ca="1">IFERROR(+IF(AY$27=ProposalToGnatt[[#This Row],[Start Date]],Milestone_Marker,IF(AND(AY$27&gt;ProposalToGnatt[[#This Row],[Start Date]],AY$27&lt;ProposalToGnatt[[#This Row],[Start Date]]+ProposalToGnatt[[#This Row],[Days]]),$G$5,"")),"")</f>
        <v/>
      </c>
      <c r="AZ40" s="36" t="str">
        <f ca="1">IFERROR(+IF(AZ$27=ProposalToGnatt[[#This Row],[Start Date]],Milestone_Marker,IF(AND(AZ$27&gt;ProposalToGnatt[[#This Row],[Start Date]],AZ$27&lt;ProposalToGnatt[[#This Row],[Start Date]]+ProposalToGnatt[[#This Row],[Days]]),$G$5,"")),"")</f>
        <v/>
      </c>
      <c r="BA40" s="36" t="str">
        <f ca="1">IFERROR(+IF(BA$27=ProposalToGnatt[[#This Row],[Start Date]],Milestone_Marker,IF(AND(BA$27&gt;ProposalToGnatt[[#This Row],[Start Date]],BA$27&lt;ProposalToGnatt[[#This Row],[Start Date]]+ProposalToGnatt[[#This Row],[Days]]),$G$5,"")),"")</f>
        <v/>
      </c>
      <c r="BB40" s="36" t="str">
        <f ca="1">IFERROR(+IF(BB$27=ProposalToGnatt[[#This Row],[Start Date]],Milestone_Marker,IF(AND(BB$27&gt;ProposalToGnatt[[#This Row],[Start Date]],BB$27&lt;ProposalToGnatt[[#This Row],[Start Date]]+ProposalToGnatt[[#This Row],[Days]]),$G$5,"")),"")</f>
        <v/>
      </c>
      <c r="BC40" s="36" t="str">
        <f ca="1">IFERROR(+IF(BC$27=ProposalToGnatt[[#This Row],[Start Date]],Milestone_Marker,IF(AND(BC$27&gt;ProposalToGnatt[[#This Row],[Start Date]],BC$27&lt;ProposalToGnatt[[#This Row],[Start Date]]+ProposalToGnatt[[#This Row],[Days]]),$G$5,"")),"")</f>
        <v/>
      </c>
      <c r="BD40" s="36" t="str">
        <f ca="1">IFERROR(+IF(BD$27=ProposalToGnatt[[#This Row],[Start Date]],Milestone_Marker,IF(AND(BD$27&gt;ProposalToGnatt[[#This Row],[Start Date]],BD$27&lt;ProposalToGnatt[[#This Row],[Start Date]]+ProposalToGnatt[[#This Row],[Days]]),$G$5,"")),"")</f>
        <v/>
      </c>
      <c r="BE40" s="36" t="str">
        <f ca="1">IFERROR(+IF(BE$27=ProposalToGnatt[[#This Row],[Start Date]],Milestone_Marker,IF(AND(BE$27&gt;ProposalToGnatt[[#This Row],[Start Date]],BE$27&lt;ProposalToGnatt[[#This Row],[Start Date]]+ProposalToGnatt[[#This Row],[Days]]),$G$5,"")),"")</f>
        <v/>
      </c>
      <c r="BF40" s="36" t="str">
        <f ca="1">IFERROR(+IF(BF$27=ProposalToGnatt[[#This Row],[Start Date]],Milestone_Marker,IF(AND(BF$27&gt;ProposalToGnatt[[#This Row],[Start Date]],BF$27&lt;ProposalToGnatt[[#This Row],[Start Date]]+ProposalToGnatt[[#This Row],[Days]]),$G$5,"")),"")</f>
        <v/>
      </c>
      <c r="BG40" s="36" t="str">
        <f ca="1">IFERROR(+IF(BG$27=ProposalToGnatt[[#This Row],[Start Date]],Milestone_Marker,IF(AND(BG$27&gt;ProposalToGnatt[[#This Row],[Start Date]],BG$27&lt;ProposalToGnatt[[#This Row],[Start Date]]+ProposalToGnatt[[#This Row],[Days]]),$G$5,"")),"")</f>
        <v/>
      </c>
      <c r="BH40" s="36" t="str">
        <f ca="1">IFERROR(+IF(BH$27=ProposalToGnatt[[#This Row],[Start Date]],Milestone_Marker,IF(AND(BH$27&gt;ProposalToGnatt[[#This Row],[Start Date]],BH$27&lt;ProposalToGnatt[[#This Row],[Start Date]]+ProposalToGnatt[[#This Row],[Days]]),$G$5,"")),"")</f>
        <v/>
      </c>
      <c r="BI40" s="36" t="str">
        <f ca="1">IFERROR(+IF(BI$27=ProposalToGnatt[[#This Row],[Start Date]],Milestone_Marker,IF(AND(BI$27&gt;ProposalToGnatt[[#This Row],[Start Date]],BI$27&lt;ProposalToGnatt[[#This Row],[Start Date]]+ProposalToGnatt[[#This Row],[Days]]),$G$5,"")),"")</f>
        <v/>
      </c>
      <c r="BJ40" s="36" t="str">
        <f ca="1">IFERROR(+IF(BJ$27=ProposalToGnatt[[#This Row],[Start Date]],Milestone_Marker,IF(AND(BJ$27&gt;ProposalToGnatt[[#This Row],[Start Date]],BJ$27&lt;ProposalToGnatt[[#This Row],[Start Date]]+ProposalToGnatt[[#This Row],[Days]]),$G$5,"")),"")</f>
        <v/>
      </c>
      <c r="BK40" s="36" t="str">
        <f ca="1">IFERROR(+IF(BK$27=ProposalToGnatt[[#This Row],[Start Date]],Milestone_Marker,IF(AND(BK$27&gt;ProposalToGnatt[[#This Row],[Start Date]],BK$27&lt;ProposalToGnatt[[#This Row],[Start Date]]+ProposalToGnatt[[#This Row],[Days]]),$G$5,"")),"")</f>
        <v/>
      </c>
      <c r="BL40" s="36" t="str">
        <f ca="1">IFERROR(+IF(BL$27=ProposalToGnatt[[#This Row],[Start Date]],Milestone_Marker,IF(AND(BL$27&gt;ProposalToGnatt[[#This Row],[Start Date]],BL$27&lt;ProposalToGnatt[[#This Row],[Start Date]]+ProposalToGnatt[[#This Row],[Days]]),$G$5,"")),"")</f>
        <v/>
      </c>
      <c r="BM40" s="36" t="str">
        <f ca="1">IFERROR(+IF(BM$27=ProposalToGnatt[[#This Row],[Start Date]],Milestone_Marker,IF(AND(BM$27&gt;ProposalToGnatt[[#This Row],[Start Date]],BM$27&lt;ProposalToGnatt[[#This Row],[Start Date]]+ProposalToGnatt[[#This Row],[Days]]),$G$5,"")),"")</f>
        <v/>
      </c>
      <c r="BN40" s="36" t="str">
        <f ca="1">IFERROR(+IF(BN$27=ProposalToGnatt[[#This Row],[Start Date]],Milestone_Marker,IF(AND(BN$27&gt;ProposalToGnatt[[#This Row],[Start Date]],BN$27&lt;ProposalToGnatt[[#This Row],[Start Date]]+ProposalToGnatt[[#This Row],[Days]]),$G$5,"")),"")</f>
        <v/>
      </c>
      <c r="BO40" s="36" t="str">
        <f ca="1">IFERROR(+IF(BO$27=ProposalToGnatt[[#This Row],[Start Date]],Milestone_Marker,IF(AND(BO$27&gt;ProposalToGnatt[[#This Row],[Start Date]],BO$27&lt;ProposalToGnatt[[#This Row],[Start Date]]+ProposalToGnatt[[#This Row],[Days]]),$G$5,"")),"")</f>
        <v/>
      </c>
      <c r="BP40" s="36" t="str">
        <f ca="1">IFERROR(+IF(BP$27=ProposalToGnatt[[#This Row],[Start Date]],Milestone_Marker,IF(AND(BP$27&gt;ProposalToGnatt[[#This Row],[Start Date]],BP$27&lt;ProposalToGnatt[[#This Row],[Start Date]]+ProposalToGnatt[[#This Row],[Days]]),$G$5,"")),"")</f>
        <v/>
      </c>
      <c r="BQ40" s="36" t="str">
        <f ca="1">IFERROR(+IF(BQ$27=ProposalToGnatt[[#This Row],[Start Date]],Milestone_Marker,IF(AND(BQ$27&gt;ProposalToGnatt[[#This Row],[Start Date]],BQ$27&lt;ProposalToGnatt[[#This Row],[Start Date]]+ProposalToGnatt[[#This Row],[Days]]),$G$5,"")),"")</f>
        <v/>
      </c>
      <c r="BR40" s="36" t="str">
        <f ca="1">IFERROR(+IF(BR$27=ProposalToGnatt[[#This Row],[Start Date]],Milestone_Marker,IF(AND(BR$27&gt;ProposalToGnatt[[#This Row],[Start Date]],BR$27&lt;ProposalToGnatt[[#This Row],[Start Date]]+ProposalToGnatt[[#This Row],[Days]]),$G$5,"")),"")</f>
        <v/>
      </c>
      <c r="BS40" s="36" t="str">
        <f ca="1">IFERROR(+IF(BS$27=ProposalToGnatt[[#This Row],[Start Date]],Milestone_Marker,IF(AND(BS$27&gt;ProposalToGnatt[[#This Row],[Start Date]],BS$27&lt;ProposalToGnatt[[#This Row],[Start Date]]+ProposalToGnatt[[#This Row],[Days]]),$G$5,"")),"")</f>
        <v/>
      </c>
      <c r="BT40" s="36" t="str">
        <f ca="1">IFERROR(+IF(BT$27=ProposalToGnatt[[#This Row],[Start Date]],Milestone_Marker,IF(AND(BT$27&gt;ProposalToGnatt[[#This Row],[Start Date]],BT$27&lt;ProposalToGnatt[[#This Row],[Start Date]]+ProposalToGnatt[[#This Row],[Days]]),$G$5,"")),"")</f>
        <v/>
      </c>
      <c r="BU40" s="36" t="str">
        <f ca="1">IFERROR(+IF(BU$27=ProposalToGnatt[[#This Row],[Start Date]],Milestone_Marker,IF(AND(BU$27&gt;ProposalToGnatt[[#This Row],[Start Date]],BU$27&lt;ProposalToGnatt[[#This Row],[Start Date]]+ProposalToGnatt[[#This Row],[Days]]),$G$5,"")),"")</f>
        <v/>
      </c>
      <c r="BV40" s="36" t="str">
        <f ca="1">IFERROR(+IF(BV$27=ProposalToGnatt[[#This Row],[Start Date]],Milestone_Marker,IF(AND(BV$27&gt;ProposalToGnatt[[#This Row],[Start Date]],BV$27&lt;ProposalToGnatt[[#This Row],[Start Date]]+ProposalToGnatt[[#This Row],[Days]]),$G$5,"")),"")</f>
        <v/>
      </c>
      <c r="BW40" s="36" t="str">
        <f ca="1">IFERROR(+IF(BW$27=ProposalToGnatt[[#This Row],[Start Date]],Milestone_Marker,IF(AND(BW$27&gt;ProposalToGnatt[[#This Row],[Start Date]],BW$27&lt;ProposalToGnatt[[#This Row],[Start Date]]+ProposalToGnatt[[#This Row],[Days]]),$G$5,"")),"")</f>
        <v/>
      </c>
      <c r="BX40" s="36" t="str">
        <f ca="1">IFERROR(+IF(BX$27=ProposalToGnatt[[#This Row],[Start Date]],Milestone_Marker,IF(AND(BX$27&gt;ProposalToGnatt[[#This Row],[Start Date]],BX$27&lt;ProposalToGnatt[[#This Row],[Start Date]]+ProposalToGnatt[[#This Row],[Days]]),$G$5,"")),"")</f>
        <v/>
      </c>
      <c r="BY40" s="36" t="str">
        <f ca="1">IFERROR(+IF(BY$27=ProposalToGnatt[[#This Row],[Start Date]],Milestone_Marker,IF(AND(BY$27&gt;ProposalToGnatt[[#This Row],[Start Date]],BY$27&lt;ProposalToGnatt[[#This Row],[Start Date]]+ProposalToGnatt[[#This Row],[Days]]),$G$5,"")),"")</f>
        <v/>
      </c>
      <c r="BZ40" s="36" t="str">
        <f ca="1">IFERROR(+IF(BZ$27=ProposalToGnatt[[#This Row],[Start Date]],Milestone_Marker,IF(AND(BZ$27&gt;ProposalToGnatt[[#This Row],[Start Date]],BZ$27&lt;ProposalToGnatt[[#This Row],[Start Date]]+ProposalToGnatt[[#This Row],[Days]]),$G$5,"")),"")</f>
        <v/>
      </c>
      <c r="CA40" s="36" t="str">
        <f ca="1">IFERROR(+IF(CA$27=ProposalToGnatt[[#This Row],[Start Date]],Milestone_Marker,IF(AND(CA$27&gt;ProposalToGnatt[[#This Row],[Start Date]],CA$27&lt;ProposalToGnatt[[#This Row],[Start Date]]+ProposalToGnatt[[#This Row],[Days]]),$G$5,"")),"")</f>
        <v/>
      </c>
      <c r="CB40" s="36" t="str">
        <f ca="1">IFERROR(+IF(CB$27=ProposalToGnatt[[#This Row],[Start Date]],Milestone_Marker,IF(AND(CB$27&gt;ProposalToGnatt[[#This Row],[Start Date]],CB$27&lt;ProposalToGnatt[[#This Row],[Start Date]]+ProposalToGnatt[[#This Row],[Days]]),$G$5,"")),"")</f>
        <v/>
      </c>
      <c r="CC40" s="36" t="str">
        <f ca="1">IFERROR(+IF(CC$27=ProposalToGnatt[[#This Row],[Start Date]],Milestone_Marker,IF(AND(CC$27&gt;ProposalToGnatt[[#This Row],[Start Date]],CC$27&lt;ProposalToGnatt[[#This Row],[Start Date]]+ProposalToGnatt[[#This Row],[Days]]),$G$5,"")),"")</f>
        <v/>
      </c>
      <c r="CD40" s="36" t="str">
        <f ca="1">IFERROR(+IF(CD$27=ProposalToGnatt[[#This Row],[Start Date]],Milestone_Marker,IF(AND(CD$27&gt;ProposalToGnatt[[#This Row],[Start Date]],CD$27&lt;ProposalToGnatt[[#This Row],[Start Date]]+ProposalToGnatt[[#This Row],[Days]]),$G$5,"")),"")</f>
        <v/>
      </c>
      <c r="CE40" s="36" t="str">
        <f ca="1">IFERROR(+IF(CE$27=ProposalToGnatt[[#This Row],[Start Date]],Milestone_Marker,IF(AND(CE$27&gt;ProposalToGnatt[[#This Row],[Start Date]],CE$27&lt;ProposalToGnatt[[#This Row],[Start Date]]+ProposalToGnatt[[#This Row],[Days]]),$G$5,"")),"")</f>
        <v/>
      </c>
      <c r="CF40" s="36" t="str">
        <f ca="1">IFERROR(+IF(CF$27=ProposalToGnatt[[#This Row],[Start Date]],Milestone_Marker,IF(AND(CF$27&gt;ProposalToGnatt[[#This Row],[Start Date]],CF$27&lt;ProposalToGnatt[[#This Row],[Start Date]]+ProposalToGnatt[[#This Row],[Days]]),$G$5,"")),"")</f>
        <v/>
      </c>
      <c r="CG40" s="36" t="str">
        <f ca="1">IFERROR(+IF(CG$27=ProposalToGnatt[[#This Row],[Start Date]],Milestone_Marker,IF(AND(CG$27&gt;ProposalToGnatt[[#This Row],[Start Date]],CG$27&lt;ProposalToGnatt[[#This Row],[Start Date]]+ProposalToGnatt[[#This Row],[Days]]),$G$5,"")),"")</f>
        <v/>
      </c>
      <c r="CH40" s="36" t="str">
        <f ca="1">IFERROR(+IF(CH$27=ProposalToGnatt[[#This Row],[Start Date]],Milestone_Marker,IF(AND(CH$27&gt;ProposalToGnatt[[#This Row],[Start Date]],CH$27&lt;ProposalToGnatt[[#This Row],[Start Date]]+ProposalToGnatt[[#This Row],[Days]]),$G$5,"")),"")</f>
        <v/>
      </c>
      <c r="CI40" s="36" t="str">
        <f ca="1">IFERROR(+IF(CI$27=ProposalToGnatt[[#This Row],[Start Date]],Milestone_Marker,IF(AND(CI$27&gt;ProposalToGnatt[[#This Row],[Start Date]],CI$27&lt;ProposalToGnatt[[#This Row],[Start Date]]+ProposalToGnatt[[#This Row],[Days]]),$G$5,"")),"")</f>
        <v/>
      </c>
      <c r="CJ40" s="36" t="str">
        <f ca="1">IFERROR(+IF(CJ$27=ProposalToGnatt[[#This Row],[Start Date]],Milestone_Marker,IF(AND(CJ$27&gt;ProposalToGnatt[[#This Row],[Start Date]],CJ$27&lt;ProposalToGnatt[[#This Row],[Start Date]]+ProposalToGnatt[[#This Row],[Days]]),$G$5,"")),"")</f>
        <v/>
      </c>
      <c r="CK40" s="36" t="str">
        <f ca="1">IFERROR(+IF(CK$27=ProposalToGnatt[[#This Row],[Start Date]],Milestone_Marker,IF(AND(CK$27&gt;ProposalToGnatt[[#This Row],[Start Date]],CK$27&lt;ProposalToGnatt[[#This Row],[Start Date]]+ProposalToGnatt[[#This Row],[Days]]),$G$5,"")),"")</f>
        <v/>
      </c>
      <c r="CL40" s="36" t="str">
        <f ca="1">IFERROR(+IF(CL$27=ProposalToGnatt[[#This Row],[Start Date]],Milestone_Marker,IF(AND(CL$27&gt;ProposalToGnatt[[#This Row],[Start Date]],CL$27&lt;ProposalToGnatt[[#This Row],[Start Date]]+ProposalToGnatt[[#This Row],[Days]]),$G$5,"")),"")</f>
        <v/>
      </c>
      <c r="CM40" s="36" t="str">
        <f ca="1">IFERROR(+IF(CM$27=ProposalToGnatt[[#This Row],[Start Date]],Milestone_Marker,IF(AND(CM$27&gt;ProposalToGnatt[[#This Row],[Start Date]],CM$27&lt;ProposalToGnatt[[#This Row],[Start Date]]+ProposalToGnatt[[#This Row],[Days]]),$G$5,"")),"")</f>
        <v/>
      </c>
      <c r="CN40" s="36" t="str">
        <f ca="1">IFERROR(+IF(CN$27=ProposalToGnatt[[#This Row],[Start Date]],Milestone_Marker,IF(AND(CN$27&gt;ProposalToGnatt[[#This Row],[Start Date]],CN$27&lt;ProposalToGnatt[[#This Row],[Start Date]]+ProposalToGnatt[[#This Row],[Days]]),$G$5,"")),"")</f>
        <v/>
      </c>
      <c r="CO40" s="36" t="str">
        <f ca="1">IFERROR(+IF(CO$27=ProposalToGnatt[[#This Row],[Start Date]],Milestone_Marker,IF(AND(CO$27&gt;ProposalToGnatt[[#This Row],[Start Date]],CO$27&lt;ProposalToGnatt[[#This Row],[Start Date]]+ProposalToGnatt[[#This Row],[Days]]),$G$5,"")),"")</f>
        <v/>
      </c>
      <c r="CP40" s="36" t="str">
        <f ca="1">IFERROR(+IF(CP$27=ProposalToGnatt[[#This Row],[Start Date]],Milestone_Marker,IF(AND(CP$27&gt;ProposalToGnatt[[#This Row],[Start Date]],CP$27&lt;ProposalToGnatt[[#This Row],[Start Date]]+ProposalToGnatt[[#This Row],[Days]]),$G$5,"")),"")</f>
        <v/>
      </c>
      <c r="CQ40" s="36" t="str">
        <f ca="1">IFERROR(+IF(CQ$27=ProposalToGnatt[[#This Row],[Start Date]],Milestone_Marker,IF(AND(CQ$27&gt;ProposalToGnatt[[#This Row],[Start Date]],CQ$27&lt;ProposalToGnatt[[#This Row],[Start Date]]+ProposalToGnatt[[#This Row],[Days]]),$G$5,"")),"")</f>
        <v/>
      </c>
      <c r="CR40" s="36" t="str">
        <f ca="1">IFERROR(+IF(CR$27=ProposalToGnatt[[#This Row],[Start Date]],Milestone_Marker,IF(AND(CR$27&gt;ProposalToGnatt[[#This Row],[Start Date]],CR$27&lt;ProposalToGnatt[[#This Row],[Start Date]]+ProposalToGnatt[[#This Row],[Days]]),$G$5,"")),"")</f>
        <v/>
      </c>
      <c r="CS40" s="36" t="str">
        <f ca="1">IFERROR(+IF(CS$27=ProposalToGnatt[[#This Row],[Start Date]],Milestone_Marker,IF(AND(CS$27&gt;ProposalToGnatt[[#This Row],[Start Date]],CS$27&lt;ProposalToGnatt[[#This Row],[Start Date]]+ProposalToGnatt[[#This Row],[Days]]),$G$5,"")),"")</f>
        <v/>
      </c>
      <c r="CT40" s="36" t="str">
        <f ca="1">IFERROR(+IF(CT$27=ProposalToGnatt[[#This Row],[Start Date]],Milestone_Marker,IF(AND(CT$27&gt;ProposalToGnatt[[#This Row],[Start Date]],CT$27&lt;ProposalToGnatt[[#This Row],[Start Date]]+ProposalToGnatt[[#This Row],[Days]]),$G$5,"")),"")</f>
        <v/>
      </c>
      <c r="CU40" s="36" t="str">
        <f ca="1">IFERROR(+IF(CU$27=ProposalToGnatt[[#This Row],[Start Date]],Milestone_Marker,IF(AND(CU$27&gt;ProposalToGnatt[[#This Row],[Start Date]],CU$27&lt;ProposalToGnatt[[#This Row],[Start Date]]+ProposalToGnatt[[#This Row],[Days]]),$G$5,"")),"")</f>
        <v/>
      </c>
      <c r="CV40" s="36"/>
      <c r="CW40" s="36"/>
      <c r="CX40" s="36"/>
      <c r="CY40" s="36"/>
      <c r="CZ40" s="36"/>
      <c r="DA40" s="36"/>
      <c r="DB40" s="36"/>
      <c r="DC40" s="36"/>
      <c r="DD40" s="36"/>
      <c r="DE40" s="36"/>
      <c r="DF40" s="36"/>
      <c r="DG40" s="36"/>
      <c r="DH40" s="36"/>
      <c r="DI40" s="36"/>
      <c r="DJ40" s="36"/>
      <c r="DK40" s="36"/>
      <c r="DL40" s="36"/>
      <c r="DM40" s="36"/>
      <c r="DN40" s="36"/>
      <c r="DO40" s="36"/>
      <c r="DP40" s="36"/>
      <c r="DQ40" s="36"/>
      <c r="DR40" s="36"/>
      <c r="DS40" s="36"/>
      <c r="DT40" s="36"/>
      <c r="DU40" s="36"/>
    </row>
    <row r="41" spans="1:125" s="41" customFormat="1" ht="15" x14ac:dyDescent="0.25">
      <c r="A41" t="s">
        <v>263</v>
      </c>
      <c r="B41">
        <v>14</v>
      </c>
      <c r="C41"/>
      <c r="D41"/>
      <c r="E41"/>
      <c r="F41"/>
      <c r="G41" s="14"/>
      <c r="H41" s="14"/>
      <c r="I41"/>
      <c r="J41"/>
      <c r="K41" s="246"/>
      <c r="L41"/>
      <c r="M41" s="14"/>
      <c r="N41" s="299"/>
      <c r="O41" s="281"/>
      <c r="P41" s="36" t="str">
        <f ca="1">IFERROR(+IF(P$27=ProposalToGnatt[[#This Row],[Start Date]],Milestone_Marker,IF(AND(P$27&gt;ProposalToGnatt[[#This Row],[Start Date]],P$27&lt;ProposalToGnatt[[#This Row],[Start Date]]+ProposalToGnatt[[#This Row],[Days]]),$G$5,"")),"")</f>
        <v/>
      </c>
      <c r="Q41" s="36" t="str">
        <f ca="1">IFERROR(+IF(Q$27=ProposalToGnatt[[#This Row],[Start Date]],Milestone_Marker,IF(AND(Q$27&gt;ProposalToGnatt[[#This Row],[Start Date]],Q$27&lt;ProposalToGnatt[[#This Row],[Start Date]]+ProposalToGnatt[[#This Row],[Days]]),$G$5,"")),"")</f>
        <v/>
      </c>
      <c r="R41" s="36" t="str">
        <f ca="1">IFERROR(+IF(R$27=ProposalToGnatt[[#This Row],[Start Date]],Milestone_Marker,IF(AND(R$27&gt;ProposalToGnatt[[#This Row],[Start Date]],R$27&lt;ProposalToGnatt[[#This Row],[Start Date]]+ProposalToGnatt[[#This Row],[Days]]),$G$5,"")),"")</f>
        <v/>
      </c>
      <c r="S41" s="36" t="str">
        <f ca="1">IFERROR(+IF(S$27=ProposalToGnatt[[#This Row],[Start Date]],Milestone_Marker,IF(AND(S$27&gt;ProposalToGnatt[[#This Row],[Start Date]],S$27&lt;ProposalToGnatt[[#This Row],[Start Date]]+ProposalToGnatt[[#This Row],[Days]]),$G$5,"")),"")</f>
        <v/>
      </c>
      <c r="T41" s="36" t="str">
        <f ca="1">IFERROR(+IF(T$27=ProposalToGnatt[[#This Row],[Start Date]],Milestone_Marker,IF(AND(T$27&gt;ProposalToGnatt[[#This Row],[Start Date]],T$27&lt;ProposalToGnatt[[#This Row],[Start Date]]+ProposalToGnatt[[#This Row],[Days]]),$G$5,"")),"")</f>
        <v/>
      </c>
      <c r="U41" s="36" t="str">
        <f ca="1">IFERROR(+IF(U$27=ProposalToGnatt[[#This Row],[Start Date]],Milestone_Marker,IF(AND(U$27&gt;ProposalToGnatt[[#This Row],[Start Date]],U$27&lt;ProposalToGnatt[[#This Row],[Start Date]]+ProposalToGnatt[[#This Row],[Days]]),$G$5,"")),"")</f>
        <v/>
      </c>
      <c r="V41" s="36" t="str">
        <f ca="1">IFERROR(+IF(V$27=ProposalToGnatt[[#This Row],[Start Date]],Milestone_Marker,IF(AND(V$27&gt;ProposalToGnatt[[#This Row],[Start Date]],V$27&lt;ProposalToGnatt[[#This Row],[Start Date]]+ProposalToGnatt[[#This Row],[Days]]),$G$5,"")),"")</f>
        <v/>
      </c>
      <c r="W41" s="36" t="str">
        <f ca="1">IFERROR(+IF(W$27=ProposalToGnatt[[#This Row],[Start Date]],Milestone_Marker,IF(AND(W$27&gt;ProposalToGnatt[[#This Row],[Start Date]],W$27&lt;ProposalToGnatt[[#This Row],[Start Date]]+ProposalToGnatt[[#This Row],[Days]]),$G$5,"")),"")</f>
        <v/>
      </c>
      <c r="X41" s="36" t="str">
        <f ca="1">IFERROR(+IF(X$27=ProposalToGnatt[[#This Row],[Start Date]],Milestone_Marker,IF(AND(X$27&gt;ProposalToGnatt[[#This Row],[Start Date]],X$27&lt;ProposalToGnatt[[#This Row],[Start Date]]+ProposalToGnatt[[#This Row],[Days]]),$G$5,"")),"")</f>
        <v/>
      </c>
      <c r="Y41" s="36" t="str">
        <f ca="1">IFERROR(+IF(Y$27=ProposalToGnatt[[#This Row],[Start Date]],Milestone_Marker,IF(AND(Y$27&gt;ProposalToGnatt[[#This Row],[Start Date]],Y$27&lt;ProposalToGnatt[[#This Row],[Start Date]]+ProposalToGnatt[[#This Row],[Days]]),$G$5,"")),"")</f>
        <v/>
      </c>
      <c r="Z41" s="36" t="str">
        <f ca="1">IFERROR(+IF(Z$27=ProposalToGnatt[[#This Row],[Start Date]],Milestone_Marker,IF(AND(Z$27&gt;ProposalToGnatt[[#This Row],[Start Date]],Z$27&lt;ProposalToGnatt[[#This Row],[Start Date]]+ProposalToGnatt[[#This Row],[Days]]),$G$5,"")),"")</f>
        <v/>
      </c>
      <c r="AA41" s="36" t="str">
        <f ca="1">IFERROR(+IF(AA$27=ProposalToGnatt[[#This Row],[Start Date]],Milestone_Marker,IF(AND(AA$27&gt;ProposalToGnatt[[#This Row],[Start Date]],AA$27&lt;ProposalToGnatt[[#This Row],[Start Date]]+ProposalToGnatt[[#This Row],[Days]]),$G$5,"")),"")</f>
        <v/>
      </c>
      <c r="AB41" s="36" t="str">
        <f ca="1">IFERROR(+IF(AB$27=ProposalToGnatt[[#This Row],[Start Date]],Milestone_Marker,IF(AND(AB$27&gt;ProposalToGnatt[[#This Row],[Start Date]],AB$27&lt;ProposalToGnatt[[#This Row],[Start Date]]+ProposalToGnatt[[#This Row],[Days]]),$G$5,"")),"")</f>
        <v/>
      </c>
      <c r="AC41" s="36" t="str">
        <f ca="1">IFERROR(+IF(AC$27=ProposalToGnatt[[#This Row],[Start Date]],Milestone_Marker,IF(AND(AC$27&gt;ProposalToGnatt[[#This Row],[Start Date]],AC$27&lt;ProposalToGnatt[[#This Row],[Start Date]]+ProposalToGnatt[[#This Row],[Days]]),$G$5,"")),"")</f>
        <v/>
      </c>
      <c r="AD41" s="36" t="str">
        <f ca="1">IFERROR(+IF(AD$27=ProposalToGnatt[[#This Row],[Start Date]],Milestone_Marker,IF(AND(AD$27&gt;ProposalToGnatt[[#This Row],[Start Date]],AD$27&lt;ProposalToGnatt[[#This Row],[Start Date]]+ProposalToGnatt[[#This Row],[Days]]),$G$5,"")),"")</f>
        <v/>
      </c>
      <c r="AE41" s="36" t="str">
        <f ca="1">IFERROR(+IF(AE$27=ProposalToGnatt[[#This Row],[Start Date]],Milestone_Marker,IF(AND(AE$27&gt;ProposalToGnatt[[#This Row],[Start Date]],AE$27&lt;ProposalToGnatt[[#This Row],[Start Date]]+ProposalToGnatt[[#This Row],[Days]]),$G$5,"")),"")</f>
        <v/>
      </c>
      <c r="AF41" s="36" t="str">
        <f ca="1">IFERROR(+IF(AF$27=ProposalToGnatt[[#This Row],[Start Date]],Milestone_Marker,IF(AND(AF$27&gt;ProposalToGnatt[[#This Row],[Start Date]],AF$27&lt;ProposalToGnatt[[#This Row],[Start Date]]+ProposalToGnatt[[#This Row],[Days]]),$G$5,"")),"")</f>
        <v/>
      </c>
      <c r="AG41" s="36" t="str">
        <f ca="1">IFERROR(+IF(AG$27=ProposalToGnatt[[#This Row],[Start Date]],Milestone_Marker,IF(AND(AG$27&gt;ProposalToGnatt[[#This Row],[Start Date]],AG$27&lt;ProposalToGnatt[[#This Row],[Start Date]]+ProposalToGnatt[[#This Row],[Days]]),$G$5,"")),"")</f>
        <v/>
      </c>
      <c r="AH41" s="36" t="str">
        <f ca="1">IFERROR(+IF(AH$27=ProposalToGnatt[[#This Row],[Start Date]],Milestone_Marker,IF(AND(AH$27&gt;ProposalToGnatt[[#This Row],[Start Date]],AH$27&lt;ProposalToGnatt[[#This Row],[Start Date]]+ProposalToGnatt[[#This Row],[Days]]),$G$5,"")),"")</f>
        <v/>
      </c>
      <c r="AI41" s="36" t="str">
        <f ca="1">IFERROR(+IF(AI$27=ProposalToGnatt[[#This Row],[Start Date]],Milestone_Marker,IF(AND(AI$27&gt;ProposalToGnatt[[#This Row],[Start Date]],AI$27&lt;ProposalToGnatt[[#This Row],[Start Date]]+ProposalToGnatt[[#This Row],[Days]]),$G$5,"")),"")</f>
        <v/>
      </c>
      <c r="AJ41" s="36" t="str">
        <f ca="1">IFERROR(+IF(AJ$27=ProposalToGnatt[[#This Row],[Start Date]],Milestone_Marker,IF(AND(AJ$27&gt;ProposalToGnatt[[#This Row],[Start Date]],AJ$27&lt;ProposalToGnatt[[#This Row],[Start Date]]+ProposalToGnatt[[#This Row],[Days]]),$G$5,"")),"")</f>
        <v/>
      </c>
      <c r="AK41" s="36" t="str">
        <f ca="1">IFERROR(+IF(AK$27=ProposalToGnatt[[#This Row],[Start Date]],Milestone_Marker,IF(AND(AK$27&gt;ProposalToGnatt[[#This Row],[Start Date]],AK$27&lt;ProposalToGnatt[[#This Row],[Start Date]]+ProposalToGnatt[[#This Row],[Days]]),$G$5,"")),"")</f>
        <v/>
      </c>
      <c r="AL41" s="36" t="str">
        <f ca="1">IFERROR(+IF(AL$27=ProposalToGnatt[[#This Row],[Start Date]],Milestone_Marker,IF(AND(AL$27&gt;ProposalToGnatt[[#This Row],[Start Date]],AL$27&lt;ProposalToGnatt[[#This Row],[Start Date]]+ProposalToGnatt[[#This Row],[Days]]),$G$5,"")),"")</f>
        <v/>
      </c>
      <c r="AM41" s="36" t="str">
        <f ca="1">IFERROR(+IF(AM$27=ProposalToGnatt[[#This Row],[Start Date]],Milestone_Marker,IF(AND(AM$27&gt;ProposalToGnatt[[#This Row],[Start Date]],AM$27&lt;ProposalToGnatt[[#This Row],[Start Date]]+ProposalToGnatt[[#This Row],[Days]]),$G$5,"")),"")</f>
        <v/>
      </c>
      <c r="AN41" s="36" t="str">
        <f ca="1">IFERROR(+IF(AN$27=ProposalToGnatt[[#This Row],[Start Date]],Milestone_Marker,IF(AND(AN$27&gt;ProposalToGnatt[[#This Row],[Start Date]],AN$27&lt;ProposalToGnatt[[#This Row],[Start Date]]+ProposalToGnatt[[#This Row],[Days]]),$G$5,"")),"")</f>
        <v/>
      </c>
      <c r="AO41" s="36" t="str">
        <f ca="1">IFERROR(+IF(AO$27=ProposalToGnatt[[#This Row],[Start Date]],Milestone_Marker,IF(AND(AO$27&gt;ProposalToGnatt[[#This Row],[Start Date]],AO$27&lt;ProposalToGnatt[[#This Row],[Start Date]]+ProposalToGnatt[[#This Row],[Days]]),$G$5,"")),"")</f>
        <v/>
      </c>
      <c r="AP41" s="36" t="str">
        <f ca="1">IFERROR(+IF(AP$27=ProposalToGnatt[[#This Row],[Start Date]],Milestone_Marker,IF(AND(AP$27&gt;ProposalToGnatt[[#This Row],[Start Date]],AP$27&lt;ProposalToGnatt[[#This Row],[Start Date]]+ProposalToGnatt[[#This Row],[Days]]),$G$5,"")),"")</f>
        <v/>
      </c>
      <c r="AQ41" s="36" t="str">
        <f ca="1">IFERROR(+IF(AQ$27=ProposalToGnatt[[#This Row],[Start Date]],Milestone_Marker,IF(AND(AQ$27&gt;ProposalToGnatt[[#This Row],[Start Date]],AQ$27&lt;ProposalToGnatt[[#This Row],[Start Date]]+ProposalToGnatt[[#This Row],[Days]]),$G$5,"")),"")</f>
        <v/>
      </c>
      <c r="AR41" s="36" t="str">
        <f ca="1">IFERROR(+IF(AR$27=ProposalToGnatt[[#This Row],[Start Date]],Milestone_Marker,IF(AND(AR$27&gt;ProposalToGnatt[[#This Row],[Start Date]],AR$27&lt;ProposalToGnatt[[#This Row],[Start Date]]+ProposalToGnatt[[#This Row],[Days]]),$G$5,"")),"")</f>
        <v/>
      </c>
      <c r="AS41" s="36" t="str">
        <f ca="1">IFERROR(+IF(AS$27=ProposalToGnatt[[#This Row],[Start Date]],Milestone_Marker,IF(AND(AS$27&gt;ProposalToGnatt[[#This Row],[Start Date]],AS$27&lt;ProposalToGnatt[[#This Row],[Start Date]]+ProposalToGnatt[[#This Row],[Days]]),$G$5,"")),"")</f>
        <v/>
      </c>
      <c r="AT41" s="36" t="str">
        <f ca="1">IFERROR(+IF(AT$27=ProposalToGnatt[[#This Row],[Start Date]],Milestone_Marker,IF(AND(AT$27&gt;ProposalToGnatt[[#This Row],[Start Date]],AT$27&lt;ProposalToGnatt[[#This Row],[Start Date]]+ProposalToGnatt[[#This Row],[Days]]),$G$5,"")),"")</f>
        <v/>
      </c>
      <c r="AU41" s="36" t="str">
        <f ca="1">IFERROR(+IF(AU$27=ProposalToGnatt[[#This Row],[Start Date]],Milestone_Marker,IF(AND(AU$27&gt;ProposalToGnatt[[#This Row],[Start Date]],AU$27&lt;ProposalToGnatt[[#This Row],[Start Date]]+ProposalToGnatt[[#This Row],[Days]]),$G$5,"")),"")</f>
        <v/>
      </c>
      <c r="AV41" s="36" t="str">
        <f ca="1">IFERROR(+IF(AV$27=ProposalToGnatt[[#This Row],[Start Date]],Milestone_Marker,IF(AND(AV$27&gt;ProposalToGnatt[[#This Row],[Start Date]],AV$27&lt;ProposalToGnatt[[#This Row],[Start Date]]+ProposalToGnatt[[#This Row],[Days]]),$G$5,"")),"")</f>
        <v/>
      </c>
      <c r="AW41" s="36" t="str">
        <f ca="1">IFERROR(+IF(AW$27=ProposalToGnatt[[#This Row],[Start Date]],Milestone_Marker,IF(AND(AW$27&gt;ProposalToGnatt[[#This Row],[Start Date]],AW$27&lt;ProposalToGnatt[[#This Row],[Start Date]]+ProposalToGnatt[[#This Row],[Days]]),$G$5,"")),"")</f>
        <v/>
      </c>
      <c r="AX41" s="36" t="str">
        <f ca="1">IFERROR(+IF(AX$27=ProposalToGnatt[[#This Row],[Start Date]],Milestone_Marker,IF(AND(AX$27&gt;ProposalToGnatt[[#This Row],[Start Date]],AX$27&lt;ProposalToGnatt[[#This Row],[Start Date]]+ProposalToGnatt[[#This Row],[Days]]),$G$5,"")),"")</f>
        <v/>
      </c>
      <c r="AY41" s="36" t="str">
        <f ca="1">IFERROR(+IF(AY$27=ProposalToGnatt[[#This Row],[Start Date]],Milestone_Marker,IF(AND(AY$27&gt;ProposalToGnatt[[#This Row],[Start Date]],AY$27&lt;ProposalToGnatt[[#This Row],[Start Date]]+ProposalToGnatt[[#This Row],[Days]]),$G$5,"")),"")</f>
        <v/>
      </c>
      <c r="AZ41" s="36" t="str">
        <f ca="1">IFERROR(+IF(AZ$27=ProposalToGnatt[[#This Row],[Start Date]],Milestone_Marker,IF(AND(AZ$27&gt;ProposalToGnatt[[#This Row],[Start Date]],AZ$27&lt;ProposalToGnatt[[#This Row],[Start Date]]+ProposalToGnatt[[#This Row],[Days]]),$G$5,"")),"")</f>
        <v/>
      </c>
      <c r="BA41" s="36" t="str">
        <f ca="1">IFERROR(+IF(BA$27=ProposalToGnatt[[#This Row],[Start Date]],Milestone_Marker,IF(AND(BA$27&gt;ProposalToGnatt[[#This Row],[Start Date]],BA$27&lt;ProposalToGnatt[[#This Row],[Start Date]]+ProposalToGnatt[[#This Row],[Days]]),$G$5,"")),"")</f>
        <v/>
      </c>
      <c r="BB41" s="36" t="str">
        <f ca="1">IFERROR(+IF(BB$27=ProposalToGnatt[[#This Row],[Start Date]],Milestone_Marker,IF(AND(BB$27&gt;ProposalToGnatt[[#This Row],[Start Date]],BB$27&lt;ProposalToGnatt[[#This Row],[Start Date]]+ProposalToGnatt[[#This Row],[Days]]),$G$5,"")),"")</f>
        <v/>
      </c>
      <c r="BC41" s="36" t="str">
        <f ca="1">IFERROR(+IF(BC$27=ProposalToGnatt[[#This Row],[Start Date]],Milestone_Marker,IF(AND(BC$27&gt;ProposalToGnatt[[#This Row],[Start Date]],BC$27&lt;ProposalToGnatt[[#This Row],[Start Date]]+ProposalToGnatt[[#This Row],[Days]]),$G$5,"")),"")</f>
        <v/>
      </c>
      <c r="BD41" s="36" t="str">
        <f ca="1">IFERROR(+IF(BD$27=ProposalToGnatt[[#This Row],[Start Date]],Milestone_Marker,IF(AND(BD$27&gt;ProposalToGnatt[[#This Row],[Start Date]],BD$27&lt;ProposalToGnatt[[#This Row],[Start Date]]+ProposalToGnatt[[#This Row],[Days]]),$G$5,"")),"")</f>
        <v/>
      </c>
      <c r="BE41" s="36" t="str">
        <f ca="1">IFERROR(+IF(BE$27=ProposalToGnatt[[#This Row],[Start Date]],Milestone_Marker,IF(AND(BE$27&gt;ProposalToGnatt[[#This Row],[Start Date]],BE$27&lt;ProposalToGnatt[[#This Row],[Start Date]]+ProposalToGnatt[[#This Row],[Days]]),$G$5,"")),"")</f>
        <v/>
      </c>
      <c r="BF41" s="36" t="str">
        <f ca="1">IFERROR(+IF(BF$27=ProposalToGnatt[[#This Row],[Start Date]],Milestone_Marker,IF(AND(BF$27&gt;ProposalToGnatt[[#This Row],[Start Date]],BF$27&lt;ProposalToGnatt[[#This Row],[Start Date]]+ProposalToGnatt[[#This Row],[Days]]),$G$5,"")),"")</f>
        <v/>
      </c>
      <c r="BG41" s="36" t="str">
        <f ca="1">IFERROR(+IF(BG$27=ProposalToGnatt[[#This Row],[Start Date]],Milestone_Marker,IF(AND(BG$27&gt;ProposalToGnatt[[#This Row],[Start Date]],BG$27&lt;ProposalToGnatt[[#This Row],[Start Date]]+ProposalToGnatt[[#This Row],[Days]]),$G$5,"")),"")</f>
        <v/>
      </c>
      <c r="BH41" s="36" t="str">
        <f ca="1">IFERROR(+IF(BH$27=ProposalToGnatt[[#This Row],[Start Date]],Milestone_Marker,IF(AND(BH$27&gt;ProposalToGnatt[[#This Row],[Start Date]],BH$27&lt;ProposalToGnatt[[#This Row],[Start Date]]+ProposalToGnatt[[#This Row],[Days]]),$G$5,"")),"")</f>
        <v/>
      </c>
      <c r="BI41" s="36" t="str">
        <f ca="1">IFERROR(+IF(BI$27=ProposalToGnatt[[#This Row],[Start Date]],Milestone_Marker,IF(AND(BI$27&gt;ProposalToGnatt[[#This Row],[Start Date]],BI$27&lt;ProposalToGnatt[[#This Row],[Start Date]]+ProposalToGnatt[[#This Row],[Days]]),$G$5,"")),"")</f>
        <v/>
      </c>
      <c r="BJ41" s="36" t="str">
        <f ca="1">IFERROR(+IF(BJ$27=ProposalToGnatt[[#This Row],[Start Date]],Milestone_Marker,IF(AND(BJ$27&gt;ProposalToGnatt[[#This Row],[Start Date]],BJ$27&lt;ProposalToGnatt[[#This Row],[Start Date]]+ProposalToGnatt[[#This Row],[Days]]),$G$5,"")),"")</f>
        <v/>
      </c>
      <c r="BK41" s="36" t="str">
        <f ca="1">IFERROR(+IF(BK$27=ProposalToGnatt[[#This Row],[Start Date]],Milestone_Marker,IF(AND(BK$27&gt;ProposalToGnatt[[#This Row],[Start Date]],BK$27&lt;ProposalToGnatt[[#This Row],[Start Date]]+ProposalToGnatt[[#This Row],[Days]]),$G$5,"")),"")</f>
        <v/>
      </c>
      <c r="BL41" s="36" t="str">
        <f ca="1">IFERROR(+IF(BL$27=ProposalToGnatt[[#This Row],[Start Date]],Milestone_Marker,IF(AND(BL$27&gt;ProposalToGnatt[[#This Row],[Start Date]],BL$27&lt;ProposalToGnatt[[#This Row],[Start Date]]+ProposalToGnatt[[#This Row],[Days]]),$G$5,"")),"")</f>
        <v/>
      </c>
      <c r="BM41" s="36" t="str">
        <f ca="1">IFERROR(+IF(BM$27=ProposalToGnatt[[#This Row],[Start Date]],Milestone_Marker,IF(AND(BM$27&gt;ProposalToGnatt[[#This Row],[Start Date]],BM$27&lt;ProposalToGnatt[[#This Row],[Start Date]]+ProposalToGnatt[[#This Row],[Days]]),$G$5,"")),"")</f>
        <v/>
      </c>
      <c r="BN41" s="36" t="str">
        <f ca="1">IFERROR(+IF(BN$27=ProposalToGnatt[[#This Row],[Start Date]],Milestone_Marker,IF(AND(BN$27&gt;ProposalToGnatt[[#This Row],[Start Date]],BN$27&lt;ProposalToGnatt[[#This Row],[Start Date]]+ProposalToGnatt[[#This Row],[Days]]),$G$5,"")),"")</f>
        <v/>
      </c>
      <c r="BO41" s="36" t="str">
        <f ca="1">IFERROR(+IF(BO$27=ProposalToGnatt[[#This Row],[Start Date]],Milestone_Marker,IF(AND(BO$27&gt;ProposalToGnatt[[#This Row],[Start Date]],BO$27&lt;ProposalToGnatt[[#This Row],[Start Date]]+ProposalToGnatt[[#This Row],[Days]]),$G$5,"")),"")</f>
        <v/>
      </c>
      <c r="BP41" s="36" t="str">
        <f ca="1">IFERROR(+IF(BP$27=ProposalToGnatt[[#This Row],[Start Date]],Milestone_Marker,IF(AND(BP$27&gt;ProposalToGnatt[[#This Row],[Start Date]],BP$27&lt;ProposalToGnatt[[#This Row],[Start Date]]+ProposalToGnatt[[#This Row],[Days]]),$G$5,"")),"")</f>
        <v/>
      </c>
      <c r="BQ41" s="36" t="str">
        <f ca="1">IFERROR(+IF(BQ$27=ProposalToGnatt[[#This Row],[Start Date]],Milestone_Marker,IF(AND(BQ$27&gt;ProposalToGnatt[[#This Row],[Start Date]],BQ$27&lt;ProposalToGnatt[[#This Row],[Start Date]]+ProposalToGnatt[[#This Row],[Days]]),$G$5,"")),"")</f>
        <v/>
      </c>
      <c r="BR41" s="36" t="str">
        <f ca="1">IFERROR(+IF(BR$27=ProposalToGnatt[[#This Row],[Start Date]],Milestone_Marker,IF(AND(BR$27&gt;ProposalToGnatt[[#This Row],[Start Date]],BR$27&lt;ProposalToGnatt[[#This Row],[Start Date]]+ProposalToGnatt[[#This Row],[Days]]),$G$5,"")),"")</f>
        <v/>
      </c>
      <c r="BS41" s="36" t="str">
        <f ca="1">IFERROR(+IF(BS$27=ProposalToGnatt[[#This Row],[Start Date]],Milestone_Marker,IF(AND(BS$27&gt;ProposalToGnatt[[#This Row],[Start Date]],BS$27&lt;ProposalToGnatt[[#This Row],[Start Date]]+ProposalToGnatt[[#This Row],[Days]]),$G$5,"")),"")</f>
        <v/>
      </c>
      <c r="BT41" s="36" t="str">
        <f ca="1">IFERROR(+IF(BT$27=ProposalToGnatt[[#This Row],[Start Date]],Milestone_Marker,IF(AND(BT$27&gt;ProposalToGnatt[[#This Row],[Start Date]],BT$27&lt;ProposalToGnatt[[#This Row],[Start Date]]+ProposalToGnatt[[#This Row],[Days]]),$G$5,"")),"")</f>
        <v/>
      </c>
      <c r="BU41" s="36" t="str">
        <f ca="1">IFERROR(+IF(BU$27=ProposalToGnatt[[#This Row],[Start Date]],Milestone_Marker,IF(AND(BU$27&gt;ProposalToGnatt[[#This Row],[Start Date]],BU$27&lt;ProposalToGnatt[[#This Row],[Start Date]]+ProposalToGnatt[[#This Row],[Days]]),$G$5,"")),"")</f>
        <v/>
      </c>
      <c r="BV41" s="36" t="str">
        <f ca="1">IFERROR(+IF(BV$27=ProposalToGnatt[[#This Row],[Start Date]],Milestone_Marker,IF(AND(BV$27&gt;ProposalToGnatt[[#This Row],[Start Date]],BV$27&lt;ProposalToGnatt[[#This Row],[Start Date]]+ProposalToGnatt[[#This Row],[Days]]),$G$5,"")),"")</f>
        <v/>
      </c>
      <c r="BW41" s="36" t="str">
        <f ca="1">IFERROR(+IF(BW$27=ProposalToGnatt[[#This Row],[Start Date]],Milestone_Marker,IF(AND(BW$27&gt;ProposalToGnatt[[#This Row],[Start Date]],BW$27&lt;ProposalToGnatt[[#This Row],[Start Date]]+ProposalToGnatt[[#This Row],[Days]]),$G$5,"")),"")</f>
        <v/>
      </c>
      <c r="BX41" s="36" t="str">
        <f ca="1">IFERROR(+IF(BX$27=ProposalToGnatt[[#This Row],[Start Date]],Milestone_Marker,IF(AND(BX$27&gt;ProposalToGnatt[[#This Row],[Start Date]],BX$27&lt;ProposalToGnatt[[#This Row],[Start Date]]+ProposalToGnatt[[#This Row],[Days]]),$G$5,"")),"")</f>
        <v/>
      </c>
      <c r="BY41" s="36" t="str">
        <f ca="1">IFERROR(+IF(BY$27=ProposalToGnatt[[#This Row],[Start Date]],Milestone_Marker,IF(AND(BY$27&gt;ProposalToGnatt[[#This Row],[Start Date]],BY$27&lt;ProposalToGnatt[[#This Row],[Start Date]]+ProposalToGnatt[[#This Row],[Days]]),$G$5,"")),"")</f>
        <v/>
      </c>
      <c r="BZ41" s="36" t="str">
        <f ca="1">IFERROR(+IF(BZ$27=ProposalToGnatt[[#This Row],[Start Date]],Milestone_Marker,IF(AND(BZ$27&gt;ProposalToGnatt[[#This Row],[Start Date]],BZ$27&lt;ProposalToGnatt[[#This Row],[Start Date]]+ProposalToGnatt[[#This Row],[Days]]),$G$5,"")),"")</f>
        <v/>
      </c>
      <c r="CA41" s="36" t="str">
        <f ca="1">IFERROR(+IF(CA$27=ProposalToGnatt[[#This Row],[Start Date]],Milestone_Marker,IF(AND(CA$27&gt;ProposalToGnatt[[#This Row],[Start Date]],CA$27&lt;ProposalToGnatt[[#This Row],[Start Date]]+ProposalToGnatt[[#This Row],[Days]]),$G$5,"")),"")</f>
        <v/>
      </c>
      <c r="CB41" s="36" t="str">
        <f ca="1">IFERROR(+IF(CB$27=ProposalToGnatt[[#This Row],[Start Date]],Milestone_Marker,IF(AND(CB$27&gt;ProposalToGnatt[[#This Row],[Start Date]],CB$27&lt;ProposalToGnatt[[#This Row],[Start Date]]+ProposalToGnatt[[#This Row],[Days]]),$G$5,"")),"")</f>
        <v/>
      </c>
      <c r="CC41" s="36" t="str">
        <f ca="1">IFERROR(+IF(CC$27=ProposalToGnatt[[#This Row],[Start Date]],Milestone_Marker,IF(AND(CC$27&gt;ProposalToGnatt[[#This Row],[Start Date]],CC$27&lt;ProposalToGnatt[[#This Row],[Start Date]]+ProposalToGnatt[[#This Row],[Days]]),$G$5,"")),"")</f>
        <v/>
      </c>
      <c r="CD41" s="36" t="str">
        <f ca="1">IFERROR(+IF(CD$27=ProposalToGnatt[[#This Row],[Start Date]],Milestone_Marker,IF(AND(CD$27&gt;ProposalToGnatt[[#This Row],[Start Date]],CD$27&lt;ProposalToGnatt[[#This Row],[Start Date]]+ProposalToGnatt[[#This Row],[Days]]),$G$5,"")),"")</f>
        <v/>
      </c>
      <c r="CE41" s="36" t="str">
        <f ca="1">IFERROR(+IF(CE$27=ProposalToGnatt[[#This Row],[Start Date]],Milestone_Marker,IF(AND(CE$27&gt;ProposalToGnatt[[#This Row],[Start Date]],CE$27&lt;ProposalToGnatt[[#This Row],[Start Date]]+ProposalToGnatt[[#This Row],[Days]]),$G$5,"")),"")</f>
        <v/>
      </c>
      <c r="CF41" s="36" t="str">
        <f ca="1">IFERROR(+IF(CF$27=ProposalToGnatt[[#This Row],[Start Date]],Milestone_Marker,IF(AND(CF$27&gt;ProposalToGnatt[[#This Row],[Start Date]],CF$27&lt;ProposalToGnatt[[#This Row],[Start Date]]+ProposalToGnatt[[#This Row],[Days]]),$G$5,"")),"")</f>
        <v/>
      </c>
      <c r="CG41" s="36" t="str">
        <f ca="1">IFERROR(+IF(CG$27=ProposalToGnatt[[#This Row],[Start Date]],Milestone_Marker,IF(AND(CG$27&gt;ProposalToGnatt[[#This Row],[Start Date]],CG$27&lt;ProposalToGnatt[[#This Row],[Start Date]]+ProposalToGnatt[[#This Row],[Days]]),$G$5,"")),"")</f>
        <v/>
      </c>
      <c r="CH41" s="36" t="str">
        <f ca="1">IFERROR(+IF(CH$27=ProposalToGnatt[[#This Row],[Start Date]],Milestone_Marker,IF(AND(CH$27&gt;ProposalToGnatt[[#This Row],[Start Date]],CH$27&lt;ProposalToGnatt[[#This Row],[Start Date]]+ProposalToGnatt[[#This Row],[Days]]),$G$5,"")),"")</f>
        <v/>
      </c>
      <c r="CI41" s="36" t="str">
        <f ca="1">IFERROR(+IF(CI$27=ProposalToGnatt[[#This Row],[Start Date]],Milestone_Marker,IF(AND(CI$27&gt;ProposalToGnatt[[#This Row],[Start Date]],CI$27&lt;ProposalToGnatt[[#This Row],[Start Date]]+ProposalToGnatt[[#This Row],[Days]]),$G$5,"")),"")</f>
        <v/>
      </c>
      <c r="CJ41" s="36" t="str">
        <f ca="1">IFERROR(+IF(CJ$27=ProposalToGnatt[[#This Row],[Start Date]],Milestone_Marker,IF(AND(CJ$27&gt;ProposalToGnatt[[#This Row],[Start Date]],CJ$27&lt;ProposalToGnatt[[#This Row],[Start Date]]+ProposalToGnatt[[#This Row],[Days]]),$G$5,"")),"")</f>
        <v/>
      </c>
      <c r="CK41" s="36" t="str">
        <f ca="1">IFERROR(+IF(CK$27=ProposalToGnatt[[#This Row],[Start Date]],Milestone_Marker,IF(AND(CK$27&gt;ProposalToGnatt[[#This Row],[Start Date]],CK$27&lt;ProposalToGnatt[[#This Row],[Start Date]]+ProposalToGnatt[[#This Row],[Days]]),$G$5,"")),"")</f>
        <v/>
      </c>
      <c r="CL41" s="36" t="str">
        <f ca="1">IFERROR(+IF(CL$27=ProposalToGnatt[[#This Row],[Start Date]],Milestone_Marker,IF(AND(CL$27&gt;ProposalToGnatt[[#This Row],[Start Date]],CL$27&lt;ProposalToGnatt[[#This Row],[Start Date]]+ProposalToGnatt[[#This Row],[Days]]),$G$5,"")),"")</f>
        <v/>
      </c>
      <c r="CM41" s="36" t="str">
        <f ca="1">IFERROR(+IF(CM$27=ProposalToGnatt[[#This Row],[Start Date]],Milestone_Marker,IF(AND(CM$27&gt;ProposalToGnatt[[#This Row],[Start Date]],CM$27&lt;ProposalToGnatt[[#This Row],[Start Date]]+ProposalToGnatt[[#This Row],[Days]]),$G$5,"")),"")</f>
        <v/>
      </c>
      <c r="CN41" s="36" t="str">
        <f ca="1">IFERROR(+IF(CN$27=ProposalToGnatt[[#This Row],[Start Date]],Milestone_Marker,IF(AND(CN$27&gt;ProposalToGnatt[[#This Row],[Start Date]],CN$27&lt;ProposalToGnatt[[#This Row],[Start Date]]+ProposalToGnatt[[#This Row],[Days]]),$G$5,"")),"")</f>
        <v/>
      </c>
      <c r="CO41" s="36" t="str">
        <f ca="1">IFERROR(+IF(CO$27=ProposalToGnatt[[#This Row],[Start Date]],Milestone_Marker,IF(AND(CO$27&gt;ProposalToGnatt[[#This Row],[Start Date]],CO$27&lt;ProposalToGnatt[[#This Row],[Start Date]]+ProposalToGnatt[[#This Row],[Days]]),$G$5,"")),"")</f>
        <v/>
      </c>
      <c r="CP41" s="36" t="str">
        <f ca="1">IFERROR(+IF(CP$27=ProposalToGnatt[[#This Row],[Start Date]],Milestone_Marker,IF(AND(CP$27&gt;ProposalToGnatt[[#This Row],[Start Date]],CP$27&lt;ProposalToGnatt[[#This Row],[Start Date]]+ProposalToGnatt[[#This Row],[Days]]),$G$5,"")),"")</f>
        <v/>
      </c>
      <c r="CQ41" s="36" t="str">
        <f ca="1">IFERROR(+IF(CQ$27=ProposalToGnatt[[#This Row],[Start Date]],Milestone_Marker,IF(AND(CQ$27&gt;ProposalToGnatt[[#This Row],[Start Date]],CQ$27&lt;ProposalToGnatt[[#This Row],[Start Date]]+ProposalToGnatt[[#This Row],[Days]]),$G$5,"")),"")</f>
        <v/>
      </c>
      <c r="CR41" s="36" t="str">
        <f ca="1">IFERROR(+IF(CR$27=ProposalToGnatt[[#This Row],[Start Date]],Milestone_Marker,IF(AND(CR$27&gt;ProposalToGnatt[[#This Row],[Start Date]],CR$27&lt;ProposalToGnatt[[#This Row],[Start Date]]+ProposalToGnatt[[#This Row],[Days]]),$G$5,"")),"")</f>
        <v/>
      </c>
      <c r="CS41" s="36" t="str">
        <f ca="1">IFERROR(+IF(CS$27=ProposalToGnatt[[#This Row],[Start Date]],Milestone_Marker,IF(AND(CS$27&gt;ProposalToGnatt[[#This Row],[Start Date]],CS$27&lt;ProposalToGnatt[[#This Row],[Start Date]]+ProposalToGnatt[[#This Row],[Days]]),$G$5,"")),"")</f>
        <v/>
      </c>
      <c r="CT41" s="36" t="str">
        <f ca="1">IFERROR(+IF(CT$27=ProposalToGnatt[[#This Row],[Start Date]],Milestone_Marker,IF(AND(CT$27&gt;ProposalToGnatt[[#This Row],[Start Date]],CT$27&lt;ProposalToGnatt[[#This Row],[Start Date]]+ProposalToGnatt[[#This Row],[Days]]),$G$5,"")),"")</f>
        <v/>
      </c>
      <c r="CU41" s="36" t="str">
        <f ca="1">IFERROR(+IF(CU$27=ProposalToGnatt[[#This Row],[Start Date]],Milestone_Marker,IF(AND(CU$27&gt;ProposalToGnatt[[#This Row],[Start Date]],CU$27&lt;ProposalToGnatt[[#This Row],[Start Date]]+ProposalToGnatt[[#This Row],[Days]]),$G$5,"")),"")</f>
        <v/>
      </c>
      <c r="CV41" s="36"/>
      <c r="CW41" s="36"/>
      <c r="CX41" s="36"/>
      <c r="CY41" s="36"/>
      <c r="CZ41" s="36"/>
      <c r="DA41" s="36"/>
      <c r="DB41" s="36"/>
      <c r="DC41" s="36"/>
      <c r="DD41" s="36"/>
      <c r="DE41" s="36"/>
      <c r="DF41" s="36"/>
      <c r="DG41" s="36"/>
      <c r="DH41" s="36"/>
      <c r="DI41" s="36"/>
      <c r="DJ41" s="36"/>
      <c r="DK41" s="36"/>
      <c r="DL41" s="36"/>
      <c r="DM41" s="36"/>
      <c r="DN41" s="36"/>
      <c r="DO41" s="36"/>
      <c r="DP41" s="36"/>
      <c r="DQ41" s="36"/>
      <c r="DR41" s="36"/>
      <c r="DS41" s="36"/>
      <c r="DT41" s="36"/>
      <c r="DU41" s="36"/>
    </row>
    <row r="42" spans="1:125" s="41" customFormat="1" ht="15" customHeight="1" x14ac:dyDescent="0.25">
      <c r="A42" t="s">
        <v>263</v>
      </c>
      <c r="B42">
        <v>15</v>
      </c>
      <c r="C42"/>
      <c r="D42"/>
      <c r="E42"/>
      <c r="F42"/>
      <c r="G42" s="14"/>
      <c r="H42" s="14"/>
      <c r="I42"/>
      <c r="J42"/>
      <c r="K42" s="246"/>
      <c r="L42"/>
      <c r="M42" s="14"/>
      <c r="N42" s="299"/>
      <c r="O42" s="281"/>
      <c r="P42" s="36" t="str">
        <f ca="1">IFERROR(+IF(P$27=ProposalToGnatt[[#This Row],[Start Date]],Milestone_Marker,IF(AND(P$27&gt;ProposalToGnatt[[#This Row],[Start Date]],P$27&lt;ProposalToGnatt[[#This Row],[Start Date]]+ProposalToGnatt[[#This Row],[Days]]),$G$5,"")),"")</f>
        <v/>
      </c>
      <c r="Q42" s="36" t="str">
        <f ca="1">IFERROR(+IF(Q$27=ProposalToGnatt[[#This Row],[Start Date]],Milestone_Marker,IF(AND(Q$27&gt;ProposalToGnatt[[#This Row],[Start Date]],Q$27&lt;ProposalToGnatt[[#This Row],[Start Date]]+ProposalToGnatt[[#This Row],[Days]]),$G$5,"")),"")</f>
        <v/>
      </c>
      <c r="R42" s="36" t="str">
        <f ca="1">IFERROR(+IF(R$27=ProposalToGnatt[[#This Row],[Start Date]],Milestone_Marker,IF(AND(R$27&gt;ProposalToGnatt[[#This Row],[Start Date]],R$27&lt;ProposalToGnatt[[#This Row],[Start Date]]+ProposalToGnatt[[#This Row],[Days]]),$G$5,"")),"")</f>
        <v/>
      </c>
      <c r="S42" s="36" t="str">
        <f ca="1">IFERROR(+IF(S$27=ProposalToGnatt[[#This Row],[Start Date]],Milestone_Marker,IF(AND(S$27&gt;ProposalToGnatt[[#This Row],[Start Date]],S$27&lt;ProposalToGnatt[[#This Row],[Start Date]]+ProposalToGnatt[[#This Row],[Days]]),$G$5,"")),"")</f>
        <v/>
      </c>
      <c r="T42" s="36" t="str">
        <f ca="1">IFERROR(+IF(T$27=ProposalToGnatt[[#This Row],[Start Date]],Milestone_Marker,IF(AND(T$27&gt;ProposalToGnatt[[#This Row],[Start Date]],T$27&lt;ProposalToGnatt[[#This Row],[Start Date]]+ProposalToGnatt[[#This Row],[Days]]),$G$5,"")),"")</f>
        <v/>
      </c>
      <c r="U42" s="36" t="str">
        <f ca="1">IFERROR(+IF(U$27=ProposalToGnatt[[#This Row],[Start Date]],Milestone_Marker,IF(AND(U$27&gt;ProposalToGnatt[[#This Row],[Start Date]],U$27&lt;ProposalToGnatt[[#This Row],[Start Date]]+ProposalToGnatt[[#This Row],[Days]]),$G$5,"")),"")</f>
        <v/>
      </c>
      <c r="V42" s="36" t="str">
        <f ca="1">IFERROR(+IF(V$27=ProposalToGnatt[[#This Row],[Start Date]],Milestone_Marker,IF(AND(V$27&gt;ProposalToGnatt[[#This Row],[Start Date]],V$27&lt;ProposalToGnatt[[#This Row],[Start Date]]+ProposalToGnatt[[#This Row],[Days]]),$G$5,"")),"")</f>
        <v/>
      </c>
      <c r="W42" s="36" t="str">
        <f ca="1">IFERROR(+IF(W$27=ProposalToGnatt[[#This Row],[Start Date]],Milestone_Marker,IF(AND(W$27&gt;ProposalToGnatt[[#This Row],[Start Date]],W$27&lt;ProposalToGnatt[[#This Row],[Start Date]]+ProposalToGnatt[[#This Row],[Days]]),$G$5,"")),"")</f>
        <v/>
      </c>
      <c r="X42" s="36" t="str">
        <f ca="1">IFERROR(+IF(X$27=ProposalToGnatt[[#This Row],[Start Date]],Milestone_Marker,IF(AND(X$27&gt;ProposalToGnatt[[#This Row],[Start Date]],X$27&lt;ProposalToGnatt[[#This Row],[Start Date]]+ProposalToGnatt[[#This Row],[Days]]),$G$5,"")),"")</f>
        <v/>
      </c>
      <c r="Y42" s="36" t="str">
        <f ca="1">IFERROR(+IF(Y$27=ProposalToGnatt[[#This Row],[Start Date]],Milestone_Marker,IF(AND(Y$27&gt;ProposalToGnatt[[#This Row],[Start Date]],Y$27&lt;ProposalToGnatt[[#This Row],[Start Date]]+ProposalToGnatt[[#This Row],[Days]]),$G$5,"")),"")</f>
        <v/>
      </c>
      <c r="Z42" s="36" t="str">
        <f ca="1">IFERROR(+IF(Z$27=ProposalToGnatt[[#This Row],[Start Date]],Milestone_Marker,IF(AND(Z$27&gt;ProposalToGnatt[[#This Row],[Start Date]],Z$27&lt;ProposalToGnatt[[#This Row],[Start Date]]+ProposalToGnatt[[#This Row],[Days]]),$G$5,"")),"")</f>
        <v/>
      </c>
      <c r="AA42" s="36" t="str">
        <f ca="1">IFERROR(+IF(AA$27=ProposalToGnatt[[#This Row],[Start Date]],Milestone_Marker,IF(AND(AA$27&gt;ProposalToGnatt[[#This Row],[Start Date]],AA$27&lt;ProposalToGnatt[[#This Row],[Start Date]]+ProposalToGnatt[[#This Row],[Days]]),$G$5,"")),"")</f>
        <v/>
      </c>
      <c r="AB42" s="36" t="str">
        <f ca="1">IFERROR(+IF(AB$27=ProposalToGnatt[[#This Row],[Start Date]],Milestone_Marker,IF(AND(AB$27&gt;ProposalToGnatt[[#This Row],[Start Date]],AB$27&lt;ProposalToGnatt[[#This Row],[Start Date]]+ProposalToGnatt[[#This Row],[Days]]),$G$5,"")),"")</f>
        <v/>
      </c>
      <c r="AC42" s="36" t="str">
        <f ca="1">IFERROR(+IF(AC$27=ProposalToGnatt[[#This Row],[Start Date]],Milestone_Marker,IF(AND(AC$27&gt;ProposalToGnatt[[#This Row],[Start Date]],AC$27&lt;ProposalToGnatt[[#This Row],[Start Date]]+ProposalToGnatt[[#This Row],[Days]]),$G$5,"")),"")</f>
        <v/>
      </c>
      <c r="AD42" s="36" t="str">
        <f ca="1">IFERROR(+IF(AD$27=ProposalToGnatt[[#This Row],[Start Date]],Milestone_Marker,IF(AND(AD$27&gt;ProposalToGnatt[[#This Row],[Start Date]],AD$27&lt;ProposalToGnatt[[#This Row],[Start Date]]+ProposalToGnatt[[#This Row],[Days]]),$G$5,"")),"")</f>
        <v/>
      </c>
      <c r="AE42" s="36" t="str">
        <f ca="1">IFERROR(+IF(AE$27=ProposalToGnatt[[#This Row],[Start Date]],Milestone_Marker,IF(AND(AE$27&gt;ProposalToGnatt[[#This Row],[Start Date]],AE$27&lt;ProposalToGnatt[[#This Row],[Start Date]]+ProposalToGnatt[[#This Row],[Days]]),$G$5,"")),"")</f>
        <v/>
      </c>
      <c r="AF42" s="36" t="str">
        <f ca="1">IFERROR(+IF(AF$27=ProposalToGnatt[[#This Row],[Start Date]],Milestone_Marker,IF(AND(AF$27&gt;ProposalToGnatt[[#This Row],[Start Date]],AF$27&lt;ProposalToGnatt[[#This Row],[Start Date]]+ProposalToGnatt[[#This Row],[Days]]),$G$5,"")),"")</f>
        <v/>
      </c>
      <c r="AG42" s="36" t="str">
        <f ca="1">IFERROR(+IF(AG$27=ProposalToGnatt[[#This Row],[Start Date]],Milestone_Marker,IF(AND(AG$27&gt;ProposalToGnatt[[#This Row],[Start Date]],AG$27&lt;ProposalToGnatt[[#This Row],[Start Date]]+ProposalToGnatt[[#This Row],[Days]]),$G$5,"")),"")</f>
        <v/>
      </c>
      <c r="AH42" s="36" t="str">
        <f ca="1">IFERROR(+IF(AH$27=ProposalToGnatt[[#This Row],[Start Date]],Milestone_Marker,IF(AND(AH$27&gt;ProposalToGnatt[[#This Row],[Start Date]],AH$27&lt;ProposalToGnatt[[#This Row],[Start Date]]+ProposalToGnatt[[#This Row],[Days]]),$G$5,"")),"")</f>
        <v/>
      </c>
      <c r="AI42" s="36" t="str">
        <f ca="1">IFERROR(+IF(AI$27=ProposalToGnatt[[#This Row],[Start Date]],Milestone_Marker,IF(AND(AI$27&gt;ProposalToGnatt[[#This Row],[Start Date]],AI$27&lt;ProposalToGnatt[[#This Row],[Start Date]]+ProposalToGnatt[[#This Row],[Days]]),$G$5,"")),"")</f>
        <v/>
      </c>
      <c r="AJ42" s="36" t="str">
        <f ca="1">IFERROR(+IF(AJ$27=ProposalToGnatt[[#This Row],[Start Date]],Milestone_Marker,IF(AND(AJ$27&gt;ProposalToGnatt[[#This Row],[Start Date]],AJ$27&lt;ProposalToGnatt[[#This Row],[Start Date]]+ProposalToGnatt[[#This Row],[Days]]),$G$5,"")),"")</f>
        <v/>
      </c>
      <c r="AK42" s="36" t="str">
        <f ca="1">IFERROR(+IF(AK$27=ProposalToGnatt[[#This Row],[Start Date]],Milestone_Marker,IF(AND(AK$27&gt;ProposalToGnatt[[#This Row],[Start Date]],AK$27&lt;ProposalToGnatt[[#This Row],[Start Date]]+ProposalToGnatt[[#This Row],[Days]]),$G$5,"")),"")</f>
        <v/>
      </c>
      <c r="AL42" s="36" t="str">
        <f ca="1">IFERROR(+IF(AL$27=ProposalToGnatt[[#This Row],[Start Date]],Milestone_Marker,IF(AND(AL$27&gt;ProposalToGnatt[[#This Row],[Start Date]],AL$27&lt;ProposalToGnatt[[#This Row],[Start Date]]+ProposalToGnatt[[#This Row],[Days]]),$G$5,"")),"")</f>
        <v/>
      </c>
      <c r="AM42" s="36" t="str">
        <f ca="1">IFERROR(+IF(AM$27=ProposalToGnatt[[#This Row],[Start Date]],Milestone_Marker,IF(AND(AM$27&gt;ProposalToGnatt[[#This Row],[Start Date]],AM$27&lt;ProposalToGnatt[[#This Row],[Start Date]]+ProposalToGnatt[[#This Row],[Days]]),$G$5,"")),"")</f>
        <v/>
      </c>
      <c r="AN42" s="36" t="str">
        <f ca="1">IFERROR(+IF(AN$27=ProposalToGnatt[[#This Row],[Start Date]],Milestone_Marker,IF(AND(AN$27&gt;ProposalToGnatt[[#This Row],[Start Date]],AN$27&lt;ProposalToGnatt[[#This Row],[Start Date]]+ProposalToGnatt[[#This Row],[Days]]),$G$5,"")),"")</f>
        <v/>
      </c>
      <c r="AO42" s="36" t="str">
        <f ca="1">IFERROR(+IF(AO$27=ProposalToGnatt[[#This Row],[Start Date]],Milestone_Marker,IF(AND(AO$27&gt;ProposalToGnatt[[#This Row],[Start Date]],AO$27&lt;ProposalToGnatt[[#This Row],[Start Date]]+ProposalToGnatt[[#This Row],[Days]]),$G$5,"")),"")</f>
        <v/>
      </c>
      <c r="AP42" s="36" t="str">
        <f ca="1">IFERROR(+IF(AP$27=ProposalToGnatt[[#This Row],[Start Date]],Milestone_Marker,IF(AND(AP$27&gt;ProposalToGnatt[[#This Row],[Start Date]],AP$27&lt;ProposalToGnatt[[#This Row],[Start Date]]+ProposalToGnatt[[#This Row],[Days]]),$G$5,"")),"")</f>
        <v/>
      </c>
      <c r="AQ42" s="36" t="str">
        <f ca="1">IFERROR(+IF(AQ$27=ProposalToGnatt[[#This Row],[Start Date]],Milestone_Marker,IF(AND(AQ$27&gt;ProposalToGnatt[[#This Row],[Start Date]],AQ$27&lt;ProposalToGnatt[[#This Row],[Start Date]]+ProposalToGnatt[[#This Row],[Days]]),$G$5,"")),"")</f>
        <v/>
      </c>
      <c r="AR42" s="36" t="str">
        <f ca="1">IFERROR(+IF(AR$27=ProposalToGnatt[[#This Row],[Start Date]],Milestone_Marker,IF(AND(AR$27&gt;ProposalToGnatt[[#This Row],[Start Date]],AR$27&lt;ProposalToGnatt[[#This Row],[Start Date]]+ProposalToGnatt[[#This Row],[Days]]),$G$5,"")),"")</f>
        <v/>
      </c>
      <c r="AS42" s="36" t="str">
        <f ca="1">IFERROR(+IF(AS$27=ProposalToGnatt[[#This Row],[Start Date]],Milestone_Marker,IF(AND(AS$27&gt;ProposalToGnatt[[#This Row],[Start Date]],AS$27&lt;ProposalToGnatt[[#This Row],[Start Date]]+ProposalToGnatt[[#This Row],[Days]]),$G$5,"")),"")</f>
        <v/>
      </c>
      <c r="AT42" s="36" t="str">
        <f ca="1">IFERROR(+IF(AT$27=ProposalToGnatt[[#This Row],[Start Date]],Milestone_Marker,IF(AND(AT$27&gt;ProposalToGnatt[[#This Row],[Start Date]],AT$27&lt;ProposalToGnatt[[#This Row],[Start Date]]+ProposalToGnatt[[#This Row],[Days]]),$G$5,"")),"")</f>
        <v/>
      </c>
      <c r="AU42" s="36" t="str">
        <f ca="1">IFERROR(+IF(AU$27=ProposalToGnatt[[#This Row],[Start Date]],Milestone_Marker,IF(AND(AU$27&gt;ProposalToGnatt[[#This Row],[Start Date]],AU$27&lt;ProposalToGnatt[[#This Row],[Start Date]]+ProposalToGnatt[[#This Row],[Days]]),$G$5,"")),"")</f>
        <v/>
      </c>
      <c r="AV42" s="36" t="str">
        <f ca="1">IFERROR(+IF(AV$27=ProposalToGnatt[[#This Row],[Start Date]],Milestone_Marker,IF(AND(AV$27&gt;ProposalToGnatt[[#This Row],[Start Date]],AV$27&lt;ProposalToGnatt[[#This Row],[Start Date]]+ProposalToGnatt[[#This Row],[Days]]),$G$5,"")),"")</f>
        <v/>
      </c>
      <c r="AW42" s="36" t="str">
        <f ca="1">IFERROR(+IF(AW$27=ProposalToGnatt[[#This Row],[Start Date]],Milestone_Marker,IF(AND(AW$27&gt;ProposalToGnatt[[#This Row],[Start Date]],AW$27&lt;ProposalToGnatt[[#This Row],[Start Date]]+ProposalToGnatt[[#This Row],[Days]]),$G$5,"")),"")</f>
        <v/>
      </c>
      <c r="AX42" s="36" t="str">
        <f ca="1">IFERROR(+IF(AX$27=ProposalToGnatt[[#This Row],[Start Date]],Milestone_Marker,IF(AND(AX$27&gt;ProposalToGnatt[[#This Row],[Start Date]],AX$27&lt;ProposalToGnatt[[#This Row],[Start Date]]+ProposalToGnatt[[#This Row],[Days]]),$G$5,"")),"")</f>
        <v/>
      </c>
      <c r="AY42" s="36" t="str">
        <f ca="1">IFERROR(+IF(AY$27=ProposalToGnatt[[#This Row],[Start Date]],Milestone_Marker,IF(AND(AY$27&gt;ProposalToGnatt[[#This Row],[Start Date]],AY$27&lt;ProposalToGnatt[[#This Row],[Start Date]]+ProposalToGnatt[[#This Row],[Days]]),$G$5,"")),"")</f>
        <v/>
      </c>
      <c r="AZ42" s="36" t="str">
        <f ca="1">IFERROR(+IF(AZ$27=ProposalToGnatt[[#This Row],[Start Date]],Milestone_Marker,IF(AND(AZ$27&gt;ProposalToGnatt[[#This Row],[Start Date]],AZ$27&lt;ProposalToGnatt[[#This Row],[Start Date]]+ProposalToGnatt[[#This Row],[Days]]),$G$5,"")),"")</f>
        <v/>
      </c>
      <c r="BA42" s="36" t="str">
        <f ca="1">IFERROR(+IF(BA$27=ProposalToGnatt[[#This Row],[Start Date]],Milestone_Marker,IF(AND(BA$27&gt;ProposalToGnatt[[#This Row],[Start Date]],BA$27&lt;ProposalToGnatt[[#This Row],[Start Date]]+ProposalToGnatt[[#This Row],[Days]]),$G$5,"")),"")</f>
        <v/>
      </c>
      <c r="BB42" s="36" t="str">
        <f ca="1">IFERROR(+IF(BB$27=ProposalToGnatt[[#This Row],[Start Date]],Milestone_Marker,IF(AND(BB$27&gt;ProposalToGnatt[[#This Row],[Start Date]],BB$27&lt;ProposalToGnatt[[#This Row],[Start Date]]+ProposalToGnatt[[#This Row],[Days]]),$G$5,"")),"")</f>
        <v/>
      </c>
      <c r="BC42" s="36" t="str">
        <f ca="1">IFERROR(+IF(BC$27=ProposalToGnatt[[#This Row],[Start Date]],Milestone_Marker,IF(AND(BC$27&gt;ProposalToGnatt[[#This Row],[Start Date]],BC$27&lt;ProposalToGnatt[[#This Row],[Start Date]]+ProposalToGnatt[[#This Row],[Days]]),$G$5,"")),"")</f>
        <v/>
      </c>
      <c r="BD42" s="36" t="str">
        <f ca="1">IFERROR(+IF(BD$27=ProposalToGnatt[[#This Row],[Start Date]],Milestone_Marker,IF(AND(BD$27&gt;ProposalToGnatt[[#This Row],[Start Date]],BD$27&lt;ProposalToGnatt[[#This Row],[Start Date]]+ProposalToGnatt[[#This Row],[Days]]),$G$5,"")),"")</f>
        <v/>
      </c>
      <c r="BE42" s="36" t="str">
        <f ca="1">IFERROR(+IF(BE$27=ProposalToGnatt[[#This Row],[Start Date]],Milestone_Marker,IF(AND(BE$27&gt;ProposalToGnatt[[#This Row],[Start Date]],BE$27&lt;ProposalToGnatt[[#This Row],[Start Date]]+ProposalToGnatt[[#This Row],[Days]]),$G$5,"")),"")</f>
        <v/>
      </c>
      <c r="BF42" s="36" t="str">
        <f ca="1">IFERROR(+IF(BF$27=ProposalToGnatt[[#This Row],[Start Date]],Milestone_Marker,IF(AND(BF$27&gt;ProposalToGnatt[[#This Row],[Start Date]],BF$27&lt;ProposalToGnatt[[#This Row],[Start Date]]+ProposalToGnatt[[#This Row],[Days]]),$G$5,"")),"")</f>
        <v/>
      </c>
      <c r="BG42" s="36" t="str">
        <f ca="1">IFERROR(+IF(BG$27=ProposalToGnatt[[#This Row],[Start Date]],Milestone_Marker,IF(AND(BG$27&gt;ProposalToGnatt[[#This Row],[Start Date]],BG$27&lt;ProposalToGnatt[[#This Row],[Start Date]]+ProposalToGnatt[[#This Row],[Days]]),$G$5,"")),"")</f>
        <v/>
      </c>
      <c r="BH42" s="36" t="str">
        <f ca="1">IFERROR(+IF(BH$27=ProposalToGnatt[[#This Row],[Start Date]],Milestone_Marker,IF(AND(BH$27&gt;ProposalToGnatt[[#This Row],[Start Date]],BH$27&lt;ProposalToGnatt[[#This Row],[Start Date]]+ProposalToGnatt[[#This Row],[Days]]),$G$5,"")),"")</f>
        <v/>
      </c>
      <c r="BI42" s="36" t="str">
        <f ca="1">IFERROR(+IF(BI$27=ProposalToGnatt[[#This Row],[Start Date]],Milestone_Marker,IF(AND(BI$27&gt;ProposalToGnatt[[#This Row],[Start Date]],BI$27&lt;ProposalToGnatt[[#This Row],[Start Date]]+ProposalToGnatt[[#This Row],[Days]]),$G$5,"")),"")</f>
        <v/>
      </c>
      <c r="BJ42" s="36" t="str">
        <f ca="1">IFERROR(+IF(BJ$27=ProposalToGnatt[[#This Row],[Start Date]],Milestone_Marker,IF(AND(BJ$27&gt;ProposalToGnatt[[#This Row],[Start Date]],BJ$27&lt;ProposalToGnatt[[#This Row],[Start Date]]+ProposalToGnatt[[#This Row],[Days]]),$G$5,"")),"")</f>
        <v/>
      </c>
      <c r="BK42" s="36" t="str">
        <f ca="1">IFERROR(+IF(BK$27=ProposalToGnatt[[#This Row],[Start Date]],Milestone_Marker,IF(AND(BK$27&gt;ProposalToGnatt[[#This Row],[Start Date]],BK$27&lt;ProposalToGnatt[[#This Row],[Start Date]]+ProposalToGnatt[[#This Row],[Days]]),$G$5,"")),"")</f>
        <v/>
      </c>
      <c r="BL42" s="36" t="str">
        <f ca="1">IFERROR(+IF(BL$27=ProposalToGnatt[[#This Row],[Start Date]],Milestone_Marker,IF(AND(BL$27&gt;ProposalToGnatt[[#This Row],[Start Date]],BL$27&lt;ProposalToGnatt[[#This Row],[Start Date]]+ProposalToGnatt[[#This Row],[Days]]),$G$5,"")),"")</f>
        <v/>
      </c>
      <c r="BM42" s="36" t="str">
        <f ca="1">IFERROR(+IF(BM$27=ProposalToGnatt[[#This Row],[Start Date]],Milestone_Marker,IF(AND(BM$27&gt;ProposalToGnatt[[#This Row],[Start Date]],BM$27&lt;ProposalToGnatt[[#This Row],[Start Date]]+ProposalToGnatt[[#This Row],[Days]]),$G$5,"")),"")</f>
        <v/>
      </c>
      <c r="BN42" s="36" t="str">
        <f ca="1">IFERROR(+IF(BN$27=ProposalToGnatt[[#This Row],[Start Date]],Milestone_Marker,IF(AND(BN$27&gt;ProposalToGnatt[[#This Row],[Start Date]],BN$27&lt;ProposalToGnatt[[#This Row],[Start Date]]+ProposalToGnatt[[#This Row],[Days]]),$G$5,"")),"")</f>
        <v/>
      </c>
      <c r="BO42" s="36" t="str">
        <f ca="1">IFERROR(+IF(BO$27=ProposalToGnatt[[#This Row],[Start Date]],Milestone_Marker,IF(AND(BO$27&gt;ProposalToGnatt[[#This Row],[Start Date]],BO$27&lt;ProposalToGnatt[[#This Row],[Start Date]]+ProposalToGnatt[[#This Row],[Days]]),$G$5,"")),"")</f>
        <v/>
      </c>
      <c r="BP42" s="36" t="str">
        <f ca="1">IFERROR(+IF(BP$27=ProposalToGnatt[[#This Row],[Start Date]],Milestone_Marker,IF(AND(BP$27&gt;ProposalToGnatt[[#This Row],[Start Date]],BP$27&lt;ProposalToGnatt[[#This Row],[Start Date]]+ProposalToGnatt[[#This Row],[Days]]),$G$5,"")),"")</f>
        <v/>
      </c>
      <c r="BQ42" s="36" t="str">
        <f ca="1">IFERROR(+IF(BQ$27=ProposalToGnatt[[#This Row],[Start Date]],Milestone_Marker,IF(AND(BQ$27&gt;ProposalToGnatt[[#This Row],[Start Date]],BQ$27&lt;ProposalToGnatt[[#This Row],[Start Date]]+ProposalToGnatt[[#This Row],[Days]]),$G$5,"")),"")</f>
        <v/>
      </c>
      <c r="BR42" s="36" t="str">
        <f ca="1">IFERROR(+IF(BR$27=ProposalToGnatt[[#This Row],[Start Date]],Milestone_Marker,IF(AND(BR$27&gt;ProposalToGnatt[[#This Row],[Start Date]],BR$27&lt;ProposalToGnatt[[#This Row],[Start Date]]+ProposalToGnatt[[#This Row],[Days]]),$G$5,"")),"")</f>
        <v/>
      </c>
      <c r="BS42" s="36" t="str">
        <f ca="1">IFERROR(+IF(BS$27=ProposalToGnatt[[#This Row],[Start Date]],Milestone_Marker,IF(AND(BS$27&gt;ProposalToGnatt[[#This Row],[Start Date]],BS$27&lt;ProposalToGnatt[[#This Row],[Start Date]]+ProposalToGnatt[[#This Row],[Days]]),$G$5,"")),"")</f>
        <v/>
      </c>
      <c r="BT42" s="36" t="str">
        <f ca="1">IFERROR(+IF(BT$27=ProposalToGnatt[[#This Row],[Start Date]],Milestone_Marker,IF(AND(BT$27&gt;ProposalToGnatt[[#This Row],[Start Date]],BT$27&lt;ProposalToGnatt[[#This Row],[Start Date]]+ProposalToGnatt[[#This Row],[Days]]),$G$5,"")),"")</f>
        <v/>
      </c>
      <c r="BU42" s="36" t="str">
        <f ca="1">IFERROR(+IF(BU$27=ProposalToGnatt[[#This Row],[Start Date]],Milestone_Marker,IF(AND(BU$27&gt;ProposalToGnatt[[#This Row],[Start Date]],BU$27&lt;ProposalToGnatt[[#This Row],[Start Date]]+ProposalToGnatt[[#This Row],[Days]]),$G$5,"")),"")</f>
        <v/>
      </c>
      <c r="BV42" s="36" t="str">
        <f ca="1">IFERROR(+IF(BV$27=ProposalToGnatt[[#This Row],[Start Date]],Milestone_Marker,IF(AND(BV$27&gt;ProposalToGnatt[[#This Row],[Start Date]],BV$27&lt;ProposalToGnatt[[#This Row],[Start Date]]+ProposalToGnatt[[#This Row],[Days]]),$G$5,"")),"")</f>
        <v/>
      </c>
      <c r="BW42" s="36" t="str">
        <f ca="1">IFERROR(+IF(BW$27=ProposalToGnatt[[#This Row],[Start Date]],Milestone_Marker,IF(AND(BW$27&gt;ProposalToGnatt[[#This Row],[Start Date]],BW$27&lt;ProposalToGnatt[[#This Row],[Start Date]]+ProposalToGnatt[[#This Row],[Days]]),$G$5,"")),"")</f>
        <v/>
      </c>
      <c r="BX42" s="36" t="str">
        <f ca="1">IFERROR(+IF(BX$27=ProposalToGnatt[[#This Row],[Start Date]],Milestone_Marker,IF(AND(BX$27&gt;ProposalToGnatt[[#This Row],[Start Date]],BX$27&lt;ProposalToGnatt[[#This Row],[Start Date]]+ProposalToGnatt[[#This Row],[Days]]),$G$5,"")),"")</f>
        <v/>
      </c>
      <c r="BY42" s="36" t="str">
        <f ca="1">IFERROR(+IF(BY$27=ProposalToGnatt[[#This Row],[Start Date]],Milestone_Marker,IF(AND(BY$27&gt;ProposalToGnatt[[#This Row],[Start Date]],BY$27&lt;ProposalToGnatt[[#This Row],[Start Date]]+ProposalToGnatt[[#This Row],[Days]]),$G$5,"")),"")</f>
        <v/>
      </c>
      <c r="BZ42" s="36" t="str">
        <f ca="1">IFERROR(+IF(BZ$27=ProposalToGnatt[[#This Row],[Start Date]],Milestone_Marker,IF(AND(BZ$27&gt;ProposalToGnatt[[#This Row],[Start Date]],BZ$27&lt;ProposalToGnatt[[#This Row],[Start Date]]+ProposalToGnatt[[#This Row],[Days]]),$G$5,"")),"")</f>
        <v/>
      </c>
      <c r="CA42" s="36" t="str">
        <f ca="1">IFERROR(+IF(CA$27=ProposalToGnatt[[#This Row],[Start Date]],Milestone_Marker,IF(AND(CA$27&gt;ProposalToGnatt[[#This Row],[Start Date]],CA$27&lt;ProposalToGnatt[[#This Row],[Start Date]]+ProposalToGnatt[[#This Row],[Days]]),$G$5,"")),"")</f>
        <v/>
      </c>
      <c r="CB42" s="36" t="str">
        <f ca="1">IFERROR(+IF(CB$27=ProposalToGnatt[[#This Row],[Start Date]],Milestone_Marker,IF(AND(CB$27&gt;ProposalToGnatt[[#This Row],[Start Date]],CB$27&lt;ProposalToGnatt[[#This Row],[Start Date]]+ProposalToGnatt[[#This Row],[Days]]),$G$5,"")),"")</f>
        <v/>
      </c>
      <c r="CC42" s="36" t="str">
        <f ca="1">IFERROR(+IF(CC$27=ProposalToGnatt[[#This Row],[Start Date]],Milestone_Marker,IF(AND(CC$27&gt;ProposalToGnatt[[#This Row],[Start Date]],CC$27&lt;ProposalToGnatt[[#This Row],[Start Date]]+ProposalToGnatt[[#This Row],[Days]]),$G$5,"")),"")</f>
        <v/>
      </c>
      <c r="CD42" s="36" t="str">
        <f ca="1">IFERROR(+IF(CD$27=ProposalToGnatt[[#This Row],[Start Date]],Milestone_Marker,IF(AND(CD$27&gt;ProposalToGnatt[[#This Row],[Start Date]],CD$27&lt;ProposalToGnatt[[#This Row],[Start Date]]+ProposalToGnatt[[#This Row],[Days]]),$G$5,"")),"")</f>
        <v/>
      </c>
      <c r="CE42" s="36" t="str">
        <f ca="1">IFERROR(+IF(CE$27=ProposalToGnatt[[#This Row],[Start Date]],Milestone_Marker,IF(AND(CE$27&gt;ProposalToGnatt[[#This Row],[Start Date]],CE$27&lt;ProposalToGnatt[[#This Row],[Start Date]]+ProposalToGnatt[[#This Row],[Days]]),$G$5,"")),"")</f>
        <v/>
      </c>
      <c r="CF42" s="36" t="str">
        <f ca="1">IFERROR(+IF(CF$27=ProposalToGnatt[[#This Row],[Start Date]],Milestone_Marker,IF(AND(CF$27&gt;ProposalToGnatt[[#This Row],[Start Date]],CF$27&lt;ProposalToGnatt[[#This Row],[Start Date]]+ProposalToGnatt[[#This Row],[Days]]),$G$5,"")),"")</f>
        <v/>
      </c>
      <c r="CG42" s="36" t="str">
        <f ca="1">IFERROR(+IF(CG$27=ProposalToGnatt[[#This Row],[Start Date]],Milestone_Marker,IF(AND(CG$27&gt;ProposalToGnatt[[#This Row],[Start Date]],CG$27&lt;ProposalToGnatt[[#This Row],[Start Date]]+ProposalToGnatt[[#This Row],[Days]]),$G$5,"")),"")</f>
        <v/>
      </c>
      <c r="CH42" s="36" t="str">
        <f ca="1">IFERROR(+IF(CH$27=ProposalToGnatt[[#This Row],[Start Date]],Milestone_Marker,IF(AND(CH$27&gt;ProposalToGnatt[[#This Row],[Start Date]],CH$27&lt;ProposalToGnatt[[#This Row],[Start Date]]+ProposalToGnatt[[#This Row],[Days]]),$G$5,"")),"")</f>
        <v/>
      </c>
      <c r="CI42" s="36" t="str">
        <f ca="1">IFERROR(+IF(CI$27=ProposalToGnatt[[#This Row],[Start Date]],Milestone_Marker,IF(AND(CI$27&gt;ProposalToGnatt[[#This Row],[Start Date]],CI$27&lt;ProposalToGnatt[[#This Row],[Start Date]]+ProposalToGnatt[[#This Row],[Days]]),$G$5,"")),"")</f>
        <v/>
      </c>
      <c r="CJ42" s="36" t="str">
        <f ca="1">IFERROR(+IF(CJ$27=ProposalToGnatt[[#This Row],[Start Date]],Milestone_Marker,IF(AND(CJ$27&gt;ProposalToGnatt[[#This Row],[Start Date]],CJ$27&lt;ProposalToGnatt[[#This Row],[Start Date]]+ProposalToGnatt[[#This Row],[Days]]),$G$5,"")),"")</f>
        <v/>
      </c>
      <c r="CK42" s="36" t="str">
        <f ca="1">IFERROR(+IF(CK$27=ProposalToGnatt[[#This Row],[Start Date]],Milestone_Marker,IF(AND(CK$27&gt;ProposalToGnatt[[#This Row],[Start Date]],CK$27&lt;ProposalToGnatt[[#This Row],[Start Date]]+ProposalToGnatt[[#This Row],[Days]]),$G$5,"")),"")</f>
        <v/>
      </c>
      <c r="CL42" s="36" t="str">
        <f ca="1">IFERROR(+IF(CL$27=ProposalToGnatt[[#This Row],[Start Date]],Milestone_Marker,IF(AND(CL$27&gt;ProposalToGnatt[[#This Row],[Start Date]],CL$27&lt;ProposalToGnatt[[#This Row],[Start Date]]+ProposalToGnatt[[#This Row],[Days]]),$G$5,"")),"")</f>
        <v/>
      </c>
      <c r="CM42" s="36" t="str">
        <f ca="1">IFERROR(+IF(CM$27=ProposalToGnatt[[#This Row],[Start Date]],Milestone_Marker,IF(AND(CM$27&gt;ProposalToGnatt[[#This Row],[Start Date]],CM$27&lt;ProposalToGnatt[[#This Row],[Start Date]]+ProposalToGnatt[[#This Row],[Days]]),$G$5,"")),"")</f>
        <v/>
      </c>
      <c r="CN42" s="36" t="str">
        <f ca="1">IFERROR(+IF(CN$27=ProposalToGnatt[[#This Row],[Start Date]],Milestone_Marker,IF(AND(CN$27&gt;ProposalToGnatt[[#This Row],[Start Date]],CN$27&lt;ProposalToGnatt[[#This Row],[Start Date]]+ProposalToGnatt[[#This Row],[Days]]),$G$5,"")),"")</f>
        <v/>
      </c>
      <c r="CO42" s="36" t="str">
        <f ca="1">IFERROR(+IF(CO$27=ProposalToGnatt[[#This Row],[Start Date]],Milestone_Marker,IF(AND(CO$27&gt;ProposalToGnatt[[#This Row],[Start Date]],CO$27&lt;ProposalToGnatt[[#This Row],[Start Date]]+ProposalToGnatt[[#This Row],[Days]]),$G$5,"")),"")</f>
        <v/>
      </c>
      <c r="CP42" s="36" t="str">
        <f ca="1">IFERROR(+IF(CP$27=ProposalToGnatt[[#This Row],[Start Date]],Milestone_Marker,IF(AND(CP$27&gt;ProposalToGnatt[[#This Row],[Start Date]],CP$27&lt;ProposalToGnatt[[#This Row],[Start Date]]+ProposalToGnatt[[#This Row],[Days]]),$G$5,"")),"")</f>
        <v/>
      </c>
      <c r="CQ42" s="36" t="str">
        <f ca="1">IFERROR(+IF(CQ$27=ProposalToGnatt[[#This Row],[Start Date]],Milestone_Marker,IF(AND(CQ$27&gt;ProposalToGnatt[[#This Row],[Start Date]],CQ$27&lt;ProposalToGnatt[[#This Row],[Start Date]]+ProposalToGnatt[[#This Row],[Days]]),$G$5,"")),"")</f>
        <v/>
      </c>
      <c r="CR42" s="36" t="str">
        <f ca="1">IFERROR(+IF(CR$27=ProposalToGnatt[[#This Row],[Start Date]],Milestone_Marker,IF(AND(CR$27&gt;ProposalToGnatt[[#This Row],[Start Date]],CR$27&lt;ProposalToGnatt[[#This Row],[Start Date]]+ProposalToGnatt[[#This Row],[Days]]),$G$5,"")),"")</f>
        <v/>
      </c>
      <c r="CS42" s="36" t="str">
        <f ca="1">IFERROR(+IF(CS$27=ProposalToGnatt[[#This Row],[Start Date]],Milestone_Marker,IF(AND(CS$27&gt;ProposalToGnatt[[#This Row],[Start Date]],CS$27&lt;ProposalToGnatt[[#This Row],[Start Date]]+ProposalToGnatt[[#This Row],[Days]]),$G$5,"")),"")</f>
        <v/>
      </c>
      <c r="CT42" s="36" t="str">
        <f ca="1">IFERROR(+IF(CT$27=ProposalToGnatt[[#This Row],[Start Date]],Milestone_Marker,IF(AND(CT$27&gt;ProposalToGnatt[[#This Row],[Start Date]],CT$27&lt;ProposalToGnatt[[#This Row],[Start Date]]+ProposalToGnatt[[#This Row],[Days]]),$G$5,"")),"")</f>
        <v/>
      </c>
      <c r="CU42" s="36" t="str">
        <f ca="1">IFERROR(+IF(CU$27=ProposalToGnatt[[#This Row],[Start Date]],Milestone_Marker,IF(AND(CU$27&gt;ProposalToGnatt[[#This Row],[Start Date]],CU$27&lt;ProposalToGnatt[[#This Row],[Start Date]]+ProposalToGnatt[[#This Row],[Days]]),$G$5,"")),"")</f>
        <v/>
      </c>
      <c r="CV42" s="36"/>
      <c r="CW42" s="36"/>
      <c r="CX42" s="36"/>
      <c r="CY42" s="36"/>
      <c r="CZ42" s="36"/>
      <c r="DA42" s="36"/>
      <c r="DB42" s="36"/>
      <c r="DC42" s="36"/>
      <c r="DD42" s="36"/>
      <c r="DE42" s="36"/>
      <c r="DF42" s="36"/>
      <c r="DG42" s="36"/>
      <c r="DH42" s="36"/>
      <c r="DI42" s="36"/>
      <c r="DJ42" s="36"/>
      <c r="DK42" s="36"/>
      <c r="DL42" s="36"/>
      <c r="DM42" s="36"/>
      <c r="DN42" s="36"/>
      <c r="DO42" s="36"/>
      <c r="DP42" s="36"/>
      <c r="DQ42" s="36"/>
      <c r="DR42" s="36"/>
      <c r="DS42" s="36"/>
      <c r="DT42" s="36"/>
      <c r="DU42" s="36"/>
    </row>
    <row r="43" spans="1:125" s="41" customFormat="1" ht="15" x14ac:dyDescent="0.25">
      <c r="A43" t="s">
        <v>263</v>
      </c>
      <c r="B43">
        <v>16</v>
      </c>
      <c r="C43"/>
      <c r="D43"/>
      <c r="E43"/>
      <c r="F43"/>
      <c r="G43" s="14"/>
      <c r="H43" s="14"/>
      <c r="I43"/>
      <c r="J43"/>
      <c r="K43" s="246"/>
      <c r="L43"/>
      <c r="M43" s="14"/>
      <c r="N43" s="299"/>
      <c r="O43" s="281"/>
      <c r="P43" s="36" t="str">
        <f ca="1">IFERROR(+IF(P$27=ProposalToGnatt[[#This Row],[Start Date]],Milestone_Marker,IF(AND(P$27&gt;ProposalToGnatt[[#This Row],[Start Date]],P$27&lt;ProposalToGnatt[[#This Row],[Start Date]]+ProposalToGnatt[[#This Row],[Days]]),$G$5,"")),"")</f>
        <v/>
      </c>
      <c r="Q43" s="36" t="str">
        <f ca="1">IFERROR(+IF(Q$27=ProposalToGnatt[[#This Row],[Start Date]],Milestone_Marker,IF(AND(Q$27&gt;ProposalToGnatt[[#This Row],[Start Date]],Q$27&lt;ProposalToGnatt[[#This Row],[Start Date]]+ProposalToGnatt[[#This Row],[Days]]),$G$5,"")),"")</f>
        <v/>
      </c>
      <c r="R43" s="36" t="str">
        <f ca="1">IFERROR(+IF(R$27=ProposalToGnatt[[#This Row],[Start Date]],Milestone_Marker,IF(AND(R$27&gt;ProposalToGnatt[[#This Row],[Start Date]],R$27&lt;ProposalToGnatt[[#This Row],[Start Date]]+ProposalToGnatt[[#This Row],[Days]]),$G$5,"")),"")</f>
        <v/>
      </c>
      <c r="S43" s="36" t="str">
        <f ca="1">IFERROR(+IF(S$27=ProposalToGnatt[[#This Row],[Start Date]],Milestone_Marker,IF(AND(S$27&gt;ProposalToGnatt[[#This Row],[Start Date]],S$27&lt;ProposalToGnatt[[#This Row],[Start Date]]+ProposalToGnatt[[#This Row],[Days]]),$G$5,"")),"")</f>
        <v/>
      </c>
      <c r="T43" s="36" t="str">
        <f ca="1">IFERROR(+IF(T$27=ProposalToGnatt[[#This Row],[Start Date]],Milestone_Marker,IF(AND(T$27&gt;ProposalToGnatt[[#This Row],[Start Date]],T$27&lt;ProposalToGnatt[[#This Row],[Start Date]]+ProposalToGnatt[[#This Row],[Days]]),$G$5,"")),"")</f>
        <v/>
      </c>
      <c r="U43" s="36" t="str">
        <f ca="1">IFERROR(+IF(U$27=ProposalToGnatt[[#This Row],[Start Date]],Milestone_Marker,IF(AND(U$27&gt;ProposalToGnatt[[#This Row],[Start Date]],U$27&lt;ProposalToGnatt[[#This Row],[Start Date]]+ProposalToGnatt[[#This Row],[Days]]),$G$5,"")),"")</f>
        <v/>
      </c>
      <c r="V43" s="36" t="str">
        <f ca="1">IFERROR(+IF(V$27=ProposalToGnatt[[#This Row],[Start Date]],Milestone_Marker,IF(AND(V$27&gt;ProposalToGnatt[[#This Row],[Start Date]],V$27&lt;ProposalToGnatt[[#This Row],[Start Date]]+ProposalToGnatt[[#This Row],[Days]]),$G$5,"")),"")</f>
        <v/>
      </c>
      <c r="W43" s="36" t="str">
        <f ca="1">IFERROR(+IF(W$27=ProposalToGnatt[[#This Row],[Start Date]],Milestone_Marker,IF(AND(W$27&gt;ProposalToGnatt[[#This Row],[Start Date]],W$27&lt;ProposalToGnatt[[#This Row],[Start Date]]+ProposalToGnatt[[#This Row],[Days]]),$G$5,"")),"")</f>
        <v/>
      </c>
      <c r="X43" s="36" t="str">
        <f ca="1">IFERROR(+IF(X$27=ProposalToGnatt[[#This Row],[Start Date]],Milestone_Marker,IF(AND(X$27&gt;ProposalToGnatt[[#This Row],[Start Date]],X$27&lt;ProposalToGnatt[[#This Row],[Start Date]]+ProposalToGnatt[[#This Row],[Days]]),$G$5,"")),"")</f>
        <v/>
      </c>
      <c r="Y43" s="36" t="str">
        <f ca="1">IFERROR(+IF(Y$27=ProposalToGnatt[[#This Row],[Start Date]],Milestone_Marker,IF(AND(Y$27&gt;ProposalToGnatt[[#This Row],[Start Date]],Y$27&lt;ProposalToGnatt[[#This Row],[Start Date]]+ProposalToGnatt[[#This Row],[Days]]),$G$5,"")),"")</f>
        <v/>
      </c>
      <c r="Z43" s="36" t="str">
        <f ca="1">IFERROR(+IF(Z$27=ProposalToGnatt[[#This Row],[Start Date]],Milestone_Marker,IF(AND(Z$27&gt;ProposalToGnatt[[#This Row],[Start Date]],Z$27&lt;ProposalToGnatt[[#This Row],[Start Date]]+ProposalToGnatt[[#This Row],[Days]]),$G$5,"")),"")</f>
        <v/>
      </c>
      <c r="AA43" s="36" t="str">
        <f ca="1">IFERROR(+IF(AA$27=ProposalToGnatt[[#This Row],[Start Date]],Milestone_Marker,IF(AND(AA$27&gt;ProposalToGnatt[[#This Row],[Start Date]],AA$27&lt;ProposalToGnatt[[#This Row],[Start Date]]+ProposalToGnatt[[#This Row],[Days]]),$G$5,"")),"")</f>
        <v/>
      </c>
      <c r="AB43" s="36" t="str">
        <f ca="1">IFERROR(+IF(AB$27=ProposalToGnatt[[#This Row],[Start Date]],Milestone_Marker,IF(AND(AB$27&gt;ProposalToGnatt[[#This Row],[Start Date]],AB$27&lt;ProposalToGnatt[[#This Row],[Start Date]]+ProposalToGnatt[[#This Row],[Days]]),$G$5,"")),"")</f>
        <v/>
      </c>
      <c r="AC43" s="36" t="str">
        <f ca="1">IFERROR(+IF(AC$27=ProposalToGnatt[[#This Row],[Start Date]],Milestone_Marker,IF(AND(AC$27&gt;ProposalToGnatt[[#This Row],[Start Date]],AC$27&lt;ProposalToGnatt[[#This Row],[Start Date]]+ProposalToGnatt[[#This Row],[Days]]),$G$5,"")),"")</f>
        <v/>
      </c>
      <c r="AD43" s="36" t="str">
        <f ca="1">IFERROR(+IF(AD$27=ProposalToGnatt[[#This Row],[Start Date]],Milestone_Marker,IF(AND(AD$27&gt;ProposalToGnatt[[#This Row],[Start Date]],AD$27&lt;ProposalToGnatt[[#This Row],[Start Date]]+ProposalToGnatt[[#This Row],[Days]]),$G$5,"")),"")</f>
        <v/>
      </c>
      <c r="AE43" s="36" t="str">
        <f ca="1">IFERROR(+IF(AE$27=ProposalToGnatt[[#This Row],[Start Date]],Milestone_Marker,IF(AND(AE$27&gt;ProposalToGnatt[[#This Row],[Start Date]],AE$27&lt;ProposalToGnatt[[#This Row],[Start Date]]+ProposalToGnatt[[#This Row],[Days]]),$G$5,"")),"")</f>
        <v/>
      </c>
      <c r="AF43" s="36" t="str">
        <f ca="1">IFERROR(+IF(AF$27=ProposalToGnatt[[#This Row],[Start Date]],Milestone_Marker,IF(AND(AF$27&gt;ProposalToGnatt[[#This Row],[Start Date]],AF$27&lt;ProposalToGnatt[[#This Row],[Start Date]]+ProposalToGnatt[[#This Row],[Days]]),$G$5,"")),"")</f>
        <v/>
      </c>
      <c r="AG43" s="36" t="str">
        <f ca="1">IFERROR(+IF(AG$27=ProposalToGnatt[[#This Row],[Start Date]],Milestone_Marker,IF(AND(AG$27&gt;ProposalToGnatt[[#This Row],[Start Date]],AG$27&lt;ProposalToGnatt[[#This Row],[Start Date]]+ProposalToGnatt[[#This Row],[Days]]),$G$5,"")),"")</f>
        <v/>
      </c>
      <c r="AH43" s="36" t="str">
        <f ca="1">IFERROR(+IF(AH$27=ProposalToGnatt[[#This Row],[Start Date]],Milestone_Marker,IF(AND(AH$27&gt;ProposalToGnatt[[#This Row],[Start Date]],AH$27&lt;ProposalToGnatt[[#This Row],[Start Date]]+ProposalToGnatt[[#This Row],[Days]]),$G$5,"")),"")</f>
        <v/>
      </c>
      <c r="AI43" s="36" t="str">
        <f ca="1">IFERROR(+IF(AI$27=ProposalToGnatt[[#This Row],[Start Date]],Milestone_Marker,IF(AND(AI$27&gt;ProposalToGnatt[[#This Row],[Start Date]],AI$27&lt;ProposalToGnatt[[#This Row],[Start Date]]+ProposalToGnatt[[#This Row],[Days]]),$G$5,"")),"")</f>
        <v/>
      </c>
      <c r="AJ43" s="36" t="str">
        <f ca="1">IFERROR(+IF(AJ$27=ProposalToGnatt[[#This Row],[Start Date]],Milestone_Marker,IF(AND(AJ$27&gt;ProposalToGnatt[[#This Row],[Start Date]],AJ$27&lt;ProposalToGnatt[[#This Row],[Start Date]]+ProposalToGnatt[[#This Row],[Days]]),$G$5,"")),"")</f>
        <v/>
      </c>
      <c r="AK43" s="36" t="str">
        <f ca="1">IFERROR(+IF(AK$27=ProposalToGnatt[[#This Row],[Start Date]],Milestone_Marker,IF(AND(AK$27&gt;ProposalToGnatt[[#This Row],[Start Date]],AK$27&lt;ProposalToGnatt[[#This Row],[Start Date]]+ProposalToGnatt[[#This Row],[Days]]),$G$5,"")),"")</f>
        <v/>
      </c>
      <c r="AL43" s="36" t="str">
        <f ca="1">IFERROR(+IF(AL$27=ProposalToGnatt[[#This Row],[Start Date]],Milestone_Marker,IF(AND(AL$27&gt;ProposalToGnatt[[#This Row],[Start Date]],AL$27&lt;ProposalToGnatt[[#This Row],[Start Date]]+ProposalToGnatt[[#This Row],[Days]]),$G$5,"")),"")</f>
        <v/>
      </c>
      <c r="AM43" s="36" t="str">
        <f ca="1">IFERROR(+IF(AM$27=ProposalToGnatt[[#This Row],[Start Date]],Milestone_Marker,IF(AND(AM$27&gt;ProposalToGnatt[[#This Row],[Start Date]],AM$27&lt;ProposalToGnatt[[#This Row],[Start Date]]+ProposalToGnatt[[#This Row],[Days]]),$G$5,"")),"")</f>
        <v/>
      </c>
      <c r="AN43" s="36" t="str">
        <f ca="1">IFERROR(+IF(AN$27=ProposalToGnatt[[#This Row],[Start Date]],Milestone_Marker,IF(AND(AN$27&gt;ProposalToGnatt[[#This Row],[Start Date]],AN$27&lt;ProposalToGnatt[[#This Row],[Start Date]]+ProposalToGnatt[[#This Row],[Days]]),$G$5,"")),"")</f>
        <v/>
      </c>
      <c r="AO43" s="36" t="str">
        <f ca="1">IFERROR(+IF(AO$27=ProposalToGnatt[[#This Row],[Start Date]],Milestone_Marker,IF(AND(AO$27&gt;ProposalToGnatt[[#This Row],[Start Date]],AO$27&lt;ProposalToGnatt[[#This Row],[Start Date]]+ProposalToGnatt[[#This Row],[Days]]),$G$5,"")),"")</f>
        <v/>
      </c>
      <c r="AP43" s="36" t="str">
        <f ca="1">IFERROR(+IF(AP$27=ProposalToGnatt[[#This Row],[Start Date]],Milestone_Marker,IF(AND(AP$27&gt;ProposalToGnatt[[#This Row],[Start Date]],AP$27&lt;ProposalToGnatt[[#This Row],[Start Date]]+ProposalToGnatt[[#This Row],[Days]]),$G$5,"")),"")</f>
        <v/>
      </c>
      <c r="AQ43" s="36" t="str">
        <f ca="1">IFERROR(+IF(AQ$27=ProposalToGnatt[[#This Row],[Start Date]],Milestone_Marker,IF(AND(AQ$27&gt;ProposalToGnatt[[#This Row],[Start Date]],AQ$27&lt;ProposalToGnatt[[#This Row],[Start Date]]+ProposalToGnatt[[#This Row],[Days]]),$G$5,"")),"")</f>
        <v/>
      </c>
      <c r="AR43" s="36" t="str">
        <f ca="1">IFERROR(+IF(AR$27=ProposalToGnatt[[#This Row],[Start Date]],Milestone_Marker,IF(AND(AR$27&gt;ProposalToGnatt[[#This Row],[Start Date]],AR$27&lt;ProposalToGnatt[[#This Row],[Start Date]]+ProposalToGnatt[[#This Row],[Days]]),$G$5,"")),"")</f>
        <v/>
      </c>
      <c r="AS43" s="36" t="str">
        <f ca="1">IFERROR(+IF(AS$27=ProposalToGnatt[[#This Row],[Start Date]],Milestone_Marker,IF(AND(AS$27&gt;ProposalToGnatt[[#This Row],[Start Date]],AS$27&lt;ProposalToGnatt[[#This Row],[Start Date]]+ProposalToGnatt[[#This Row],[Days]]),$G$5,"")),"")</f>
        <v/>
      </c>
      <c r="AT43" s="36" t="str">
        <f ca="1">IFERROR(+IF(AT$27=ProposalToGnatt[[#This Row],[Start Date]],Milestone_Marker,IF(AND(AT$27&gt;ProposalToGnatt[[#This Row],[Start Date]],AT$27&lt;ProposalToGnatt[[#This Row],[Start Date]]+ProposalToGnatt[[#This Row],[Days]]),$G$5,"")),"")</f>
        <v/>
      </c>
      <c r="AU43" s="36" t="str">
        <f ca="1">IFERROR(+IF(AU$27=ProposalToGnatt[[#This Row],[Start Date]],Milestone_Marker,IF(AND(AU$27&gt;ProposalToGnatt[[#This Row],[Start Date]],AU$27&lt;ProposalToGnatt[[#This Row],[Start Date]]+ProposalToGnatt[[#This Row],[Days]]),$G$5,"")),"")</f>
        <v/>
      </c>
      <c r="AV43" s="36" t="str">
        <f ca="1">IFERROR(+IF(AV$27=ProposalToGnatt[[#This Row],[Start Date]],Milestone_Marker,IF(AND(AV$27&gt;ProposalToGnatt[[#This Row],[Start Date]],AV$27&lt;ProposalToGnatt[[#This Row],[Start Date]]+ProposalToGnatt[[#This Row],[Days]]),$G$5,"")),"")</f>
        <v/>
      </c>
      <c r="AW43" s="36" t="str">
        <f ca="1">IFERROR(+IF(AW$27=ProposalToGnatt[[#This Row],[Start Date]],Milestone_Marker,IF(AND(AW$27&gt;ProposalToGnatt[[#This Row],[Start Date]],AW$27&lt;ProposalToGnatt[[#This Row],[Start Date]]+ProposalToGnatt[[#This Row],[Days]]),$G$5,"")),"")</f>
        <v/>
      </c>
      <c r="AX43" s="36" t="str">
        <f ca="1">IFERROR(+IF(AX$27=ProposalToGnatt[[#This Row],[Start Date]],Milestone_Marker,IF(AND(AX$27&gt;ProposalToGnatt[[#This Row],[Start Date]],AX$27&lt;ProposalToGnatt[[#This Row],[Start Date]]+ProposalToGnatt[[#This Row],[Days]]),$G$5,"")),"")</f>
        <v/>
      </c>
      <c r="AY43" s="36" t="str">
        <f ca="1">IFERROR(+IF(AY$27=ProposalToGnatt[[#This Row],[Start Date]],Milestone_Marker,IF(AND(AY$27&gt;ProposalToGnatt[[#This Row],[Start Date]],AY$27&lt;ProposalToGnatt[[#This Row],[Start Date]]+ProposalToGnatt[[#This Row],[Days]]),$G$5,"")),"")</f>
        <v/>
      </c>
      <c r="AZ43" s="36" t="str">
        <f ca="1">IFERROR(+IF(AZ$27=ProposalToGnatt[[#This Row],[Start Date]],Milestone_Marker,IF(AND(AZ$27&gt;ProposalToGnatt[[#This Row],[Start Date]],AZ$27&lt;ProposalToGnatt[[#This Row],[Start Date]]+ProposalToGnatt[[#This Row],[Days]]),$G$5,"")),"")</f>
        <v/>
      </c>
      <c r="BA43" s="36" t="str">
        <f ca="1">IFERROR(+IF(BA$27=ProposalToGnatt[[#This Row],[Start Date]],Milestone_Marker,IF(AND(BA$27&gt;ProposalToGnatt[[#This Row],[Start Date]],BA$27&lt;ProposalToGnatt[[#This Row],[Start Date]]+ProposalToGnatt[[#This Row],[Days]]),$G$5,"")),"")</f>
        <v/>
      </c>
      <c r="BB43" s="36" t="str">
        <f ca="1">IFERROR(+IF(BB$27=ProposalToGnatt[[#This Row],[Start Date]],Milestone_Marker,IF(AND(BB$27&gt;ProposalToGnatt[[#This Row],[Start Date]],BB$27&lt;ProposalToGnatt[[#This Row],[Start Date]]+ProposalToGnatt[[#This Row],[Days]]),$G$5,"")),"")</f>
        <v/>
      </c>
      <c r="BC43" s="36" t="str">
        <f ca="1">IFERROR(+IF(BC$27=ProposalToGnatt[[#This Row],[Start Date]],Milestone_Marker,IF(AND(BC$27&gt;ProposalToGnatt[[#This Row],[Start Date]],BC$27&lt;ProposalToGnatt[[#This Row],[Start Date]]+ProposalToGnatt[[#This Row],[Days]]),$G$5,"")),"")</f>
        <v/>
      </c>
      <c r="BD43" s="36" t="str">
        <f ca="1">IFERROR(+IF(BD$27=ProposalToGnatt[[#This Row],[Start Date]],Milestone_Marker,IF(AND(BD$27&gt;ProposalToGnatt[[#This Row],[Start Date]],BD$27&lt;ProposalToGnatt[[#This Row],[Start Date]]+ProposalToGnatt[[#This Row],[Days]]),$G$5,"")),"")</f>
        <v/>
      </c>
      <c r="BE43" s="36" t="str">
        <f ca="1">IFERROR(+IF(BE$27=ProposalToGnatt[[#This Row],[Start Date]],Milestone_Marker,IF(AND(BE$27&gt;ProposalToGnatt[[#This Row],[Start Date]],BE$27&lt;ProposalToGnatt[[#This Row],[Start Date]]+ProposalToGnatt[[#This Row],[Days]]),$G$5,"")),"")</f>
        <v/>
      </c>
      <c r="BF43" s="36" t="str">
        <f ca="1">IFERROR(+IF(BF$27=ProposalToGnatt[[#This Row],[Start Date]],Milestone_Marker,IF(AND(BF$27&gt;ProposalToGnatt[[#This Row],[Start Date]],BF$27&lt;ProposalToGnatt[[#This Row],[Start Date]]+ProposalToGnatt[[#This Row],[Days]]),$G$5,"")),"")</f>
        <v/>
      </c>
      <c r="BG43" s="36" t="str">
        <f ca="1">IFERROR(+IF(BG$27=ProposalToGnatt[[#This Row],[Start Date]],Milestone_Marker,IF(AND(BG$27&gt;ProposalToGnatt[[#This Row],[Start Date]],BG$27&lt;ProposalToGnatt[[#This Row],[Start Date]]+ProposalToGnatt[[#This Row],[Days]]),$G$5,"")),"")</f>
        <v/>
      </c>
      <c r="BH43" s="36" t="str">
        <f ca="1">IFERROR(+IF(BH$27=ProposalToGnatt[[#This Row],[Start Date]],Milestone_Marker,IF(AND(BH$27&gt;ProposalToGnatt[[#This Row],[Start Date]],BH$27&lt;ProposalToGnatt[[#This Row],[Start Date]]+ProposalToGnatt[[#This Row],[Days]]),$G$5,"")),"")</f>
        <v/>
      </c>
      <c r="BI43" s="36" t="str">
        <f ca="1">IFERROR(+IF(BI$27=ProposalToGnatt[[#This Row],[Start Date]],Milestone_Marker,IF(AND(BI$27&gt;ProposalToGnatt[[#This Row],[Start Date]],BI$27&lt;ProposalToGnatt[[#This Row],[Start Date]]+ProposalToGnatt[[#This Row],[Days]]),$G$5,"")),"")</f>
        <v/>
      </c>
      <c r="BJ43" s="36" t="str">
        <f ca="1">IFERROR(+IF(BJ$27=ProposalToGnatt[[#This Row],[Start Date]],Milestone_Marker,IF(AND(BJ$27&gt;ProposalToGnatt[[#This Row],[Start Date]],BJ$27&lt;ProposalToGnatt[[#This Row],[Start Date]]+ProposalToGnatt[[#This Row],[Days]]),$G$5,"")),"")</f>
        <v/>
      </c>
      <c r="BK43" s="36" t="str">
        <f ca="1">IFERROR(+IF(BK$27=ProposalToGnatt[[#This Row],[Start Date]],Milestone_Marker,IF(AND(BK$27&gt;ProposalToGnatt[[#This Row],[Start Date]],BK$27&lt;ProposalToGnatt[[#This Row],[Start Date]]+ProposalToGnatt[[#This Row],[Days]]),$G$5,"")),"")</f>
        <v/>
      </c>
      <c r="BL43" s="36" t="str">
        <f ca="1">IFERROR(+IF(BL$27=ProposalToGnatt[[#This Row],[Start Date]],Milestone_Marker,IF(AND(BL$27&gt;ProposalToGnatt[[#This Row],[Start Date]],BL$27&lt;ProposalToGnatt[[#This Row],[Start Date]]+ProposalToGnatt[[#This Row],[Days]]),$G$5,"")),"")</f>
        <v/>
      </c>
      <c r="BM43" s="36" t="str">
        <f ca="1">IFERROR(+IF(BM$27=ProposalToGnatt[[#This Row],[Start Date]],Milestone_Marker,IF(AND(BM$27&gt;ProposalToGnatt[[#This Row],[Start Date]],BM$27&lt;ProposalToGnatt[[#This Row],[Start Date]]+ProposalToGnatt[[#This Row],[Days]]),$G$5,"")),"")</f>
        <v/>
      </c>
      <c r="BN43" s="36" t="str">
        <f ca="1">IFERROR(+IF(BN$27=ProposalToGnatt[[#This Row],[Start Date]],Milestone_Marker,IF(AND(BN$27&gt;ProposalToGnatt[[#This Row],[Start Date]],BN$27&lt;ProposalToGnatt[[#This Row],[Start Date]]+ProposalToGnatt[[#This Row],[Days]]),$G$5,"")),"")</f>
        <v/>
      </c>
      <c r="BO43" s="36" t="str">
        <f ca="1">IFERROR(+IF(BO$27=ProposalToGnatt[[#This Row],[Start Date]],Milestone_Marker,IF(AND(BO$27&gt;ProposalToGnatt[[#This Row],[Start Date]],BO$27&lt;ProposalToGnatt[[#This Row],[Start Date]]+ProposalToGnatt[[#This Row],[Days]]),$G$5,"")),"")</f>
        <v/>
      </c>
      <c r="BP43" s="36" t="str">
        <f ca="1">IFERROR(+IF(BP$27=ProposalToGnatt[[#This Row],[Start Date]],Milestone_Marker,IF(AND(BP$27&gt;ProposalToGnatt[[#This Row],[Start Date]],BP$27&lt;ProposalToGnatt[[#This Row],[Start Date]]+ProposalToGnatt[[#This Row],[Days]]),$G$5,"")),"")</f>
        <v/>
      </c>
      <c r="BQ43" s="36" t="str">
        <f ca="1">IFERROR(+IF(BQ$27=ProposalToGnatt[[#This Row],[Start Date]],Milestone_Marker,IF(AND(BQ$27&gt;ProposalToGnatt[[#This Row],[Start Date]],BQ$27&lt;ProposalToGnatt[[#This Row],[Start Date]]+ProposalToGnatt[[#This Row],[Days]]),$G$5,"")),"")</f>
        <v/>
      </c>
      <c r="BR43" s="36" t="str">
        <f ca="1">IFERROR(+IF(BR$27=ProposalToGnatt[[#This Row],[Start Date]],Milestone_Marker,IF(AND(BR$27&gt;ProposalToGnatt[[#This Row],[Start Date]],BR$27&lt;ProposalToGnatt[[#This Row],[Start Date]]+ProposalToGnatt[[#This Row],[Days]]),$G$5,"")),"")</f>
        <v/>
      </c>
      <c r="BS43" s="36" t="str">
        <f ca="1">IFERROR(+IF(BS$27=ProposalToGnatt[[#This Row],[Start Date]],Milestone_Marker,IF(AND(BS$27&gt;ProposalToGnatt[[#This Row],[Start Date]],BS$27&lt;ProposalToGnatt[[#This Row],[Start Date]]+ProposalToGnatt[[#This Row],[Days]]),$G$5,"")),"")</f>
        <v/>
      </c>
      <c r="BT43" s="36" t="str">
        <f ca="1">IFERROR(+IF(BT$27=ProposalToGnatt[[#This Row],[Start Date]],Milestone_Marker,IF(AND(BT$27&gt;ProposalToGnatt[[#This Row],[Start Date]],BT$27&lt;ProposalToGnatt[[#This Row],[Start Date]]+ProposalToGnatt[[#This Row],[Days]]),$G$5,"")),"")</f>
        <v/>
      </c>
      <c r="BU43" s="36" t="str">
        <f ca="1">IFERROR(+IF(BU$27=ProposalToGnatt[[#This Row],[Start Date]],Milestone_Marker,IF(AND(BU$27&gt;ProposalToGnatt[[#This Row],[Start Date]],BU$27&lt;ProposalToGnatt[[#This Row],[Start Date]]+ProposalToGnatt[[#This Row],[Days]]),$G$5,"")),"")</f>
        <v/>
      </c>
      <c r="BV43" s="36" t="str">
        <f ca="1">IFERROR(+IF(BV$27=ProposalToGnatt[[#This Row],[Start Date]],Milestone_Marker,IF(AND(BV$27&gt;ProposalToGnatt[[#This Row],[Start Date]],BV$27&lt;ProposalToGnatt[[#This Row],[Start Date]]+ProposalToGnatt[[#This Row],[Days]]),$G$5,"")),"")</f>
        <v/>
      </c>
      <c r="BW43" s="36" t="str">
        <f ca="1">IFERROR(+IF(BW$27=ProposalToGnatt[[#This Row],[Start Date]],Milestone_Marker,IF(AND(BW$27&gt;ProposalToGnatt[[#This Row],[Start Date]],BW$27&lt;ProposalToGnatt[[#This Row],[Start Date]]+ProposalToGnatt[[#This Row],[Days]]),$G$5,"")),"")</f>
        <v/>
      </c>
      <c r="BX43" s="36" t="str">
        <f ca="1">IFERROR(+IF(BX$27=ProposalToGnatt[[#This Row],[Start Date]],Milestone_Marker,IF(AND(BX$27&gt;ProposalToGnatt[[#This Row],[Start Date]],BX$27&lt;ProposalToGnatt[[#This Row],[Start Date]]+ProposalToGnatt[[#This Row],[Days]]),$G$5,"")),"")</f>
        <v/>
      </c>
      <c r="BY43" s="36" t="str">
        <f ca="1">IFERROR(+IF(BY$27=ProposalToGnatt[[#This Row],[Start Date]],Milestone_Marker,IF(AND(BY$27&gt;ProposalToGnatt[[#This Row],[Start Date]],BY$27&lt;ProposalToGnatt[[#This Row],[Start Date]]+ProposalToGnatt[[#This Row],[Days]]),$G$5,"")),"")</f>
        <v/>
      </c>
      <c r="BZ43" s="36" t="str">
        <f ca="1">IFERROR(+IF(BZ$27=ProposalToGnatt[[#This Row],[Start Date]],Milestone_Marker,IF(AND(BZ$27&gt;ProposalToGnatt[[#This Row],[Start Date]],BZ$27&lt;ProposalToGnatt[[#This Row],[Start Date]]+ProposalToGnatt[[#This Row],[Days]]),$G$5,"")),"")</f>
        <v/>
      </c>
      <c r="CA43" s="36" t="str">
        <f ca="1">IFERROR(+IF(CA$27=ProposalToGnatt[[#This Row],[Start Date]],Milestone_Marker,IF(AND(CA$27&gt;ProposalToGnatt[[#This Row],[Start Date]],CA$27&lt;ProposalToGnatt[[#This Row],[Start Date]]+ProposalToGnatt[[#This Row],[Days]]),$G$5,"")),"")</f>
        <v/>
      </c>
      <c r="CB43" s="36" t="str">
        <f ca="1">IFERROR(+IF(CB$27=ProposalToGnatt[[#This Row],[Start Date]],Milestone_Marker,IF(AND(CB$27&gt;ProposalToGnatt[[#This Row],[Start Date]],CB$27&lt;ProposalToGnatt[[#This Row],[Start Date]]+ProposalToGnatt[[#This Row],[Days]]),$G$5,"")),"")</f>
        <v/>
      </c>
      <c r="CC43" s="36" t="str">
        <f ca="1">IFERROR(+IF(CC$27=ProposalToGnatt[[#This Row],[Start Date]],Milestone_Marker,IF(AND(CC$27&gt;ProposalToGnatt[[#This Row],[Start Date]],CC$27&lt;ProposalToGnatt[[#This Row],[Start Date]]+ProposalToGnatt[[#This Row],[Days]]),$G$5,"")),"")</f>
        <v/>
      </c>
      <c r="CD43" s="36" t="str">
        <f ca="1">IFERROR(+IF(CD$27=ProposalToGnatt[[#This Row],[Start Date]],Milestone_Marker,IF(AND(CD$27&gt;ProposalToGnatt[[#This Row],[Start Date]],CD$27&lt;ProposalToGnatt[[#This Row],[Start Date]]+ProposalToGnatt[[#This Row],[Days]]),$G$5,"")),"")</f>
        <v/>
      </c>
      <c r="CE43" s="36" t="str">
        <f ca="1">IFERROR(+IF(CE$27=ProposalToGnatt[[#This Row],[Start Date]],Milestone_Marker,IF(AND(CE$27&gt;ProposalToGnatt[[#This Row],[Start Date]],CE$27&lt;ProposalToGnatt[[#This Row],[Start Date]]+ProposalToGnatt[[#This Row],[Days]]),$G$5,"")),"")</f>
        <v/>
      </c>
      <c r="CF43" s="36" t="str">
        <f ca="1">IFERROR(+IF(CF$27=ProposalToGnatt[[#This Row],[Start Date]],Milestone_Marker,IF(AND(CF$27&gt;ProposalToGnatt[[#This Row],[Start Date]],CF$27&lt;ProposalToGnatt[[#This Row],[Start Date]]+ProposalToGnatt[[#This Row],[Days]]),$G$5,"")),"")</f>
        <v/>
      </c>
      <c r="CG43" s="36" t="str">
        <f ca="1">IFERROR(+IF(CG$27=ProposalToGnatt[[#This Row],[Start Date]],Milestone_Marker,IF(AND(CG$27&gt;ProposalToGnatt[[#This Row],[Start Date]],CG$27&lt;ProposalToGnatt[[#This Row],[Start Date]]+ProposalToGnatt[[#This Row],[Days]]),$G$5,"")),"")</f>
        <v/>
      </c>
      <c r="CH43" s="36" t="str">
        <f ca="1">IFERROR(+IF(CH$27=ProposalToGnatt[[#This Row],[Start Date]],Milestone_Marker,IF(AND(CH$27&gt;ProposalToGnatt[[#This Row],[Start Date]],CH$27&lt;ProposalToGnatt[[#This Row],[Start Date]]+ProposalToGnatt[[#This Row],[Days]]),$G$5,"")),"")</f>
        <v/>
      </c>
      <c r="CI43" s="36" t="str">
        <f ca="1">IFERROR(+IF(CI$27=ProposalToGnatt[[#This Row],[Start Date]],Milestone_Marker,IF(AND(CI$27&gt;ProposalToGnatt[[#This Row],[Start Date]],CI$27&lt;ProposalToGnatt[[#This Row],[Start Date]]+ProposalToGnatt[[#This Row],[Days]]),$G$5,"")),"")</f>
        <v/>
      </c>
      <c r="CJ43" s="36" t="str">
        <f ca="1">IFERROR(+IF(CJ$27=ProposalToGnatt[[#This Row],[Start Date]],Milestone_Marker,IF(AND(CJ$27&gt;ProposalToGnatt[[#This Row],[Start Date]],CJ$27&lt;ProposalToGnatt[[#This Row],[Start Date]]+ProposalToGnatt[[#This Row],[Days]]),$G$5,"")),"")</f>
        <v/>
      </c>
      <c r="CK43" s="36" t="str">
        <f ca="1">IFERROR(+IF(CK$27=ProposalToGnatt[[#This Row],[Start Date]],Milestone_Marker,IF(AND(CK$27&gt;ProposalToGnatt[[#This Row],[Start Date]],CK$27&lt;ProposalToGnatt[[#This Row],[Start Date]]+ProposalToGnatt[[#This Row],[Days]]),$G$5,"")),"")</f>
        <v/>
      </c>
      <c r="CL43" s="36" t="str">
        <f ca="1">IFERROR(+IF(CL$27=ProposalToGnatt[[#This Row],[Start Date]],Milestone_Marker,IF(AND(CL$27&gt;ProposalToGnatt[[#This Row],[Start Date]],CL$27&lt;ProposalToGnatt[[#This Row],[Start Date]]+ProposalToGnatt[[#This Row],[Days]]),$G$5,"")),"")</f>
        <v/>
      </c>
      <c r="CM43" s="36" t="str">
        <f ca="1">IFERROR(+IF(CM$27=ProposalToGnatt[[#This Row],[Start Date]],Milestone_Marker,IF(AND(CM$27&gt;ProposalToGnatt[[#This Row],[Start Date]],CM$27&lt;ProposalToGnatt[[#This Row],[Start Date]]+ProposalToGnatt[[#This Row],[Days]]),$G$5,"")),"")</f>
        <v/>
      </c>
      <c r="CN43" s="36" t="str">
        <f ca="1">IFERROR(+IF(CN$27=ProposalToGnatt[[#This Row],[Start Date]],Milestone_Marker,IF(AND(CN$27&gt;ProposalToGnatt[[#This Row],[Start Date]],CN$27&lt;ProposalToGnatt[[#This Row],[Start Date]]+ProposalToGnatt[[#This Row],[Days]]),$G$5,"")),"")</f>
        <v/>
      </c>
      <c r="CO43" s="36" t="str">
        <f ca="1">IFERROR(+IF(CO$27=ProposalToGnatt[[#This Row],[Start Date]],Milestone_Marker,IF(AND(CO$27&gt;ProposalToGnatt[[#This Row],[Start Date]],CO$27&lt;ProposalToGnatt[[#This Row],[Start Date]]+ProposalToGnatt[[#This Row],[Days]]),$G$5,"")),"")</f>
        <v/>
      </c>
      <c r="CP43" s="36" t="str">
        <f ca="1">IFERROR(+IF(CP$27=ProposalToGnatt[[#This Row],[Start Date]],Milestone_Marker,IF(AND(CP$27&gt;ProposalToGnatt[[#This Row],[Start Date]],CP$27&lt;ProposalToGnatt[[#This Row],[Start Date]]+ProposalToGnatt[[#This Row],[Days]]),$G$5,"")),"")</f>
        <v/>
      </c>
      <c r="CQ43" s="36" t="str">
        <f ca="1">IFERROR(+IF(CQ$27=ProposalToGnatt[[#This Row],[Start Date]],Milestone_Marker,IF(AND(CQ$27&gt;ProposalToGnatt[[#This Row],[Start Date]],CQ$27&lt;ProposalToGnatt[[#This Row],[Start Date]]+ProposalToGnatt[[#This Row],[Days]]),$G$5,"")),"")</f>
        <v/>
      </c>
      <c r="CR43" s="36" t="str">
        <f ca="1">IFERROR(+IF(CR$27=ProposalToGnatt[[#This Row],[Start Date]],Milestone_Marker,IF(AND(CR$27&gt;ProposalToGnatt[[#This Row],[Start Date]],CR$27&lt;ProposalToGnatt[[#This Row],[Start Date]]+ProposalToGnatt[[#This Row],[Days]]),$G$5,"")),"")</f>
        <v/>
      </c>
      <c r="CS43" s="36" t="str">
        <f ca="1">IFERROR(+IF(CS$27=ProposalToGnatt[[#This Row],[Start Date]],Milestone_Marker,IF(AND(CS$27&gt;ProposalToGnatt[[#This Row],[Start Date]],CS$27&lt;ProposalToGnatt[[#This Row],[Start Date]]+ProposalToGnatt[[#This Row],[Days]]),$G$5,"")),"")</f>
        <v/>
      </c>
      <c r="CT43" s="36" t="str">
        <f ca="1">IFERROR(+IF(CT$27=ProposalToGnatt[[#This Row],[Start Date]],Milestone_Marker,IF(AND(CT$27&gt;ProposalToGnatt[[#This Row],[Start Date]],CT$27&lt;ProposalToGnatt[[#This Row],[Start Date]]+ProposalToGnatt[[#This Row],[Days]]),$G$5,"")),"")</f>
        <v/>
      </c>
      <c r="CU43" s="36" t="str">
        <f ca="1">IFERROR(+IF(CU$27=ProposalToGnatt[[#This Row],[Start Date]],Milestone_Marker,IF(AND(CU$27&gt;ProposalToGnatt[[#This Row],[Start Date]],CU$27&lt;ProposalToGnatt[[#This Row],[Start Date]]+ProposalToGnatt[[#This Row],[Days]]),$G$5,"")),"")</f>
        <v/>
      </c>
      <c r="CV43" s="36"/>
      <c r="CW43" s="36"/>
      <c r="CX43" s="36"/>
      <c r="CY43" s="36"/>
      <c r="CZ43" s="36"/>
      <c r="DA43" s="36"/>
      <c r="DB43" s="36"/>
      <c r="DC43" s="36"/>
      <c r="DD43" s="36"/>
      <c r="DE43" s="36"/>
      <c r="DF43" s="36"/>
      <c r="DG43" s="36"/>
      <c r="DH43" s="36"/>
      <c r="DI43" s="36"/>
      <c r="DJ43" s="36"/>
      <c r="DK43" s="36"/>
      <c r="DL43" s="36"/>
      <c r="DM43" s="36"/>
      <c r="DN43" s="36"/>
      <c r="DO43" s="36"/>
      <c r="DP43" s="36"/>
      <c r="DQ43" s="36"/>
      <c r="DR43" s="36"/>
      <c r="DS43" s="36"/>
      <c r="DT43" s="36"/>
      <c r="DU43" s="36"/>
    </row>
    <row r="44" spans="1:125" s="41" customFormat="1" ht="15" x14ac:dyDescent="0.25">
      <c r="A44" t="s">
        <v>263</v>
      </c>
      <c r="B44">
        <v>17</v>
      </c>
      <c r="C44"/>
      <c r="D44"/>
      <c r="E44"/>
      <c r="F44"/>
      <c r="G44" s="14"/>
      <c r="H44" s="14"/>
      <c r="I44"/>
      <c r="J44"/>
      <c r="K44" s="246"/>
      <c r="L44"/>
      <c r="M44" s="14"/>
      <c r="N44" s="299"/>
      <c r="O44" s="281"/>
      <c r="P44" s="36" t="str">
        <f ca="1">IFERROR(+IF(P$27=ProposalToGnatt[[#This Row],[Start Date]],Milestone_Marker,IF(AND(P$27&gt;ProposalToGnatt[[#This Row],[Start Date]],P$27&lt;ProposalToGnatt[[#This Row],[Start Date]]+ProposalToGnatt[[#This Row],[Days]]),$G$5,"")),"")</f>
        <v/>
      </c>
      <c r="Q44" s="36" t="str">
        <f ca="1">IFERROR(+IF(Q$27=ProposalToGnatt[[#This Row],[Start Date]],Milestone_Marker,IF(AND(Q$27&gt;ProposalToGnatt[[#This Row],[Start Date]],Q$27&lt;ProposalToGnatt[[#This Row],[Start Date]]+ProposalToGnatt[[#This Row],[Days]]),$G$5,"")),"")</f>
        <v/>
      </c>
      <c r="R44" s="36" t="str">
        <f ca="1">IFERROR(+IF(R$27=ProposalToGnatt[[#This Row],[Start Date]],Milestone_Marker,IF(AND(R$27&gt;ProposalToGnatt[[#This Row],[Start Date]],R$27&lt;ProposalToGnatt[[#This Row],[Start Date]]+ProposalToGnatt[[#This Row],[Days]]),$G$5,"")),"")</f>
        <v/>
      </c>
      <c r="S44" s="36" t="str">
        <f ca="1">IFERROR(+IF(S$27=ProposalToGnatt[[#This Row],[Start Date]],Milestone_Marker,IF(AND(S$27&gt;ProposalToGnatt[[#This Row],[Start Date]],S$27&lt;ProposalToGnatt[[#This Row],[Start Date]]+ProposalToGnatt[[#This Row],[Days]]),$G$5,"")),"")</f>
        <v/>
      </c>
      <c r="T44" s="36" t="str">
        <f ca="1">IFERROR(+IF(T$27=ProposalToGnatt[[#This Row],[Start Date]],Milestone_Marker,IF(AND(T$27&gt;ProposalToGnatt[[#This Row],[Start Date]],T$27&lt;ProposalToGnatt[[#This Row],[Start Date]]+ProposalToGnatt[[#This Row],[Days]]),$G$5,"")),"")</f>
        <v/>
      </c>
      <c r="U44" s="36" t="str">
        <f ca="1">IFERROR(+IF(U$27=ProposalToGnatt[[#This Row],[Start Date]],Milestone_Marker,IF(AND(U$27&gt;ProposalToGnatt[[#This Row],[Start Date]],U$27&lt;ProposalToGnatt[[#This Row],[Start Date]]+ProposalToGnatt[[#This Row],[Days]]),$G$5,"")),"")</f>
        <v/>
      </c>
      <c r="V44" s="36" t="str">
        <f ca="1">IFERROR(+IF(V$27=ProposalToGnatt[[#This Row],[Start Date]],Milestone_Marker,IF(AND(V$27&gt;ProposalToGnatt[[#This Row],[Start Date]],V$27&lt;ProposalToGnatt[[#This Row],[Start Date]]+ProposalToGnatt[[#This Row],[Days]]),$G$5,"")),"")</f>
        <v/>
      </c>
      <c r="W44" s="36" t="str">
        <f ca="1">IFERROR(+IF(W$27=ProposalToGnatt[[#This Row],[Start Date]],Milestone_Marker,IF(AND(W$27&gt;ProposalToGnatt[[#This Row],[Start Date]],W$27&lt;ProposalToGnatt[[#This Row],[Start Date]]+ProposalToGnatt[[#This Row],[Days]]),$G$5,"")),"")</f>
        <v/>
      </c>
      <c r="X44" s="36" t="str">
        <f ca="1">IFERROR(+IF(X$27=ProposalToGnatt[[#This Row],[Start Date]],Milestone_Marker,IF(AND(X$27&gt;ProposalToGnatt[[#This Row],[Start Date]],X$27&lt;ProposalToGnatt[[#This Row],[Start Date]]+ProposalToGnatt[[#This Row],[Days]]),$G$5,"")),"")</f>
        <v/>
      </c>
      <c r="Y44" s="36" t="str">
        <f ca="1">IFERROR(+IF(Y$27=ProposalToGnatt[[#This Row],[Start Date]],Milestone_Marker,IF(AND(Y$27&gt;ProposalToGnatt[[#This Row],[Start Date]],Y$27&lt;ProposalToGnatt[[#This Row],[Start Date]]+ProposalToGnatt[[#This Row],[Days]]),$G$5,"")),"")</f>
        <v/>
      </c>
      <c r="Z44" s="36" t="str">
        <f ca="1">IFERROR(+IF(Z$27=ProposalToGnatt[[#This Row],[Start Date]],Milestone_Marker,IF(AND(Z$27&gt;ProposalToGnatt[[#This Row],[Start Date]],Z$27&lt;ProposalToGnatt[[#This Row],[Start Date]]+ProposalToGnatt[[#This Row],[Days]]),$G$5,"")),"")</f>
        <v/>
      </c>
      <c r="AA44" s="36" t="str">
        <f ca="1">IFERROR(+IF(AA$27=ProposalToGnatt[[#This Row],[Start Date]],Milestone_Marker,IF(AND(AA$27&gt;ProposalToGnatt[[#This Row],[Start Date]],AA$27&lt;ProposalToGnatt[[#This Row],[Start Date]]+ProposalToGnatt[[#This Row],[Days]]),$G$5,"")),"")</f>
        <v/>
      </c>
      <c r="AB44" s="36" t="str">
        <f ca="1">IFERROR(+IF(AB$27=ProposalToGnatt[[#This Row],[Start Date]],Milestone_Marker,IF(AND(AB$27&gt;ProposalToGnatt[[#This Row],[Start Date]],AB$27&lt;ProposalToGnatt[[#This Row],[Start Date]]+ProposalToGnatt[[#This Row],[Days]]),$G$5,"")),"")</f>
        <v/>
      </c>
      <c r="AC44" s="36" t="str">
        <f ca="1">IFERROR(+IF(AC$27=ProposalToGnatt[[#This Row],[Start Date]],Milestone_Marker,IF(AND(AC$27&gt;ProposalToGnatt[[#This Row],[Start Date]],AC$27&lt;ProposalToGnatt[[#This Row],[Start Date]]+ProposalToGnatt[[#This Row],[Days]]),$G$5,"")),"")</f>
        <v/>
      </c>
      <c r="AD44" s="36" t="str">
        <f ca="1">IFERROR(+IF(AD$27=ProposalToGnatt[[#This Row],[Start Date]],Milestone_Marker,IF(AND(AD$27&gt;ProposalToGnatt[[#This Row],[Start Date]],AD$27&lt;ProposalToGnatt[[#This Row],[Start Date]]+ProposalToGnatt[[#This Row],[Days]]),$G$5,"")),"")</f>
        <v/>
      </c>
      <c r="AE44" s="36" t="str">
        <f ca="1">IFERROR(+IF(AE$27=ProposalToGnatt[[#This Row],[Start Date]],Milestone_Marker,IF(AND(AE$27&gt;ProposalToGnatt[[#This Row],[Start Date]],AE$27&lt;ProposalToGnatt[[#This Row],[Start Date]]+ProposalToGnatt[[#This Row],[Days]]),$G$5,"")),"")</f>
        <v/>
      </c>
      <c r="AF44" s="36" t="str">
        <f ca="1">IFERROR(+IF(AF$27=ProposalToGnatt[[#This Row],[Start Date]],Milestone_Marker,IF(AND(AF$27&gt;ProposalToGnatt[[#This Row],[Start Date]],AF$27&lt;ProposalToGnatt[[#This Row],[Start Date]]+ProposalToGnatt[[#This Row],[Days]]),$G$5,"")),"")</f>
        <v/>
      </c>
      <c r="AG44" s="36" t="str">
        <f ca="1">IFERROR(+IF(AG$27=ProposalToGnatt[[#This Row],[Start Date]],Milestone_Marker,IF(AND(AG$27&gt;ProposalToGnatt[[#This Row],[Start Date]],AG$27&lt;ProposalToGnatt[[#This Row],[Start Date]]+ProposalToGnatt[[#This Row],[Days]]),$G$5,"")),"")</f>
        <v/>
      </c>
      <c r="AH44" s="36" t="str">
        <f ca="1">IFERROR(+IF(AH$27=ProposalToGnatt[[#This Row],[Start Date]],Milestone_Marker,IF(AND(AH$27&gt;ProposalToGnatt[[#This Row],[Start Date]],AH$27&lt;ProposalToGnatt[[#This Row],[Start Date]]+ProposalToGnatt[[#This Row],[Days]]),$G$5,"")),"")</f>
        <v/>
      </c>
      <c r="AI44" s="36" t="str">
        <f ca="1">IFERROR(+IF(AI$27=ProposalToGnatt[[#This Row],[Start Date]],Milestone_Marker,IF(AND(AI$27&gt;ProposalToGnatt[[#This Row],[Start Date]],AI$27&lt;ProposalToGnatt[[#This Row],[Start Date]]+ProposalToGnatt[[#This Row],[Days]]),$G$5,"")),"")</f>
        <v/>
      </c>
      <c r="AJ44" s="36" t="str">
        <f ca="1">IFERROR(+IF(AJ$27=ProposalToGnatt[[#This Row],[Start Date]],Milestone_Marker,IF(AND(AJ$27&gt;ProposalToGnatt[[#This Row],[Start Date]],AJ$27&lt;ProposalToGnatt[[#This Row],[Start Date]]+ProposalToGnatt[[#This Row],[Days]]),$G$5,"")),"")</f>
        <v/>
      </c>
      <c r="AK44" s="36" t="str">
        <f ca="1">IFERROR(+IF(AK$27=ProposalToGnatt[[#This Row],[Start Date]],Milestone_Marker,IF(AND(AK$27&gt;ProposalToGnatt[[#This Row],[Start Date]],AK$27&lt;ProposalToGnatt[[#This Row],[Start Date]]+ProposalToGnatt[[#This Row],[Days]]),$G$5,"")),"")</f>
        <v/>
      </c>
      <c r="AL44" s="36" t="str">
        <f ca="1">IFERROR(+IF(AL$27=ProposalToGnatt[[#This Row],[Start Date]],Milestone_Marker,IF(AND(AL$27&gt;ProposalToGnatt[[#This Row],[Start Date]],AL$27&lt;ProposalToGnatt[[#This Row],[Start Date]]+ProposalToGnatt[[#This Row],[Days]]),$G$5,"")),"")</f>
        <v/>
      </c>
      <c r="AM44" s="36" t="str">
        <f ca="1">IFERROR(+IF(AM$27=ProposalToGnatt[[#This Row],[Start Date]],Milestone_Marker,IF(AND(AM$27&gt;ProposalToGnatt[[#This Row],[Start Date]],AM$27&lt;ProposalToGnatt[[#This Row],[Start Date]]+ProposalToGnatt[[#This Row],[Days]]),$G$5,"")),"")</f>
        <v/>
      </c>
      <c r="AN44" s="36" t="str">
        <f ca="1">IFERROR(+IF(AN$27=ProposalToGnatt[[#This Row],[Start Date]],Milestone_Marker,IF(AND(AN$27&gt;ProposalToGnatt[[#This Row],[Start Date]],AN$27&lt;ProposalToGnatt[[#This Row],[Start Date]]+ProposalToGnatt[[#This Row],[Days]]),$G$5,"")),"")</f>
        <v/>
      </c>
      <c r="AO44" s="36" t="str">
        <f ca="1">IFERROR(+IF(AO$27=ProposalToGnatt[[#This Row],[Start Date]],Milestone_Marker,IF(AND(AO$27&gt;ProposalToGnatt[[#This Row],[Start Date]],AO$27&lt;ProposalToGnatt[[#This Row],[Start Date]]+ProposalToGnatt[[#This Row],[Days]]),$G$5,"")),"")</f>
        <v/>
      </c>
      <c r="AP44" s="36" t="str">
        <f ca="1">IFERROR(+IF(AP$27=ProposalToGnatt[[#This Row],[Start Date]],Milestone_Marker,IF(AND(AP$27&gt;ProposalToGnatt[[#This Row],[Start Date]],AP$27&lt;ProposalToGnatt[[#This Row],[Start Date]]+ProposalToGnatt[[#This Row],[Days]]),$G$5,"")),"")</f>
        <v/>
      </c>
      <c r="AQ44" s="36" t="str">
        <f ca="1">IFERROR(+IF(AQ$27=ProposalToGnatt[[#This Row],[Start Date]],Milestone_Marker,IF(AND(AQ$27&gt;ProposalToGnatt[[#This Row],[Start Date]],AQ$27&lt;ProposalToGnatt[[#This Row],[Start Date]]+ProposalToGnatt[[#This Row],[Days]]),$G$5,"")),"")</f>
        <v/>
      </c>
      <c r="AR44" s="36" t="str">
        <f ca="1">IFERROR(+IF(AR$27=ProposalToGnatt[[#This Row],[Start Date]],Milestone_Marker,IF(AND(AR$27&gt;ProposalToGnatt[[#This Row],[Start Date]],AR$27&lt;ProposalToGnatt[[#This Row],[Start Date]]+ProposalToGnatt[[#This Row],[Days]]),$G$5,"")),"")</f>
        <v/>
      </c>
      <c r="AS44" s="36" t="str">
        <f ca="1">IFERROR(+IF(AS$27=ProposalToGnatt[[#This Row],[Start Date]],Milestone_Marker,IF(AND(AS$27&gt;ProposalToGnatt[[#This Row],[Start Date]],AS$27&lt;ProposalToGnatt[[#This Row],[Start Date]]+ProposalToGnatt[[#This Row],[Days]]),$G$5,"")),"")</f>
        <v/>
      </c>
      <c r="AT44" s="36" t="str">
        <f ca="1">IFERROR(+IF(AT$27=ProposalToGnatt[[#This Row],[Start Date]],Milestone_Marker,IF(AND(AT$27&gt;ProposalToGnatt[[#This Row],[Start Date]],AT$27&lt;ProposalToGnatt[[#This Row],[Start Date]]+ProposalToGnatt[[#This Row],[Days]]),$G$5,"")),"")</f>
        <v/>
      </c>
      <c r="AU44" s="36" t="str">
        <f ca="1">IFERROR(+IF(AU$27=ProposalToGnatt[[#This Row],[Start Date]],Milestone_Marker,IF(AND(AU$27&gt;ProposalToGnatt[[#This Row],[Start Date]],AU$27&lt;ProposalToGnatt[[#This Row],[Start Date]]+ProposalToGnatt[[#This Row],[Days]]),$G$5,"")),"")</f>
        <v/>
      </c>
      <c r="AV44" s="36" t="str">
        <f ca="1">IFERROR(+IF(AV$27=ProposalToGnatt[[#This Row],[Start Date]],Milestone_Marker,IF(AND(AV$27&gt;ProposalToGnatt[[#This Row],[Start Date]],AV$27&lt;ProposalToGnatt[[#This Row],[Start Date]]+ProposalToGnatt[[#This Row],[Days]]),$G$5,"")),"")</f>
        <v/>
      </c>
      <c r="AW44" s="36" t="str">
        <f ca="1">IFERROR(+IF(AW$27=ProposalToGnatt[[#This Row],[Start Date]],Milestone_Marker,IF(AND(AW$27&gt;ProposalToGnatt[[#This Row],[Start Date]],AW$27&lt;ProposalToGnatt[[#This Row],[Start Date]]+ProposalToGnatt[[#This Row],[Days]]),$G$5,"")),"")</f>
        <v/>
      </c>
      <c r="AX44" s="36" t="str">
        <f ca="1">IFERROR(+IF(AX$27=ProposalToGnatt[[#This Row],[Start Date]],Milestone_Marker,IF(AND(AX$27&gt;ProposalToGnatt[[#This Row],[Start Date]],AX$27&lt;ProposalToGnatt[[#This Row],[Start Date]]+ProposalToGnatt[[#This Row],[Days]]),$G$5,"")),"")</f>
        <v/>
      </c>
      <c r="AY44" s="36" t="str">
        <f ca="1">IFERROR(+IF(AY$27=ProposalToGnatt[[#This Row],[Start Date]],Milestone_Marker,IF(AND(AY$27&gt;ProposalToGnatt[[#This Row],[Start Date]],AY$27&lt;ProposalToGnatt[[#This Row],[Start Date]]+ProposalToGnatt[[#This Row],[Days]]),$G$5,"")),"")</f>
        <v/>
      </c>
      <c r="AZ44" s="36" t="str">
        <f ca="1">IFERROR(+IF(AZ$27=ProposalToGnatt[[#This Row],[Start Date]],Milestone_Marker,IF(AND(AZ$27&gt;ProposalToGnatt[[#This Row],[Start Date]],AZ$27&lt;ProposalToGnatt[[#This Row],[Start Date]]+ProposalToGnatt[[#This Row],[Days]]),$G$5,"")),"")</f>
        <v/>
      </c>
      <c r="BA44" s="36" t="str">
        <f ca="1">IFERROR(+IF(BA$27=ProposalToGnatt[[#This Row],[Start Date]],Milestone_Marker,IF(AND(BA$27&gt;ProposalToGnatt[[#This Row],[Start Date]],BA$27&lt;ProposalToGnatt[[#This Row],[Start Date]]+ProposalToGnatt[[#This Row],[Days]]),$G$5,"")),"")</f>
        <v/>
      </c>
      <c r="BB44" s="36" t="str">
        <f ca="1">IFERROR(+IF(BB$27=ProposalToGnatt[[#This Row],[Start Date]],Milestone_Marker,IF(AND(BB$27&gt;ProposalToGnatt[[#This Row],[Start Date]],BB$27&lt;ProposalToGnatt[[#This Row],[Start Date]]+ProposalToGnatt[[#This Row],[Days]]),$G$5,"")),"")</f>
        <v/>
      </c>
      <c r="BC44" s="36" t="str">
        <f ca="1">IFERROR(+IF(BC$27=ProposalToGnatt[[#This Row],[Start Date]],Milestone_Marker,IF(AND(BC$27&gt;ProposalToGnatt[[#This Row],[Start Date]],BC$27&lt;ProposalToGnatt[[#This Row],[Start Date]]+ProposalToGnatt[[#This Row],[Days]]),$G$5,"")),"")</f>
        <v/>
      </c>
      <c r="BD44" s="36" t="str">
        <f ca="1">IFERROR(+IF(BD$27=ProposalToGnatt[[#This Row],[Start Date]],Milestone_Marker,IF(AND(BD$27&gt;ProposalToGnatt[[#This Row],[Start Date]],BD$27&lt;ProposalToGnatt[[#This Row],[Start Date]]+ProposalToGnatt[[#This Row],[Days]]),$G$5,"")),"")</f>
        <v/>
      </c>
      <c r="BE44" s="36" t="str">
        <f ca="1">IFERROR(+IF(BE$27=ProposalToGnatt[[#This Row],[Start Date]],Milestone_Marker,IF(AND(BE$27&gt;ProposalToGnatt[[#This Row],[Start Date]],BE$27&lt;ProposalToGnatt[[#This Row],[Start Date]]+ProposalToGnatt[[#This Row],[Days]]),$G$5,"")),"")</f>
        <v/>
      </c>
      <c r="BF44" s="36" t="str">
        <f ca="1">IFERROR(+IF(BF$27=ProposalToGnatt[[#This Row],[Start Date]],Milestone_Marker,IF(AND(BF$27&gt;ProposalToGnatt[[#This Row],[Start Date]],BF$27&lt;ProposalToGnatt[[#This Row],[Start Date]]+ProposalToGnatt[[#This Row],[Days]]),$G$5,"")),"")</f>
        <v/>
      </c>
      <c r="BG44" s="36" t="str">
        <f ca="1">IFERROR(+IF(BG$27=ProposalToGnatt[[#This Row],[Start Date]],Milestone_Marker,IF(AND(BG$27&gt;ProposalToGnatt[[#This Row],[Start Date]],BG$27&lt;ProposalToGnatt[[#This Row],[Start Date]]+ProposalToGnatt[[#This Row],[Days]]),$G$5,"")),"")</f>
        <v/>
      </c>
      <c r="BH44" s="36" t="str">
        <f ca="1">IFERROR(+IF(BH$27=ProposalToGnatt[[#This Row],[Start Date]],Milestone_Marker,IF(AND(BH$27&gt;ProposalToGnatt[[#This Row],[Start Date]],BH$27&lt;ProposalToGnatt[[#This Row],[Start Date]]+ProposalToGnatt[[#This Row],[Days]]),$G$5,"")),"")</f>
        <v/>
      </c>
      <c r="BI44" s="36" t="str">
        <f ca="1">IFERROR(+IF(BI$27=ProposalToGnatt[[#This Row],[Start Date]],Milestone_Marker,IF(AND(BI$27&gt;ProposalToGnatt[[#This Row],[Start Date]],BI$27&lt;ProposalToGnatt[[#This Row],[Start Date]]+ProposalToGnatt[[#This Row],[Days]]),$G$5,"")),"")</f>
        <v/>
      </c>
      <c r="BJ44" s="36" t="str">
        <f ca="1">IFERROR(+IF(BJ$27=ProposalToGnatt[[#This Row],[Start Date]],Milestone_Marker,IF(AND(BJ$27&gt;ProposalToGnatt[[#This Row],[Start Date]],BJ$27&lt;ProposalToGnatt[[#This Row],[Start Date]]+ProposalToGnatt[[#This Row],[Days]]),$G$5,"")),"")</f>
        <v/>
      </c>
      <c r="BK44" s="36" t="str">
        <f ca="1">IFERROR(+IF(BK$27=ProposalToGnatt[[#This Row],[Start Date]],Milestone_Marker,IF(AND(BK$27&gt;ProposalToGnatt[[#This Row],[Start Date]],BK$27&lt;ProposalToGnatt[[#This Row],[Start Date]]+ProposalToGnatt[[#This Row],[Days]]),$G$5,"")),"")</f>
        <v/>
      </c>
      <c r="BL44" s="36" t="str">
        <f ca="1">IFERROR(+IF(BL$27=ProposalToGnatt[[#This Row],[Start Date]],Milestone_Marker,IF(AND(BL$27&gt;ProposalToGnatt[[#This Row],[Start Date]],BL$27&lt;ProposalToGnatt[[#This Row],[Start Date]]+ProposalToGnatt[[#This Row],[Days]]),$G$5,"")),"")</f>
        <v/>
      </c>
      <c r="BM44" s="36" t="str">
        <f ca="1">IFERROR(+IF(BM$27=ProposalToGnatt[[#This Row],[Start Date]],Milestone_Marker,IF(AND(BM$27&gt;ProposalToGnatt[[#This Row],[Start Date]],BM$27&lt;ProposalToGnatt[[#This Row],[Start Date]]+ProposalToGnatt[[#This Row],[Days]]),$G$5,"")),"")</f>
        <v/>
      </c>
      <c r="BN44" s="36" t="str">
        <f ca="1">IFERROR(+IF(BN$27=ProposalToGnatt[[#This Row],[Start Date]],Milestone_Marker,IF(AND(BN$27&gt;ProposalToGnatt[[#This Row],[Start Date]],BN$27&lt;ProposalToGnatt[[#This Row],[Start Date]]+ProposalToGnatt[[#This Row],[Days]]),$G$5,"")),"")</f>
        <v/>
      </c>
      <c r="BO44" s="36" t="str">
        <f ca="1">IFERROR(+IF(BO$27=ProposalToGnatt[[#This Row],[Start Date]],Milestone_Marker,IF(AND(BO$27&gt;ProposalToGnatt[[#This Row],[Start Date]],BO$27&lt;ProposalToGnatt[[#This Row],[Start Date]]+ProposalToGnatt[[#This Row],[Days]]),$G$5,"")),"")</f>
        <v/>
      </c>
      <c r="BP44" s="36" t="str">
        <f ca="1">IFERROR(+IF(BP$27=ProposalToGnatt[[#This Row],[Start Date]],Milestone_Marker,IF(AND(BP$27&gt;ProposalToGnatt[[#This Row],[Start Date]],BP$27&lt;ProposalToGnatt[[#This Row],[Start Date]]+ProposalToGnatt[[#This Row],[Days]]),$G$5,"")),"")</f>
        <v/>
      </c>
      <c r="BQ44" s="36" t="str">
        <f ca="1">IFERROR(+IF(BQ$27=ProposalToGnatt[[#This Row],[Start Date]],Milestone_Marker,IF(AND(BQ$27&gt;ProposalToGnatt[[#This Row],[Start Date]],BQ$27&lt;ProposalToGnatt[[#This Row],[Start Date]]+ProposalToGnatt[[#This Row],[Days]]),$G$5,"")),"")</f>
        <v/>
      </c>
      <c r="BR44" s="36" t="str">
        <f ca="1">IFERROR(+IF(BR$27=ProposalToGnatt[[#This Row],[Start Date]],Milestone_Marker,IF(AND(BR$27&gt;ProposalToGnatt[[#This Row],[Start Date]],BR$27&lt;ProposalToGnatt[[#This Row],[Start Date]]+ProposalToGnatt[[#This Row],[Days]]),$G$5,"")),"")</f>
        <v/>
      </c>
      <c r="BS44" s="36" t="str">
        <f ca="1">IFERROR(+IF(BS$27=ProposalToGnatt[[#This Row],[Start Date]],Milestone_Marker,IF(AND(BS$27&gt;ProposalToGnatt[[#This Row],[Start Date]],BS$27&lt;ProposalToGnatt[[#This Row],[Start Date]]+ProposalToGnatt[[#This Row],[Days]]),$G$5,"")),"")</f>
        <v/>
      </c>
      <c r="BT44" s="36" t="str">
        <f ca="1">IFERROR(+IF(BT$27=ProposalToGnatt[[#This Row],[Start Date]],Milestone_Marker,IF(AND(BT$27&gt;ProposalToGnatt[[#This Row],[Start Date]],BT$27&lt;ProposalToGnatt[[#This Row],[Start Date]]+ProposalToGnatt[[#This Row],[Days]]),$G$5,"")),"")</f>
        <v/>
      </c>
      <c r="BU44" s="36" t="str">
        <f ca="1">IFERROR(+IF(BU$27=ProposalToGnatt[[#This Row],[Start Date]],Milestone_Marker,IF(AND(BU$27&gt;ProposalToGnatt[[#This Row],[Start Date]],BU$27&lt;ProposalToGnatt[[#This Row],[Start Date]]+ProposalToGnatt[[#This Row],[Days]]),$G$5,"")),"")</f>
        <v/>
      </c>
      <c r="BV44" s="36" t="str">
        <f ca="1">IFERROR(+IF(BV$27=ProposalToGnatt[[#This Row],[Start Date]],Milestone_Marker,IF(AND(BV$27&gt;ProposalToGnatt[[#This Row],[Start Date]],BV$27&lt;ProposalToGnatt[[#This Row],[Start Date]]+ProposalToGnatt[[#This Row],[Days]]),$G$5,"")),"")</f>
        <v/>
      </c>
      <c r="BW44" s="36" t="str">
        <f ca="1">IFERROR(+IF(BW$27=ProposalToGnatt[[#This Row],[Start Date]],Milestone_Marker,IF(AND(BW$27&gt;ProposalToGnatt[[#This Row],[Start Date]],BW$27&lt;ProposalToGnatt[[#This Row],[Start Date]]+ProposalToGnatt[[#This Row],[Days]]),$G$5,"")),"")</f>
        <v/>
      </c>
      <c r="BX44" s="36" t="str">
        <f ca="1">IFERROR(+IF(BX$27=ProposalToGnatt[[#This Row],[Start Date]],Milestone_Marker,IF(AND(BX$27&gt;ProposalToGnatt[[#This Row],[Start Date]],BX$27&lt;ProposalToGnatt[[#This Row],[Start Date]]+ProposalToGnatt[[#This Row],[Days]]),$G$5,"")),"")</f>
        <v/>
      </c>
      <c r="BY44" s="36" t="str">
        <f ca="1">IFERROR(+IF(BY$27=ProposalToGnatt[[#This Row],[Start Date]],Milestone_Marker,IF(AND(BY$27&gt;ProposalToGnatt[[#This Row],[Start Date]],BY$27&lt;ProposalToGnatt[[#This Row],[Start Date]]+ProposalToGnatt[[#This Row],[Days]]),$G$5,"")),"")</f>
        <v/>
      </c>
      <c r="BZ44" s="36" t="str">
        <f ca="1">IFERROR(+IF(BZ$27=ProposalToGnatt[[#This Row],[Start Date]],Milestone_Marker,IF(AND(BZ$27&gt;ProposalToGnatt[[#This Row],[Start Date]],BZ$27&lt;ProposalToGnatt[[#This Row],[Start Date]]+ProposalToGnatt[[#This Row],[Days]]),$G$5,"")),"")</f>
        <v/>
      </c>
      <c r="CA44" s="36" t="str">
        <f ca="1">IFERROR(+IF(CA$27=ProposalToGnatt[[#This Row],[Start Date]],Milestone_Marker,IF(AND(CA$27&gt;ProposalToGnatt[[#This Row],[Start Date]],CA$27&lt;ProposalToGnatt[[#This Row],[Start Date]]+ProposalToGnatt[[#This Row],[Days]]),$G$5,"")),"")</f>
        <v/>
      </c>
      <c r="CB44" s="36" t="str">
        <f ca="1">IFERROR(+IF(CB$27=ProposalToGnatt[[#This Row],[Start Date]],Milestone_Marker,IF(AND(CB$27&gt;ProposalToGnatt[[#This Row],[Start Date]],CB$27&lt;ProposalToGnatt[[#This Row],[Start Date]]+ProposalToGnatt[[#This Row],[Days]]),$G$5,"")),"")</f>
        <v/>
      </c>
      <c r="CC44" s="36" t="str">
        <f ca="1">IFERROR(+IF(CC$27=ProposalToGnatt[[#This Row],[Start Date]],Milestone_Marker,IF(AND(CC$27&gt;ProposalToGnatt[[#This Row],[Start Date]],CC$27&lt;ProposalToGnatt[[#This Row],[Start Date]]+ProposalToGnatt[[#This Row],[Days]]),$G$5,"")),"")</f>
        <v/>
      </c>
      <c r="CD44" s="36" t="str">
        <f ca="1">IFERROR(+IF(CD$27=ProposalToGnatt[[#This Row],[Start Date]],Milestone_Marker,IF(AND(CD$27&gt;ProposalToGnatt[[#This Row],[Start Date]],CD$27&lt;ProposalToGnatt[[#This Row],[Start Date]]+ProposalToGnatt[[#This Row],[Days]]),$G$5,"")),"")</f>
        <v/>
      </c>
      <c r="CE44" s="36" t="str">
        <f ca="1">IFERROR(+IF(CE$27=ProposalToGnatt[[#This Row],[Start Date]],Milestone_Marker,IF(AND(CE$27&gt;ProposalToGnatt[[#This Row],[Start Date]],CE$27&lt;ProposalToGnatt[[#This Row],[Start Date]]+ProposalToGnatt[[#This Row],[Days]]),$G$5,"")),"")</f>
        <v/>
      </c>
      <c r="CF44" s="36" t="str">
        <f ca="1">IFERROR(+IF(CF$27=ProposalToGnatt[[#This Row],[Start Date]],Milestone_Marker,IF(AND(CF$27&gt;ProposalToGnatt[[#This Row],[Start Date]],CF$27&lt;ProposalToGnatt[[#This Row],[Start Date]]+ProposalToGnatt[[#This Row],[Days]]),$G$5,"")),"")</f>
        <v/>
      </c>
      <c r="CG44" s="36" t="str">
        <f ca="1">IFERROR(+IF(CG$27=ProposalToGnatt[[#This Row],[Start Date]],Milestone_Marker,IF(AND(CG$27&gt;ProposalToGnatt[[#This Row],[Start Date]],CG$27&lt;ProposalToGnatt[[#This Row],[Start Date]]+ProposalToGnatt[[#This Row],[Days]]),$G$5,"")),"")</f>
        <v/>
      </c>
      <c r="CH44" s="36" t="str">
        <f ca="1">IFERROR(+IF(CH$27=ProposalToGnatt[[#This Row],[Start Date]],Milestone_Marker,IF(AND(CH$27&gt;ProposalToGnatt[[#This Row],[Start Date]],CH$27&lt;ProposalToGnatt[[#This Row],[Start Date]]+ProposalToGnatt[[#This Row],[Days]]),$G$5,"")),"")</f>
        <v/>
      </c>
      <c r="CI44" s="36" t="str">
        <f ca="1">IFERROR(+IF(CI$27=ProposalToGnatt[[#This Row],[Start Date]],Milestone_Marker,IF(AND(CI$27&gt;ProposalToGnatt[[#This Row],[Start Date]],CI$27&lt;ProposalToGnatt[[#This Row],[Start Date]]+ProposalToGnatt[[#This Row],[Days]]),$G$5,"")),"")</f>
        <v/>
      </c>
      <c r="CJ44" s="36" t="str">
        <f ca="1">IFERROR(+IF(CJ$27=ProposalToGnatt[[#This Row],[Start Date]],Milestone_Marker,IF(AND(CJ$27&gt;ProposalToGnatt[[#This Row],[Start Date]],CJ$27&lt;ProposalToGnatt[[#This Row],[Start Date]]+ProposalToGnatt[[#This Row],[Days]]),$G$5,"")),"")</f>
        <v/>
      </c>
      <c r="CK44" s="36" t="str">
        <f ca="1">IFERROR(+IF(CK$27=ProposalToGnatt[[#This Row],[Start Date]],Milestone_Marker,IF(AND(CK$27&gt;ProposalToGnatt[[#This Row],[Start Date]],CK$27&lt;ProposalToGnatt[[#This Row],[Start Date]]+ProposalToGnatt[[#This Row],[Days]]),$G$5,"")),"")</f>
        <v/>
      </c>
      <c r="CL44" s="36" t="str">
        <f ca="1">IFERROR(+IF(CL$27=ProposalToGnatt[[#This Row],[Start Date]],Milestone_Marker,IF(AND(CL$27&gt;ProposalToGnatt[[#This Row],[Start Date]],CL$27&lt;ProposalToGnatt[[#This Row],[Start Date]]+ProposalToGnatt[[#This Row],[Days]]),$G$5,"")),"")</f>
        <v/>
      </c>
      <c r="CM44" s="36" t="str">
        <f ca="1">IFERROR(+IF(CM$27=ProposalToGnatt[[#This Row],[Start Date]],Milestone_Marker,IF(AND(CM$27&gt;ProposalToGnatt[[#This Row],[Start Date]],CM$27&lt;ProposalToGnatt[[#This Row],[Start Date]]+ProposalToGnatt[[#This Row],[Days]]),$G$5,"")),"")</f>
        <v/>
      </c>
      <c r="CN44" s="36" t="str">
        <f ca="1">IFERROR(+IF(CN$27=ProposalToGnatt[[#This Row],[Start Date]],Milestone_Marker,IF(AND(CN$27&gt;ProposalToGnatt[[#This Row],[Start Date]],CN$27&lt;ProposalToGnatt[[#This Row],[Start Date]]+ProposalToGnatt[[#This Row],[Days]]),$G$5,"")),"")</f>
        <v/>
      </c>
      <c r="CO44" s="36" t="str">
        <f ca="1">IFERROR(+IF(CO$27=ProposalToGnatt[[#This Row],[Start Date]],Milestone_Marker,IF(AND(CO$27&gt;ProposalToGnatt[[#This Row],[Start Date]],CO$27&lt;ProposalToGnatt[[#This Row],[Start Date]]+ProposalToGnatt[[#This Row],[Days]]),$G$5,"")),"")</f>
        <v/>
      </c>
      <c r="CP44" s="36" t="str">
        <f ca="1">IFERROR(+IF(CP$27=ProposalToGnatt[[#This Row],[Start Date]],Milestone_Marker,IF(AND(CP$27&gt;ProposalToGnatt[[#This Row],[Start Date]],CP$27&lt;ProposalToGnatt[[#This Row],[Start Date]]+ProposalToGnatt[[#This Row],[Days]]),$G$5,"")),"")</f>
        <v/>
      </c>
      <c r="CQ44" s="36" t="str">
        <f ca="1">IFERROR(+IF(CQ$27=ProposalToGnatt[[#This Row],[Start Date]],Milestone_Marker,IF(AND(CQ$27&gt;ProposalToGnatt[[#This Row],[Start Date]],CQ$27&lt;ProposalToGnatt[[#This Row],[Start Date]]+ProposalToGnatt[[#This Row],[Days]]),$G$5,"")),"")</f>
        <v/>
      </c>
      <c r="CR44" s="36" t="str">
        <f ca="1">IFERROR(+IF(CR$27=ProposalToGnatt[[#This Row],[Start Date]],Milestone_Marker,IF(AND(CR$27&gt;ProposalToGnatt[[#This Row],[Start Date]],CR$27&lt;ProposalToGnatt[[#This Row],[Start Date]]+ProposalToGnatt[[#This Row],[Days]]),$G$5,"")),"")</f>
        <v/>
      </c>
      <c r="CS44" s="36" t="str">
        <f ca="1">IFERROR(+IF(CS$27=ProposalToGnatt[[#This Row],[Start Date]],Milestone_Marker,IF(AND(CS$27&gt;ProposalToGnatt[[#This Row],[Start Date]],CS$27&lt;ProposalToGnatt[[#This Row],[Start Date]]+ProposalToGnatt[[#This Row],[Days]]),$G$5,"")),"")</f>
        <v/>
      </c>
      <c r="CT44" s="36" t="str">
        <f ca="1">IFERROR(+IF(CT$27=ProposalToGnatt[[#This Row],[Start Date]],Milestone_Marker,IF(AND(CT$27&gt;ProposalToGnatt[[#This Row],[Start Date]],CT$27&lt;ProposalToGnatt[[#This Row],[Start Date]]+ProposalToGnatt[[#This Row],[Days]]),$G$5,"")),"")</f>
        <v/>
      </c>
      <c r="CU44" s="36" t="str">
        <f ca="1">IFERROR(+IF(CU$27=ProposalToGnatt[[#This Row],[Start Date]],Milestone_Marker,IF(AND(CU$27&gt;ProposalToGnatt[[#This Row],[Start Date]],CU$27&lt;ProposalToGnatt[[#This Row],[Start Date]]+ProposalToGnatt[[#This Row],[Days]]),$G$5,"")),"")</f>
        <v/>
      </c>
      <c r="CV44" s="36"/>
      <c r="CW44" s="36"/>
      <c r="CX44" s="36"/>
      <c r="CY44" s="36"/>
      <c r="CZ44" s="36"/>
      <c r="DA44" s="36"/>
      <c r="DB44" s="36"/>
      <c r="DC44" s="36"/>
      <c r="DD44" s="36"/>
      <c r="DE44" s="36"/>
      <c r="DF44" s="36"/>
      <c r="DG44" s="36"/>
      <c r="DH44" s="36"/>
      <c r="DI44" s="36"/>
      <c r="DJ44" s="36"/>
      <c r="DK44" s="36"/>
      <c r="DL44" s="36"/>
      <c r="DM44" s="36"/>
      <c r="DN44" s="36"/>
      <c r="DO44" s="36"/>
      <c r="DP44" s="36"/>
      <c r="DQ44" s="36"/>
      <c r="DR44" s="36"/>
      <c r="DS44" s="36"/>
      <c r="DT44" s="36"/>
      <c r="DU44" s="36"/>
    </row>
    <row r="45" spans="1:125" s="41" customFormat="1" ht="15" x14ac:dyDescent="0.25">
      <c r="A45" t="s">
        <v>263</v>
      </c>
      <c r="B45">
        <v>18</v>
      </c>
      <c r="C45"/>
      <c r="D45"/>
      <c r="E45"/>
      <c r="F45"/>
      <c r="G45" s="14"/>
      <c r="H45" s="14"/>
      <c r="I45"/>
      <c r="J45"/>
      <c r="K45" s="246"/>
      <c r="L45"/>
      <c r="M45" s="14"/>
      <c r="N45" s="299"/>
      <c r="O45" s="281" t="s">
        <v>583</v>
      </c>
      <c r="P45" s="36" t="str">
        <f ca="1">IFERROR(+IF(P$27=ProposalToGnatt[[#This Row],[Start Date]],Milestone_Marker,IF(AND(P$27&gt;ProposalToGnatt[[#This Row],[Start Date]],P$27&lt;ProposalToGnatt[[#This Row],[Start Date]]+ProposalToGnatt[[#This Row],[Days]]),$G$5,"")),"")</f>
        <v/>
      </c>
      <c r="Q45" s="36" t="str">
        <f ca="1">IFERROR(+IF(Q$27=ProposalToGnatt[[#This Row],[Start Date]],Milestone_Marker,IF(AND(Q$27&gt;ProposalToGnatt[[#This Row],[Start Date]],Q$27&lt;ProposalToGnatt[[#This Row],[Start Date]]+ProposalToGnatt[[#This Row],[Days]]),$G$5,"")),"")</f>
        <v/>
      </c>
      <c r="R45" s="36" t="str">
        <f ca="1">IFERROR(+IF(R$27=ProposalToGnatt[[#This Row],[Start Date]],Milestone_Marker,IF(AND(R$27&gt;ProposalToGnatt[[#This Row],[Start Date]],R$27&lt;ProposalToGnatt[[#This Row],[Start Date]]+ProposalToGnatt[[#This Row],[Days]]),$G$5,"")),"")</f>
        <v/>
      </c>
      <c r="S45" s="36" t="str">
        <f ca="1">IFERROR(+IF(S$27=ProposalToGnatt[[#This Row],[Start Date]],Milestone_Marker,IF(AND(S$27&gt;ProposalToGnatt[[#This Row],[Start Date]],S$27&lt;ProposalToGnatt[[#This Row],[Start Date]]+ProposalToGnatt[[#This Row],[Days]]),$G$5,"")),"")</f>
        <v/>
      </c>
      <c r="T45" s="36" t="str">
        <f ca="1">IFERROR(+IF(T$27=ProposalToGnatt[[#This Row],[Start Date]],Milestone_Marker,IF(AND(T$27&gt;ProposalToGnatt[[#This Row],[Start Date]],T$27&lt;ProposalToGnatt[[#This Row],[Start Date]]+ProposalToGnatt[[#This Row],[Days]]),$G$5,"")),"")</f>
        <v/>
      </c>
      <c r="U45" s="36" t="str">
        <f ca="1">IFERROR(+IF(U$27=ProposalToGnatt[[#This Row],[Start Date]],Milestone_Marker,IF(AND(U$27&gt;ProposalToGnatt[[#This Row],[Start Date]],U$27&lt;ProposalToGnatt[[#This Row],[Start Date]]+ProposalToGnatt[[#This Row],[Days]]),$G$5,"")),"")</f>
        <v/>
      </c>
      <c r="V45" s="36" t="str">
        <f ca="1">IFERROR(+IF(V$27=ProposalToGnatt[[#This Row],[Start Date]],Milestone_Marker,IF(AND(V$27&gt;ProposalToGnatt[[#This Row],[Start Date]],V$27&lt;ProposalToGnatt[[#This Row],[Start Date]]+ProposalToGnatt[[#This Row],[Days]]),$G$5,"")),"")</f>
        <v/>
      </c>
      <c r="W45" s="36" t="str">
        <f ca="1">IFERROR(+IF(W$27=ProposalToGnatt[[#This Row],[Start Date]],Milestone_Marker,IF(AND(W$27&gt;ProposalToGnatt[[#This Row],[Start Date]],W$27&lt;ProposalToGnatt[[#This Row],[Start Date]]+ProposalToGnatt[[#This Row],[Days]]),$G$5,"")),"")</f>
        <v/>
      </c>
      <c r="X45" s="36" t="str">
        <f ca="1">IFERROR(+IF(X$27=ProposalToGnatt[[#This Row],[Start Date]],Milestone_Marker,IF(AND(X$27&gt;ProposalToGnatt[[#This Row],[Start Date]],X$27&lt;ProposalToGnatt[[#This Row],[Start Date]]+ProposalToGnatt[[#This Row],[Days]]),$G$5,"")),"")</f>
        <v/>
      </c>
      <c r="Y45" s="36" t="str">
        <f ca="1">IFERROR(+IF(Y$27=ProposalToGnatt[[#This Row],[Start Date]],Milestone_Marker,IF(AND(Y$27&gt;ProposalToGnatt[[#This Row],[Start Date]],Y$27&lt;ProposalToGnatt[[#This Row],[Start Date]]+ProposalToGnatt[[#This Row],[Days]]),$G$5,"")),"")</f>
        <v/>
      </c>
      <c r="Z45" s="36" t="str">
        <f ca="1">IFERROR(+IF(Z$27=ProposalToGnatt[[#This Row],[Start Date]],Milestone_Marker,IF(AND(Z$27&gt;ProposalToGnatt[[#This Row],[Start Date]],Z$27&lt;ProposalToGnatt[[#This Row],[Start Date]]+ProposalToGnatt[[#This Row],[Days]]),$G$5,"")),"")</f>
        <v/>
      </c>
      <c r="AA45" s="36" t="str">
        <f ca="1">IFERROR(+IF(AA$27=ProposalToGnatt[[#This Row],[Start Date]],Milestone_Marker,IF(AND(AA$27&gt;ProposalToGnatt[[#This Row],[Start Date]],AA$27&lt;ProposalToGnatt[[#This Row],[Start Date]]+ProposalToGnatt[[#This Row],[Days]]),$G$5,"")),"")</f>
        <v/>
      </c>
      <c r="AB45" s="36" t="str">
        <f ca="1">IFERROR(+IF(AB$27=ProposalToGnatt[[#This Row],[Start Date]],Milestone_Marker,IF(AND(AB$27&gt;ProposalToGnatt[[#This Row],[Start Date]],AB$27&lt;ProposalToGnatt[[#This Row],[Start Date]]+ProposalToGnatt[[#This Row],[Days]]),$G$5,"")),"")</f>
        <v/>
      </c>
      <c r="AC45" s="36" t="str">
        <f ca="1">IFERROR(+IF(AC$27=ProposalToGnatt[[#This Row],[Start Date]],Milestone_Marker,IF(AND(AC$27&gt;ProposalToGnatt[[#This Row],[Start Date]],AC$27&lt;ProposalToGnatt[[#This Row],[Start Date]]+ProposalToGnatt[[#This Row],[Days]]),$G$5,"")),"")</f>
        <v/>
      </c>
      <c r="AD45" s="36" t="str">
        <f ca="1">IFERROR(+IF(AD$27=ProposalToGnatt[[#This Row],[Start Date]],Milestone_Marker,IF(AND(AD$27&gt;ProposalToGnatt[[#This Row],[Start Date]],AD$27&lt;ProposalToGnatt[[#This Row],[Start Date]]+ProposalToGnatt[[#This Row],[Days]]),$G$5,"")),"")</f>
        <v/>
      </c>
      <c r="AE45" s="36" t="str">
        <f ca="1">IFERROR(+IF(AE$27=ProposalToGnatt[[#This Row],[Start Date]],Milestone_Marker,IF(AND(AE$27&gt;ProposalToGnatt[[#This Row],[Start Date]],AE$27&lt;ProposalToGnatt[[#This Row],[Start Date]]+ProposalToGnatt[[#This Row],[Days]]),$G$5,"")),"")</f>
        <v/>
      </c>
      <c r="AF45" s="36" t="str">
        <f ca="1">IFERROR(+IF(AF$27=ProposalToGnatt[[#This Row],[Start Date]],Milestone_Marker,IF(AND(AF$27&gt;ProposalToGnatt[[#This Row],[Start Date]],AF$27&lt;ProposalToGnatt[[#This Row],[Start Date]]+ProposalToGnatt[[#This Row],[Days]]),$G$5,"")),"")</f>
        <v/>
      </c>
      <c r="AG45" s="36" t="str">
        <f ca="1">IFERROR(+IF(AG$27=ProposalToGnatt[[#This Row],[Start Date]],Milestone_Marker,IF(AND(AG$27&gt;ProposalToGnatt[[#This Row],[Start Date]],AG$27&lt;ProposalToGnatt[[#This Row],[Start Date]]+ProposalToGnatt[[#This Row],[Days]]),$G$5,"")),"")</f>
        <v/>
      </c>
      <c r="AH45" s="36" t="str">
        <f ca="1">IFERROR(+IF(AH$27=ProposalToGnatt[[#This Row],[Start Date]],Milestone_Marker,IF(AND(AH$27&gt;ProposalToGnatt[[#This Row],[Start Date]],AH$27&lt;ProposalToGnatt[[#This Row],[Start Date]]+ProposalToGnatt[[#This Row],[Days]]),$G$5,"")),"")</f>
        <v/>
      </c>
      <c r="AI45" s="36" t="str">
        <f ca="1">IFERROR(+IF(AI$27=ProposalToGnatt[[#This Row],[Start Date]],Milestone_Marker,IF(AND(AI$27&gt;ProposalToGnatt[[#This Row],[Start Date]],AI$27&lt;ProposalToGnatt[[#This Row],[Start Date]]+ProposalToGnatt[[#This Row],[Days]]),$G$5,"")),"")</f>
        <v/>
      </c>
      <c r="AJ45" s="36" t="str">
        <f ca="1">IFERROR(+IF(AJ$27=ProposalToGnatt[[#This Row],[Start Date]],Milestone_Marker,IF(AND(AJ$27&gt;ProposalToGnatt[[#This Row],[Start Date]],AJ$27&lt;ProposalToGnatt[[#This Row],[Start Date]]+ProposalToGnatt[[#This Row],[Days]]),$G$5,"")),"")</f>
        <v/>
      </c>
      <c r="AK45" s="36" t="str">
        <f ca="1">IFERROR(+IF(AK$27=ProposalToGnatt[[#This Row],[Start Date]],Milestone_Marker,IF(AND(AK$27&gt;ProposalToGnatt[[#This Row],[Start Date]],AK$27&lt;ProposalToGnatt[[#This Row],[Start Date]]+ProposalToGnatt[[#This Row],[Days]]),$G$5,"")),"")</f>
        <v/>
      </c>
      <c r="AL45" s="36" t="str">
        <f ca="1">IFERROR(+IF(AL$27=ProposalToGnatt[[#This Row],[Start Date]],Milestone_Marker,IF(AND(AL$27&gt;ProposalToGnatt[[#This Row],[Start Date]],AL$27&lt;ProposalToGnatt[[#This Row],[Start Date]]+ProposalToGnatt[[#This Row],[Days]]),$G$5,"")),"")</f>
        <v/>
      </c>
      <c r="AM45" s="36" t="str">
        <f ca="1">IFERROR(+IF(AM$27=ProposalToGnatt[[#This Row],[Start Date]],Milestone_Marker,IF(AND(AM$27&gt;ProposalToGnatt[[#This Row],[Start Date]],AM$27&lt;ProposalToGnatt[[#This Row],[Start Date]]+ProposalToGnatt[[#This Row],[Days]]),$G$5,"")),"")</f>
        <v/>
      </c>
      <c r="AN45" s="36" t="str">
        <f ca="1">IFERROR(+IF(AN$27=ProposalToGnatt[[#This Row],[Start Date]],Milestone_Marker,IF(AND(AN$27&gt;ProposalToGnatt[[#This Row],[Start Date]],AN$27&lt;ProposalToGnatt[[#This Row],[Start Date]]+ProposalToGnatt[[#This Row],[Days]]),$G$5,"")),"")</f>
        <v/>
      </c>
      <c r="AO45" s="36" t="str">
        <f ca="1">IFERROR(+IF(AO$27=ProposalToGnatt[[#This Row],[Start Date]],Milestone_Marker,IF(AND(AO$27&gt;ProposalToGnatt[[#This Row],[Start Date]],AO$27&lt;ProposalToGnatt[[#This Row],[Start Date]]+ProposalToGnatt[[#This Row],[Days]]),$G$5,"")),"")</f>
        <v/>
      </c>
      <c r="AP45" s="36" t="str">
        <f ca="1">IFERROR(+IF(AP$27=ProposalToGnatt[[#This Row],[Start Date]],Milestone_Marker,IF(AND(AP$27&gt;ProposalToGnatt[[#This Row],[Start Date]],AP$27&lt;ProposalToGnatt[[#This Row],[Start Date]]+ProposalToGnatt[[#This Row],[Days]]),$G$5,"")),"")</f>
        <v/>
      </c>
      <c r="AQ45" s="36" t="str">
        <f ca="1">IFERROR(+IF(AQ$27=ProposalToGnatt[[#This Row],[Start Date]],Milestone_Marker,IF(AND(AQ$27&gt;ProposalToGnatt[[#This Row],[Start Date]],AQ$27&lt;ProposalToGnatt[[#This Row],[Start Date]]+ProposalToGnatt[[#This Row],[Days]]),$G$5,"")),"")</f>
        <v/>
      </c>
      <c r="AR45" s="36" t="str">
        <f ca="1">IFERROR(+IF(AR$27=ProposalToGnatt[[#This Row],[Start Date]],Milestone_Marker,IF(AND(AR$27&gt;ProposalToGnatt[[#This Row],[Start Date]],AR$27&lt;ProposalToGnatt[[#This Row],[Start Date]]+ProposalToGnatt[[#This Row],[Days]]),$G$5,"")),"")</f>
        <v/>
      </c>
      <c r="AS45" s="36" t="str">
        <f ca="1">IFERROR(+IF(AS$27=ProposalToGnatt[[#This Row],[Start Date]],Milestone_Marker,IF(AND(AS$27&gt;ProposalToGnatt[[#This Row],[Start Date]],AS$27&lt;ProposalToGnatt[[#This Row],[Start Date]]+ProposalToGnatt[[#This Row],[Days]]),$G$5,"")),"")</f>
        <v/>
      </c>
      <c r="AT45" s="36" t="str">
        <f ca="1">IFERROR(+IF(AT$27=ProposalToGnatt[[#This Row],[Start Date]],Milestone_Marker,IF(AND(AT$27&gt;ProposalToGnatt[[#This Row],[Start Date]],AT$27&lt;ProposalToGnatt[[#This Row],[Start Date]]+ProposalToGnatt[[#This Row],[Days]]),$G$5,"")),"")</f>
        <v/>
      </c>
      <c r="AU45" s="36" t="str">
        <f ca="1">IFERROR(+IF(AU$27=ProposalToGnatt[[#This Row],[Start Date]],Milestone_Marker,IF(AND(AU$27&gt;ProposalToGnatt[[#This Row],[Start Date]],AU$27&lt;ProposalToGnatt[[#This Row],[Start Date]]+ProposalToGnatt[[#This Row],[Days]]),$G$5,"")),"")</f>
        <v/>
      </c>
      <c r="AV45" s="36" t="str">
        <f ca="1">IFERROR(+IF(AV$27=ProposalToGnatt[[#This Row],[Start Date]],Milestone_Marker,IF(AND(AV$27&gt;ProposalToGnatt[[#This Row],[Start Date]],AV$27&lt;ProposalToGnatt[[#This Row],[Start Date]]+ProposalToGnatt[[#This Row],[Days]]),$G$5,"")),"")</f>
        <v/>
      </c>
      <c r="AW45" s="36" t="str">
        <f ca="1">IFERROR(+IF(AW$27=ProposalToGnatt[[#This Row],[Start Date]],Milestone_Marker,IF(AND(AW$27&gt;ProposalToGnatt[[#This Row],[Start Date]],AW$27&lt;ProposalToGnatt[[#This Row],[Start Date]]+ProposalToGnatt[[#This Row],[Days]]),$G$5,"")),"")</f>
        <v/>
      </c>
      <c r="AX45" s="36" t="str">
        <f ca="1">IFERROR(+IF(AX$27=ProposalToGnatt[[#This Row],[Start Date]],Milestone_Marker,IF(AND(AX$27&gt;ProposalToGnatt[[#This Row],[Start Date]],AX$27&lt;ProposalToGnatt[[#This Row],[Start Date]]+ProposalToGnatt[[#This Row],[Days]]),$G$5,"")),"")</f>
        <v/>
      </c>
      <c r="AY45" s="36" t="str">
        <f ca="1">IFERROR(+IF(AY$27=ProposalToGnatt[[#This Row],[Start Date]],Milestone_Marker,IF(AND(AY$27&gt;ProposalToGnatt[[#This Row],[Start Date]],AY$27&lt;ProposalToGnatt[[#This Row],[Start Date]]+ProposalToGnatt[[#This Row],[Days]]),$G$5,"")),"")</f>
        <v/>
      </c>
      <c r="AZ45" s="36" t="str">
        <f ca="1">IFERROR(+IF(AZ$27=ProposalToGnatt[[#This Row],[Start Date]],Milestone_Marker,IF(AND(AZ$27&gt;ProposalToGnatt[[#This Row],[Start Date]],AZ$27&lt;ProposalToGnatt[[#This Row],[Start Date]]+ProposalToGnatt[[#This Row],[Days]]),$G$5,"")),"")</f>
        <v/>
      </c>
      <c r="BA45" s="36" t="str">
        <f ca="1">IFERROR(+IF(BA$27=ProposalToGnatt[[#This Row],[Start Date]],Milestone_Marker,IF(AND(BA$27&gt;ProposalToGnatt[[#This Row],[Start Date]],BA$27&lt;ProposalToGnatt[[#This Row],[Start Date]]+ProposalToGnatt[[#This Row],[Days]]),$G$5,"")),"")</f>
        <v/>
      </c>
      <c r="BB45" s="36" t="str">
        <f ca="1">IFERROR(+IF(BB$27=ProposalToGnatt[[#This Row],[Start Date]],Milestone_Marker,IF(AND(BB$27&gt;ProposalToGnatt[[#This Row],[Start Date]],BB$27&lt;ProposalToGnatt[[#This Row],[Start Date]]+ProposalToGnatt[[#This Row],[Days]]),$G$5,"")),"")</f>
        <v/>
      </c>
      <c r="BC45" s="36" t="str">
        <f ca="1">IFERROR(+IF(BC$27=ProposalToGnatt[[#This Row],[Start Date]],Milestone_Marker,IF(AND(BC$27&gt;ProposalToGnatt[[#This Row],[Start Date]],BC$27&lt;ProposalToGnatt[[#This Row],[Start Date]]+ProposalToGnatt[[#This Row],[Days]]),$G$5,"")),"")</f>
        <v/>
      </c>
      <c r="BD45" s="36" t="str">
        <f ca="1">IFERROR(+IF(BD$27=ProposalToGnatt[[#This Row],[Start Date]],Milestone_Marker,IF(AND(BD$27&gt;ProposalToGnatt[[#This Row],[Start Date]],BD$27&lt;ProposalToGnatt[[#This Row],[Start Date]]+ProposalToGnatt[[#This Row],[Days]]),$G$5,"")),"")</f>
        <v/>
      </c>
      <c r="BE45" s="36" t="str">
        <f ca="1">IFERROR(+IF(BE$27=ProposalToGnatt[[#This Row],[Start Date]],Milestone_Marker,IF(AND(BE$27&gt;ProposalToGnatt[[#This Row],[Start Date]],BE$27&lt;ProposalToGnatt[[#This Row],[Start Date]]+ProposalToGnatt[[#This Row],[Days]]),$G$5,"")),"")</f>
        <v/>
      </c>
      <c r="BF45" s="36" t="str">
        <f ca="1">IFERROR(+IF(BF$27=ProposalToGnatt[[#This Row],[Start Date]],Milestone_Marker,IF(AND(BF$27&gt;ProposalToGnatt[[#This Row],[Start Date]],BF$27&lt;ProposalToGnatt[[#This Row],[Start Date]]+ProposalToGnatt[[#This Row],[Days]]),$G$5,"")),"")</f>
        <v/>
      </c>
      <c r="BG45" s="36" t="str">
        <f ca="1">IFERROR(+IF(BG$27=ProposalToGnatt[[#This Row],[Start Date]],Milestone_Marker,IF(AND(BG$27&gt;ProposalToGnatt[[#This Row],[Start Date]],BG$27&lt;ProposalToGnatt[[#This Row],[Start Date]]+ProposalToGnatt[[#This Row],[Days]]),$G$5,"")),"")</f>
        <v/>
      </c>
      <c r="BH45" s="36" t="str">
        <f ca="1">IFERROR(+IF(BH$27=ProposalToGnatt[[#This Row],[Start Date]],Milestone_Marker,IF(AND(BH$27&gt;ProposalToGnatt[[#This Row],[Start Date]],BH$27&lt;ProposalToGnatt[[#This Row],[Start Date]]+ProposalToGnatt[[#This Row],[Days]]),$G$5,"")),"")</f>
        <v/>
      </c>
      <c r="BI45" s="36" t="str">
        <f ca="1">IFERROR(+IF(BI$27=ProposalToGnatt[[#This Row],[Start Date]],Milestone_Marker,IF(AND(BI$27&gt;ProposalToGnatt[[#This Row],[Start Date]],BI$27&lt;ProposalToGnatt[[#This Row],[Start Date]]+ProposalToGnatt[[#This Row],[Days]]),$G$5,"")),"")</f>
        <v/>
      </c>
      <c r="BJ45" s="36" t="str">
        <f ca="1">IFERROR(+IF(BJ$27=ProposalToGnatt[[#This Row],[Start Date]],Milestone_Marker,IF(AND(BJ$27&gt;ProposalToGnatt[[#This Row],[Start Date]],BJ$27&lt;ProposalToGnatt[[#This Row],[Start Date]]+ProposalToGnatt[[#This Row],[Days]]),$G$5,"")),"")</f>
        <v/>
      </c>
      <c r="BK45" s="36" t="str">
        <f ca="1">IFERROR(+IF(BK$27=ProposalToGnatt[[#This Row],[Start Date]],Milestone_Marker,IF(AND(BK$27&gt;ProposalToGnatt[[#This Row],[Start Date]],BK$27&lt;ProposalToGnatt[[#This Row],[Start Date]]+ProposalToGnatt[[#This Row],[Days]]),$G$5,"")),"")</f>
        <v/>
      </c>
      <c r="BL45" s="36" t="str">
        <f ca="1">IFERROR(+IF(BL$27=ProposalToGnatt[[#This Row],[Start Date]],Milestone_Marker,IF(AND(BL$27&gt;ProposalToGnatt[[#This Row],[Start Date]],BL$27&lt;ProposalToGnatt[[#This Row],[Start Date]]+ProposalToGnatt[[#This Row],[Days]]),$G$5,"")),"")</f>
        <v/>
      </c>
      <c r="BM45" s="36" t="str">
        <f ca="1">IFERROR(+IF(BM$27=ProposalToGnatt[[#This Row],[Start Date]],Milestone_Marker,IF(AND(BM$27&gt;ProposalToGnatt[[#This Row],[Start Date]],BM$27&lt;ProposalToGnatt[[#This Row],[Start Date]]+ProposalToGnatt[[#This Row],[Days]]),$G$5,"")),"")</f>
        <v/>
      </c>
      <c r="BN45" s="36" t="str">
        <f ca="1">IFERROR(+IF(BN$27=ProposalToGnatt[[#This Row],[Start Date]],Milestone_Marker,IF(AND(BN$27&gt;ProposalToGnatt[[#This Row],[Start Date]],BN$27&lt;ProposalToGnatt[[#This Row],[Start Date]]+ProposalToGnatt[[#This Row],[Days]]),$G$5,"")),"")</f>
        <v/>
      </c>
      <c r="BO45" s="36" t="str">
        <f ca="1">IFERROR(+IF(BO$27=ProposalToGnatt[[#This Row],[Start Date]],Milestone_Marker,IF(AND(BO$27&gt;ProposalToGnatt[[#This Row],[Start Date]],BO$27&lt;ProposalToGnatt[[#This Row],[Start Date]]+ProposalToGnatt[[#This Row],[Days]]),$G$5,"")),"")</f>
        <v/>
      </c>
      <c r="BP45" s="36" t="str">
        <f ca="1">IFERROR(+IF(BP$27=ProposalToGnatt[[#This Row],[Start Date]],Milestone_Marker,IF(AND(BP$27&gt;ProposalToGnatt[[#This Row],[Start Date]],BP$27&lt;ProposalToGnatt[[#This Row],[Start Date]]+ProposalToGnatt[[#This Row],[Days]]),$G$5,"")),"")</f>
        <v/>
      </c>
      <c r="BQ45" s="36" t="str">
        <f ca="1">IFERROR(+IF(BQ$27=ProposalToGnatt[[#This Row],[Start Date]],Milestone_Marker,IF(AND(BQ$27&gt;ProposalToGnatt[[#This Row],[Start Date]],BQ$27&lt;ProposalToGnatt[[#This Row],[Start Date]]+ProposalToGnatt[[#This Row],[Days]]),$G$5,"")),"")</f>
        <v/>
      </c>
      <c r="BR45" s="36" t="str">
        <f ca="1">IFERROR(+IF(BR$27=ProposalToGnatt[[#This Row],[Start Date]],Milestone_Marker,IF(AND(BR$27&gt;ProposalToGnatt[[#This Row],[Start Date]],BR$27&lt;ProposalToGnatt[[#This Row],[Start Date]]+ProposalToGnatt[[#This Row],[Days]]),$G$5,"")),"")</f>
        <v/>
      </c>
      <c r="BS45" s="36" t="str">
        <f ca="1">IFERROR(+IF(BS$27=ProposalToGnatt[[#This Row],[Start Date]],Milestone_Marker,IF(AND(BS$27&gt;ProposalToGnatt[[#This Row],[Start Date]],BS$27&lt;ProposalToGnatt[[#This Row],[Start Date]]+ProposalToGnatt[[#This Row],[Days]]),$G$5,"")),"")</f>
        <v/>
      </c>
      <c r="BT45" s="36" t="str">
        <f ca="1">IFERROR(+IF(BT$27=ProposalToGnatt[[#This Row],[Start Date]],Milestone_Marker,IF(AND(BT$27&gt;ProposalToGnatt[[#This Row],[Start Date]],BT$27&lt;ProposalToGnatt[[#This Row],[Start Date]]+ProposalToGnatt[[#This Row],[Days]]),$G$5,"")),"")</f>
        <v/>
      </c>
      <c r="BU45" s="36" t="str">
        <f ca="1">IFERROR(+IF(BU$27=ProposalToGnatt[[#This Row],[Start Date]],Milestone_Marker,IF(AND(BU$27&gt;ProposalToGnatt[[#This Row],[Start Date]],BU$27&lt;ProposalToGnatt[[#This Row],[Start Date]]+ProposalToGnatt[[#This Row],[Days]]),$G$5,"")),"")</f>
        <v/>
      </c>
      <c r="BV45" s="36" t="str">
        <f ca="1">IFERROR(+IF(BV$27=ProposalToGnatt[[#This Row],[Start Date]],Milestone_Marker,IF(AND(BV$27&gt;ProposalToGnatt[[#This Row],[Start Date]],BV$27&lt;ProposalToGnatt[[#This Row],[Start Date]]+ProposalToGnatt[[#This Row],[Days]]),$G$5,"")),"")</f>
        <v/>
      </c>
      <c r="BW45" s="36" t="str">
        <f ca="1">IFERROR(+IF(BW$27=ProposalToGnatt[[#This Row],[Start Date]],Milestone_Marker,IF(AND(BW$27&gt;ProposalToGnatt[[#This Row],[Start Date]],BW$27&lt;ProposalToGnatt[[#This Row],[Start Date]]+ProposalToGnatt[[#This Row],[Days]]),$G$5,"")),"")</f>
        <v/>
      </c>
      <c r="BX45" s="36" t="str">
        <f ca="1">IFERROR(+IF(BX$27=ProposalToGnatt[[#This Row],[Start Date]],Milestone_Marker,IF(AND(BX$27&gt;ProposalToGnatt[[#This Row],[Start Date]],BX$27&lt;ProposalToGnatt[[#This Row],[Start Date]]+ProposalToGnatt[[#This Row],[Days]]),$G$5,"")),"")</f>
        <v/>
      </c>
      <c r="BY45" s="36" t="str">
        <f ca="1">IFERROR(+IF(BY$27=ProposalToGnatt[[#This Row],[Start Date]],Milestone_Marker,IF(AND(BY$27&gt;ProposalToGnatt[[#This Row],[Start Date]],BY$27&lt;ProposalToGnatt[[#This Row],[Start Date]]+ProposalToGnatt[[#This Row],[Days]]),$G$5,"")),"")</f>
        <v/>
      </c>
      <c r="BZ45" s="36" t="str">
        <f ca="1">IFERROR(+IF(BZ$27=ProposalToGnatt[[#This Row],[Start Date]],Milestone_Marker,IF(AND(BZ$27&gt;ProposalToGnatt[[#This Row],[Start Date]],BZ$27&lt;ProposalToGnatt[[#This Row],[Start Date]]+ProposalToGnatt[[#This Row],[Days]]),$G$5,"")),"")</f>
        <v/>
      </c>
      <c r="CA45" s="36" t="str">
        <f ca="1">IFERROR(+IF(CA$27=ProposalToGnatt[[#This Row],[Start Date]],Milestone_Marker,IF(AND(CA$27&gt;ProposalToGnatt[[#This Row],[Start Date]],CA$27&lt;ProposalToGnatt[[#This Row],[Start Date]]+ProposalToGnatt[[#This Row],[Days]]),$G$5,"")),"")</f>
        <v/>
      </c>
      <c r="CB45" s="36" t="str">
        <f ca="1">IFERROR(+IF(CB$27=ProposalToGnatt[[#This Row],[Start Date]],Milestone_Marker,IF(AND(CB$27&gt;ProposalToGnatt[[#This Row],[Start Date]],CB$27&lt;ProposalToGnatt[[#This Row],[Start Date]]+ProposalToGnatt[[#This Row],[Days]]),$G$5,"")),"")</f>
        <v/>
      </c>
      <c r="CC45" s="36" t="str">
        <f ca="1">IFERROR(+IF(CC$27=ProposalToGnatt[[#This Row],[Start Date]],Milestone_Marker,IF(AND(CC$27&gt;ProposalToGnatt[[#This Row],[Start Date]],CC$27&lt;ProposalToGnatt[[#This Row],[Start Date]]+ProposalToGnatt[[#This Row],[Days]]),$G$5,"")),"")</f>
        <v/>
      </c>
      <c r="CD45" s="36" t="str">
        <f ca="1">IFERROR(+IF(CD$27=ProposalToGnatt[[#This Row],[Start Date]],Milestone_Marker,IF(AND(CD$27&gt;ProposalToGnatt[[#This Row],[Start Date]],CD$27&lt;ProposalToGnatt[[#This Row],[Start Date]]+ProposalToGnatt[[#This Row],[Days]]),$G$5,"")),"")</f>
        <v/>
      </c>
      <c r="CE45" s="36" t="str">
        <f ca="1">IFERROR(+IF(CE$27=ProposalToGnatt[[#This Row],[Start Date]],Milestone_Marker,IF(AND(CE$27&gt;ProposalToGnatt[[#This Row],[Start Date]],CE$27&lt;ProposalToGnatt[[#This Row],[Start Date]]+ProposalToGnatt[[#This Row],[Days]]),$G$5,"")),"")</f>
        <v/>
      </c>
      <c r="CF45" s="36" t="str">
        <f ca="1">IFERROR(+IF(CF$27=ProposalToGnatt[[#This Row],[Start Date]],Milestone_Marker,IF(AND(CF$27&gt;ProposalToGnatt[[#This Row],[Start Date]],CF$27&lt;ProposalToGnatt[[#This Row],[Start Date]]+ProposalToGnatt[[#This Row],[Days]]),$G$5,"")),"")</f>
        <v/>
      </c>
      <c r="CG45" s="36" t="str">
        <f ca="1">IFERROR(+IF(CG$27=ProposalToGnatt[[#This Row],[Start Date]],Milestone_Marker,IF(AND(CG$27&gt;ProposalToGnatt[[#This Row],[Start Date]],CG$27&lt;ProposalToGnatt[[#This Row],[Start Date]]+ProposalToGnatt[[#This Row],[Days]]),$G$5,"")),"")</f>
        <v/>
      </c>
      <c r="CH45" s="36" t="str">
        <f ca="1">IFERROR(+IF(CH$27=ProposalToGnatt[[#This Row],[Start Date]],Milestone_Marker,IF(AND(CH$27&gt;ProposalToGnatt[[#This Row],[Start Date]],CH$27&lt;ProposalToGnatt[[#This Row],[Start Date]]+ProposalToGnatt[[#This Row],[Days]]),$G$5,"")),"")</f>
        <v/>
      </c>
      <c r="CI45" s="36" t="str">
        <f ca="1">IFERROR(+IF(CI$27=ProposalToGnatt[[#This Row],[Start Date]],Milestone_Marker,IF(AND(CI$27&gt;ProposalToGnatt[[#This Row],[Start Date]],CI$27&lt;ProposalToGnatt[[#This Row],[Start Date]]+ProposalToGnatt[[#This Row],[Days]]),$G$5,"")),"")</f>
        <v/>
      </c>
      <c r="CJ45" s="36" t="str">
        <f ca="1">IFERROR(+IF(CJ$27=ProposalToGnatt[[#This Row],[Start Date]],Milestone_Marker,IF(AND(CJ$27&gt;ProposalToGnatt[[#This Row],[Start Date]],CJ$27&lt;ProposalToGnatt[[#This Row],[Start Date]]+ProposalToGnatt[[#This Row],[Days]]),$G$5,"")),"")</f>
        <v/>
      </c>
      <c r="CK45" s="36" t="str">
        <f ca="1">IFERROR(+IF(CK$27=ProposalToGnatt[[#This Row],[Start Date]],Milestone_Marker,IF(AND(CK$27&gt;ProposalToGnatt[[#This Row],[Start Date]],CK$27&lt;ProposalToGnatt[[#This Row],[Start Date]]+ProposalToGnatt[[#This Row],[Days]]),$G$5,"")),"")</f>
        <v/>
      </c>
      <c r="CL45" s="36" t="str">
        <f ca="1">IFERROR(+IF(CL$27=ProposalToGnatt[[#This Row],[Start Date]],Milestone_Marker,IF(AND(CL$27&gt;ProposalToGnatt[[#This Row],[Start Date]],CL$27&lt;ProposalToGnatt[[#This Row],[Start Date]]+ProposalToGnatt[[#This Row],[Days]]),$G$5,"")),"")</f>
        <v/>
      </c>
      <c r="CM45" s="36" t="str">
        <f ca="1">IFERROR(+IF(CM$27=ProposalToGnatt[[#This Row],[Start Date]],Milestone_Marker,IF(AND(CM$27&gt;ProposalToGnatt[[#This Row],[Start Date]],CM$27&lt;ProposalToGnatt[[#This Row],[Start Date]]+ProposalToGnatt[[#This Row],[Days]]),$G$5,"")),"")</f>
        <v/>
      </c>
      <c r="CN45" s="36" t="str">
        <f ca="1">IFERROR(+IF(CN$27=ProposalToGnatt[[#This Row],[Start Date]],Milestone_Marker,IF(AND(CN$27&gt;ProposalToGnatt[[#This Row],[Start Date]],CN$27&lt;ProposalToGnatt[[#This Row],[Start Date]]+ProposalToGnatt[[#This Row],[Days]]),$G$5,"")),"")</f>
        <v/>
      </c>
      <c r="CO45" s="36" t="str">
        <f ca="1">IFERROR(+IF(CO$27=ProposalToGnatt[[#This Row],[Start Date]],Milestone_Marker,IF(AND(CO$27&gt;ProposalToGnatt[[#This Row],[Start Date]],CO$27&lt;ProposalToGnatt[[#This Row],[Start Date]]+ProposalToGnatt[[#This Row],[Days]]),$G$5,"")),"")</f>
        <v/>
      </c>
      <c r="CP45" s="36" t="str">
        <f ca="1">IFERROR(+IF(CP$27=ProposalToGnatt[[#This Row],[Start Date]],Milestone_Marker,IF(AND(CP$27&gt;ProposalToGnatt[[#This Row],[Start Date]],CP$27&lt;ProposalToGnatt[[#This Row],[Start Date]]+ProposalToGnatt[[#This Row],[Days]]),$G$5,"")),"")</f>
        <v/>
      </c>
      <c r="CQ45" s="36" t="str">
        <f ca="1">IFERROR(+IF(CQ$27=ProposalToGnatt[[#This Row],[Start Date]],Milestone_Marker,IF(AND(CQ$27&gt;ProposalToGnatt[[#This Row],[Start Date]],CQ$27&lt;ProposalToGnatt[[#This Row],[Start Date]]+ProposalToGnatt[[#This Row],[Days]]),$G$5,"")),"")</f>
        <v/>
      </c>
      <c r="CR45" s="36" t="str">
        <f ca="1">IFERROR(+IF(CR$27=ProposalToGnatt[[#This Row],[Start Date]],Milestone_Marker,IF(AND(CR$27&gt;ProposalToGnatt[[#This Row],[Start Date]],CR$27&lt;ProposalToGnatt[[#This Row],[Start Date]]+ProposalToGnatt[[#This Row],[Days]]),$G$5,"")),"")</f>
        <v/>
      </c>
      <c r="CS45" s="36" t="str">
        <f ca="1">IFERROR(+IF(CS$27=ProposalToGnatt[[#This Row],[Start Date]],Milestone_Marker,IF(AND(CS$27&gt;ProposalToGnatt[[#This Row],[Start Date]],CS$27&lt;ProposalToGnatt[[#This Row],[Start Date]]+ProposalToGnatt[[#This Row],[Days]]),$G$5,"")),"")</f>
        <v/>
      </c>
      <c r="CT45" s="36" t="str">
        <f ca="1">IFERROR(+IF(CT$27=ProposalToGnatt[[#This Row],[Start Date]],Milestone_Marker,IF(AND(CT$27&gt;ProposalToGnatt[[#This Row],[Start Date]],CT$27&lt;ProposalToGnatt[[#This Row],[Start Date]]+ProposalToGnatt[[#This Row],[Days]]),$G$5,"")),"")</f>
        <v/>
      </c>
      <c r="CU45" s="36" t="str">
        <f ca="1">IFERROR(+IF(CU$27=ProposalToGnatt[[#This Row],[Start Date]],Milestone_Marker,IF(AND(CU$27&gt;ProposalToGnatt[[#This Row],[Start Date]],CU$27&lt;ProposalToGnatt[[#This Row],[Start Date]]+ProposalToGnatt[[#This Row],[Days]]),$G$5,"")),"")</f>
        <v/>
      </c>
      <c r="CV45" s="36"/>
      <c r="CW45" s="36"/>
      <c r="CX45" s="36"/>
      <c r="CY45" s="36"/>
      <c r="CZ45" s="36"/>
      <c r="DA45" s="36"/>
      <c r="DB45" s="36"/>
      <c r="DC45" s="36"/>
      <c r="DD45" s="36"/>
      <c r="DE45" s="36"/>
      <c r="DF45" s="36"/>
      <c r="DG45" s="36"/>
      <c r="DH45" s="36"/>
      <c r="DI45" s="36"/>
      <c r="DJ45" s="36"/>
      <c r="DK45" s="36"/>
      <c r="DL45" s="36"/>
      <c r="DM45" s="36"/>
      <c r="DN45" s="36"/>
      <c r="DO45" s="36"/>
      <c r="DP45" s="36"/>
      <c r="DQ45" s="36"/>
      <c r="DR45" s="36"/>
      <c r="DS45" s="36"/>
      <c r="DT45" s="36"/>
      <c r="DU45" s="36"/>
    </row>
    <row r="46" spans="1:125" s="41" customFormat="1" ht="15" x14ac:dyDescent="0.25">
      <c r="A46" t="s">
        <v>263</v>
      </c>
      <c r="B46">
        <v>19</v>
      </c>
      <c r="C46"/>
      <c r="D46"/>
      <c r="E46"/>
      <c r="F46"/>
      <c r="G46" s="14"/>
      <c r="H46" s="14"/>
      <c r="I46"/>
      <c r="J46"/>
      <c r="K46" s="246"/>
      <c r="L46"/>
      <c r="M46" s="14"/>
      <c r="N46" s="299"/>
      <c r="O46" s="281"/>
      <c r="P46" s="36" t="str">
        <f ca="1">IFERROR(+IF(P$27=ProposalToGnatt[[#This Row],[Start Date]],Milestone_Marker,IF(AND(P$27&gt;ProposalToGnatt[[#This Row],[Start Date]],P$27&lt;ProposalToGnatt[[#This Row],[Start Date]]+ProposalToGnatt[[#This Row],[Days]]),$G$5,"")),"")</f>
        <v/>
      </c>
      <c r="Q46" s="36" t="str">
        <f ca="1">IFERROR(+IF(Q$27=ProposalToGnatt[[#This Row],[Start Date]],Milestone_Marker,IF(AND(Q$27&gt;ProposalToGnatt[[#This Row],[Start Date]],Q$27&lt;ProposalToGnatt[[#This Row],[Start Date]]+ProposalToGnatt[[#This Row],[Days]]),$G$5,"")),"")</f>
        <v/>
      </c>
      <c r="R46" s="36" t="str">
        <f ca="1">IFERROR(+IF(R$27=ProposalToGnatt[[#This Row],[Start Date]],Milestone_Marker,IF(AND(R$27&gt;ProposalToGnatt[[#This Row],[Start Date]],R$27&lt;ProposalToGnatt[[#This Row],[Start Date]]+ProposalToGnatt[[#This Row],[Days]]),$G$5,"")),"")</f>
        <v/>
      </c>
      <c r="S46" s="36" t="str">
        <f ca="1">IFERROR(+IF(S$27=ProposalToGnatt[[#This Row],[Start Date]],Milestone_Marker,IF(AND(S$27&gt;ProposalToGnatt[[#This Row],[Start Date]],S$27&lt;ProposalToGnatt[[#This Row],[Start Date]]+ProposalToGnatt[[#This Row],[Days]]),$G$5,"")),"")</f>
        <v/>
      </c>
      <c r="T46" s="36" t="str">
        <f ca="1">IFERROR(+IF(T$27=ProposalToGnatt[[#This Row],[Start Date]],Milestone_Marker,IF(AND(T$27&gt;ProposalToGnatt[[#This Row],[Start Date]],T$27&lt;ProposalToGnatt[[#This Row],[Start Date]]+ProposalToGnatt[[#This Row],[Days]]),$G$5,"")),"")</f>
        <v/>
      </c>
      <c r="U46" s="36" t="str">
        <f ca="1">IFERROR(+IF(U$27=ProposalToGnatt[[#This Row],[Start Date]],Milestone_Marker,IF(AND(U$27&gt;ProposalToGnatt[[#This Row],[Start Date]],U$27&lt;ProposalToGnatt[[#This Row],[Start Date]]+ProposalToGnatt[[#This Row],[Days]]),$G$5,"")),"")</f>
        <v/>
      </c>
      <c r="V46" s="36" t="str">
        <f ca="1">IFERROR(+IF(V$27=ProposalToGnatt[[#This Row],[Start Date]],Milestone_Marker,IF(AND(V$27&gt;ProposalToGnatt[[#This Row],[Start Date]],V$27&lt;ProposalToGnatt[[#This Row],[Start Date]]+ProposalToGnatt[[#This Row],[Days]]),$G$5,"")),"")</f>
        <v/>
      </c>
      <c r="W46" s="36" t="str">
        <f ca="1">IFERROR(+IF(W$27=ProposalToGnatt[[#This Row],[Start Date]],Milestone_Marker,IF(AND(W$27&gt;ProposalToGnatt[[#This Row],[Start Date]],W$27&lt;ProposalToGnatt[[#This Row],[Start Date]]+ProposalToGnatt[[#This Row],[Days]]),$G$5,"")),"")</f>
        <v/>
      </c>
      <c r="X46" s="36" t="str">
        <f ca="1">IFERROR(+IF(X$27=ProposalToGnatt[[#This Row],[Start Date]],Milestone_Marker,IF(AND(X$27&gt;ProposalToGnatt[[#This Row],[Start Date]],X$27&lt;ProposalToGnatt[[#This Row],[Start Date]]+ProposalToGnatt[[#This Row],[Days]]),$G$5,"")),"")</f>
        <v/>
      </c>
      <c r="Y46" s="36" t="str">
        <f ca="1">IFERROR(+IF(Y$27=ProposalToGnatt[[#This Row],[Start Date]],Milestone_Marker,IF(AND(Y$27&gt;ProposalToGnatt[[#This Row],[Start Date]],Y$27&lt;ProposalToGnatt[[#This Row],[Start Date]]+ProposalToGnatt[[#This Row],[Days]]),$G$5,"")),"")</f>
        <v/>
      </c>
      <c r="Z46" s="36" t="str">
        <f ca="1">IFERROR(+IF(Z$27=ProposalToGnatt[[#This Row],[Start Date]],Milestone_Marker,IF(AND(Z$27&gt;ProposalToGnatt[[#This Row],[Start Date]],Z$27&lt;ProposalToGnatt[[#This Row],[Start Date]]+ProposalToGnatt[[#This Row],[Days]]),$G$5,"")),"")</f>
        <v/>
      </c>
      <c r="AA46" s="36" t="str">
        <f ca="1">IFERROR(+IF(AA$27=ProposalToGnatt[[#This Row],[Start Date]],Milestone_Marker,IF(AND(AA$27&gt;ProposalToGnatt[[#This Row],[Start Date]],AA$27&lt;ProposalToGnatt[[#This Row],[Start Date]]+ProposalToGnatt[[#This Row],[Days]]),$G$5,"")),"")</f>
        <v/>
      </c>
      <c r="AB46" s="36" t="str">
        <f ca="1">IFERROR(+IF(AB$27=ProposalToGnatt[[#This Row],[Start Date]],Milestone_Marker,IF(AND(AB$27&gt;ProposalToGnatt[[#This Row],[Start Date]],AB$27&lt;ProposalToGnatt[[#This Row],[Start Date]]+ProposalToGnatt[[#This Row],[Days]]),$G$5,"")),"")</f>
        <v/>
      </c>
      <c r="AC46" s="36" t="str">
        <f ca="1">IFERROR(+IF(AC$27=ProposalToGnatt[[#This Row],[Start Date]],Milestone_Marker,IF(AND(AC$27&gt;ProposalToGnatt[[#This Row],[Start Date]],AC$27&lt;ProposalToGnatt[[#This Row],[Start Date]]+ProposalToGnatt[[#This Row],[Days]]),$G$5,"")),"")</f>
        <v/>
      </c>
      <c r="AD46" s="36" t="str">
        <f ca="1">IFERROR(+IF(AD$27=ProposalToGnatt[[#This Row],[Start Date]],Milestone_Marker,IF(AND(AD$27&gt;ProposalToGnatt[[#This Row],[Start Date]],AD$27&lt;ProposalToGnatt[[#This Row],[Start Date]]+ProposalToGnatt[[#This Row],[Days]]),$G$5,"")),"")</f>
        <v/>
      </c>
      <c r="AE46" s="36" t="str">
        <f ca="1">IFERROR(+IF(AE$27=ProposalToGnatt[[#This Row],[Start Date]],Milestone_Marker,IF(AND(AE$27&gt;ProposalToGnatt[[#This Row],[Start Date]],AE$27&lt;ProposalToGnatt[[#This Row],[Start Date]]+ProposalToGnatt[[#This Row],[Days]]),$G$5,"")),"")</f>
        <v/>
      </c>
      <c r="AF46" s="36" t="str">
        <f ca="1">IFERROR(+IF(AF$27=ProposalToGnatt[[#This Row],[Start Date]],Milestone_Marker,IF(AND(AF$27&gt;ProposalToGnatt[[#This Row],[Start Date]],AF$27&lt;ProposalToGnatt[[#This Row],[Start Date]]+ProposalToGnatt[[#This Row],[Days]]),$G$5,"")),"")</f>
        <v/>
      </c>
      <c r="AG46" s="36" t="str">
        <f ca="1">IFERROR(+IF(AG$27=ProposalToGnatt[[#This Row],[Start Date]],Milestone_Marker,IF(AND(AG$27&gt;ProposalToGnatt[[#This Row],[Start Date]],AG$27&lt;ProposalToGnatt[[#This Row],[Start Date]]+ProposalToGnatt[[#This Row],[Days]]),$G$5,"")),"")</f>
        <v/>
      </c>
      <c r="AH46" s="36" t="str">
        <f ca="1">IFERROR(+IF(AH$27=ProposalToGnatt[[#This Row],[Start Date]],Milestone_Marker,IF(AND(AH$27&gt;ProposalToGnatt[[#This Row],[Start Date]],AH$27&lt;ProposalToGnatt[[#This Row],[Start Date]]+ProposalToGnatt[[#This Row],[Days]]),$G$5,"")),"")</f>
        <v/>
      </c>
      <c r="AI46" s="36" t="str">
        <f ca="1">IFERROR(+IF(AI$27=ProposalToGnatt[[#This Row],[Start Date]],Milestone_Marker,IF(AND(AI$27&gt;ProposalToGnatt[[#This Row],[Start Date]],AI$27&lt;ProposalToGnatt[[#This Row],[Start Date]]+ProposalToGnatt[[#This Row],[Days]]),$G$5,"")),"")</f>
        <v/>
      </c>
      <c r="AJ46" s="36" t="str">
        <f ca="1">IFERROR(+IF(AJ$27=ProposalToGnatt[[#This Row],[Start Date]],Milestone_Marker,IF(AND(AJ$27&gt;ProposalToGnatt[[#This Row],[Start Date]],AJ$27&lt;ProposalToGnatt[[#This Row],[Start Date]]+ProposalToGnatt[[#This Row],[Days]]),$G$5,"")),"")</f>
        <v/>
      </c>
      <c r="AK46" s="36" t="str">
        <f ca="1">IFERROR(+IF(AK$27=ProposalToGnatt[[#This Row],[Start Date]],Milestone_Marker,IF(AND(AK$27&gt;ProposalToGnatt[[#This Row],[Start Date]],AK$27&lt;ProposalToGnatt[[#This Row],[Start Date]]+ProposalToGnatt[[#This Row],[Days]]),$G$5,"")),"")</f>
        <v/>
      </c>
      <c r="AL46" s="36" t="str">
        <f ca="1">IFERROR(+IF(AL$27=ProposalToGnatt[[#This Row],[Start Date]],Milestone_Marker,IF(AND(AL$27&gt;ProposalToGnatt[[#This Row],[Start Date]],AL$27&lt;ProposalToGnatt[[#This Row],[Start Date]]+ProposalToGnatt[[#This Row],[Days]]),$G$5,"")),"")</f>
        <v/>
      </c>
      <c r="AM46" s="36" t="str">
        <f ca="1">IFERROR(+IF(AM$27=ProposalToGnatt[[#This Row],[Start Date]],Milestone_Marker,IF(AND(AM$27&gt;ProposalToGnatt[[#This Row],[Start Date]],AM$27&lt;ProposalToGnatt[[#This Row],[Start Date]]+ProposalToGnatt[[#This Row],[Days]]),$G$5,"")),"")</f>
        <v/>
      </c>
      <c r="AN46" s="36" t="str">
        <f ca="1">IFERROR(+IF(AN$27=ProposalToGnatt[[#This Row],[Start Date]],Milestone_Marker,IF(AND(AN$27&gt;ProposalToGnatt[[#This Row],[Start Date]],AN$27&lt;ProposalToGnatt[[#This Row],[Start Date]]+ProposalToGnatt[[#This Row],[Days]]),$G$5,"")),"")</f>
        <v/>
      </c>
      <c r="AO46" s="36" t="str">
        <f ca="1">IFERROR(+IF(AO$27=ProposalToGnatt[[#This Row],[Start Date]],Milestone_Marker,IF(AND(AO$27&gt;ProposalToGnatt[[#This Row],[Start Date]],AO$27&lt;ProposalToGnatt[[#This Row],[Start Date]]+ProposalToGnatt[[#This Row],[Days]]),$G$5,"")),"")</f>
        <v/>
      </c>
      <c r="AP46" s="36" t="str">
        <f ca="1">IFERROR(+IF(AP$27=ProposalToGnatt[[#This Row],[Start Date]],Milestone_Marker,IF(AND(AP$27&gt;ProposalToGnatt[[#This Row],[Start Date]],AP$27&lt;ProposalToGnatt[[#This Row],[Start Date]]+ProposalToGnatt[[#This Row],[Days]]),$G$5,"")),"")</f>
        <v/>
      </c>
      <c r="AQ46" s="36" t="str">
        <f ca="1">IFERROR(+IF(AQ$27=ProposalToGnatt[[#This Row],[Start Date]],Milestone_Marker,IF(AND(AQ$27&gt;ProposalToGnatt[[#This Row],[Start Date]],AQ$27&lt;ProposalToGnatt[[#This Row],[Start Date]]+ProposalToGnatt[[#This Row],[Days]]),$G$5,"")),"")</f>
        <v/>
      </c>
      <c r="AR46" s="36" t="str">
        <f ca="1">IFERROR(+IF(AR$27=ProposalToGnatt[[#This Row],[Start Date]],Milestone_Marker,IF(AND(AR$27&gt;ProposalToGnatt[[#This Row],[Start Date]],AR$27&lt;ProposalToGnatt[[#This Row],[Start Date]]+ProposalToGnatt[[#This Row],[Days]]),$G$5,"")),"")</f>
        <v/>
      </c>
      <c r="AS46" s="36" t="str">
        <f ca="1">IFERROR(+IF(AS$27=ProposalToGnatt[[#This Row],[Start Date]],Milestone_Marker,IF(AND(AS$27&gt;ProposalToGnatt[[#This Row],[Start Date]],AS$27&lt;ProposalToGnatt[[#This Row],[Start Date]]+ProposalToGnatt[[#This Row],[Days]]),$G$5,"")),"")</f>
        <v/>
      </c>
      <c r="AT46" s="36" t="str">
        <f ca="1">IFERROR(+IF(AT$27=ProposalToGnatt[[#This Row],[Start Date]],Milestone_Marker,IF(AND(AT$27&gt;ProposalToGnatt[[#This Row],[Start Date]],AT$27&lt;ProposalToGnatt[[#This Row],[Start Date]]+ProposalToGnatt[[#This Row],[Days]]),$G$5,"")),"")</f>
        <v/>
      </c>
      <c r="AU46" s="36" t="str">
        <f ca="1">IFERROR(+IF(AU$27=ProposalToGnatt[[#This Row],[Start Date]],Milestone_Marker,IF(AND(AU$27&gt;ProposalToGnatt[[#This Row],[Start Date]],AU$27&lt;ProposalToGnatt[[#This Row],[Start Date]]+ProposalToGnatt[[#This Row],[Days]]),$G$5,"")),"")</f>
        <v/>
      </c>
      <c r="AV46" s="36" t="str">
        <f ca="1">IFERROR(+IF(AV$27=ProposalToGnatt[[#This Row],[Start Date]],Milestone_Marker,IF(AND(AV$27&gt;ProposalToGnatt[[#This Row],[Start Date]],AV$27&lt;ProposalToGnatt[[#This Row],[Start Date]]+ProposalToGnatt[[#This Row],[Days]]),$G$5,"")),"")</f>
        <v/>
      </c>
      <c r="AW46" s="36" t="str">
        <f ca="1">IFERROR(+IF(AW$27=ProposalToGnatt[[#This Row],[Start Date]],Milestone_Marker,IF(AND(AW$27&gt;ProposalToGnatt[[#This Row],[Start Date]],AW$27&lt;ProposalToGnatt[[#This Row],[Start Date]]+ProposalToGnatt[[#This Row],[Days]]),$G$5,"")),"")</f>
        <v/>
      </c>
      <c r="AX46" s="36" t="str">
        <f ca="1">IFERROR(+IF(AX$27=ProposalToGnatt[[#This Row],[Start Date]],Milestone_Marker,IF(AND(AX$27&gt;ProposalToGnatt[[#This Row],[Start Date]],AX$27&lt;ProposalToGnatt[[#This Row],[Start Date]]+ProposalToGnatt[[#This Row],[Days]]),$G$5,"")),"")</f>
        <v/>
      </c>
      <c r="AY46" s="36" t="str">
        <f ca="1">IFERROR(+IF(AY$27=ProposalToGnatt[[#This Row],[Start Date]],Milestone_Marker,IF(AND(AY$27&gt;ProposalToGnatt[[#This Row],[Start Date]],AY$27&lt;ProposalToGnatt[[#This Row],[Start Date]]+ProposalToGnatt[[#This Row],[Days]]),$G$5,"")),"")</f>
        <v/>
      </c>
      <c r="AZ46" s="36" t="str">
        <f ca="1">IFERROR(+IF(AZ$27=ProposalToGnatt[[#This Row],[Start Date]],Milestone_Marker,IF(AND(AZ$27&gt;ProposalToGnatt[[#This Row],[Start Date]],AZ$27&lt;ProposalToGnatt[[#This Row],[Start Date]]+ProposalToGnatt[[#This Row],[Days]]),$G$5,"")),"")</f>
        <v/>
      </c>
      <c r="BA46" s="36" t="str">
        <f ca="1">IFERROR(+IF(BA$27=ProposalToGnatt[[#This Row],[Start Date]],Milestone_Marker,IF(AND(BA$27&gt;ProposalToGnatt[[#This Row],[Start Date]],BA$27&lt;ProposalToGnatt[[#This Row],[Start Date]]+ProposalToGnatt[[#This Row],[Days]]),$G$5,"")),"")</f>
        <v/>
      </c>
      <c r="BB46" s="36" t="str">
        <f ca="1">IFERROR(+IF(BB$27=ProposalToGnatt[[#This Row],[Start Date]],Milestone_Marker,IF(AND(BB$27&gt;ProposalToGnatt[[#This Row],[Start Date]],BB$27&lt;ProposalToGnatt[[#This Row],[Start Date]]+ProposalToGnatt[[#This Row],[Days]]),$G$5,"")),"")</f>
        <v/>
      </c>
      <c r="BC46" s="36" t="str">
        <f ca="1">IFERROR(+IF(BC$27=ProposalToGnatt[[#This Row],[Start Date]],Milestone_Marker,IF(AND(BC$27&gt;ProposalToGnatt[[#This Row],[Start Date]],BC$27&lt;ProposalToGnatt[[#This Row],[Start Date]]+ProposalToGnatt[[#This Row],[Days]]),$G$5,"")),"")</f>
        <v/>
      </c>
      <c r="BD46" s="36" t="str">
        <f ca="1">IFERROR(+IF(BD$27=ProposalToGnatt[[#This Row],[Start Date]],Milestone_Marker,IF(AND(BD$27&gt;ProposalToGnatt[[#This Row],[Start Date]],BD$27&lt;ProposalToGnatt[[#This Row],[Start Date]]+ProposalToGnatt[[#This Row],[Days]]),$G$5,"")),"")</f>
        <v/>
      </c>
      <c r="BE46" s="36" t="str">
        <f ca="1">IFERROR(+IF(BE$27=ProposalToGnatt[[#This Row],[Start Date]],Milestone_Marker,IF(AND(BE$27&gt;ProposalToGnatt[[#This Row],[Start Date]],BE$27&lt;ProposalToGnatt[[#This Row],[Start Date]]+ProposalToGnatt[[#This Row],[Days]]),$G$5,"")),"")</f>
        <v/>
      </c>
      <c r="BF46" s="36" t="str">
        <f ca="1">IFERROR(+IF(BF$27=ProposalToGnatt[[#This Row],[Start Date]],Milestone_Marker,IF(AND(BF$27&gt;ProposalToGnatt[[#This Row],[Start Date]],BF$27&lt;ProposalToGnatt[[#This Row],[Start Date]]+ProposalToGnatt[[#This Row],[Days]]),$G$5,"")),"")</f>
        <v/>
      </c>
      <c r="BG46" s="36" t="str">
        <f ca="1">IFERROR(+IF(BG$27=ProposalToGnatt[[#This Row],[Start Date]],Milestone_Marker,IF(AND(BG$27&gt;ProposalToGnatt[[#This Row],[Start Date]],BG$27&lt;ProposalToGnatt[[#This Row],[Start Date]]+ProposalToGnatt[[#This Row],[Days]]),$G$5,"")),"")</f>
        <v/>
      </c>
      <c r="BH46" s="36" t="str">
        <f ca="1">IFERROR(+IF(BH$27=ProposalToGnatt[[#This Row],[Start Date]],Milestone_Marker,IF(AND(BH$27&gt;ProposalToGnatt[[#This Row],[Start Date]],BH$27&lt;ProposalToGnatt[[#This Row],[Start Date]]+ProposalToGnatt[[#This Row],[Days]]),$G$5,"")),"")</f>
        <v/>
      </c>
      <c r="BI46" s="36" t="str">
        <f ca="1">IFERROR(+IF(BI$27=ProposalToGnatt[[#This Row],[Start Date]],Milestone_Marker,IF(AND(BI$27&gt;ProposalToGnatt[[#This Row],[Start Date]],BI$27&lt;ProposalToGnatt[[#This Row],[Start Date]]+ProposalToGnatt[[#This Row],[Days]]),$G$5,"")),"")</f>
        <v/>
      </c>
      <c r="BJ46" s="36" t="str">
        <f ca="1">IFERROR(+IF(BJ$27=ProposalToGnatt[[#This Row],[Start Date]],Milestone_Marker,IF(AND(BJ$27&gt;ProposalToGnatt[[#This Row],[Start Date]],BJ$27&lt;ProposalToGnatt[[#This Row],[Start Date]]+ProposalToGnatt[[#This Row],[Days]]),$G$5,"")),"")</f>
        <v/>
      </c>
      <c r="BK46" s="36" t="str">
        <f ca="1">IFERROR(+IF(BK$27=ProposalToGnatt[[#This Row],[Start Date]],Milestone_Marker,IF(AND(BK$27&gt;ProposalToGnatt[[#This Row],[Start Date]],BK$27&lt;ProposalToGnatt[[#This Row],[Start Date]]+ProposalToGnatt[[#This Row],[Days]]),$G$5,"")),"")</f>
        <v/>
      </c>
      <c r="BL46" s="36" t="str">
        <f ca="1">IFERROR(+IF(BL$27=ProposalToGnatt[[#This Row],[Start Date]],Milestone_Marker,IF(AND(BL$27&gt;ProposalToGnatt[[#This Row],[Start Date]],BL$27&lt;ProposalToGnatt[[#This Row],[Start Date]]+ProposalToGnatt[[#This Row],[Days]]),$G$5,"")),"")</f>
        <v/>
      </c>
      <c r="BM46" s="36" t="str">
        <f ca="1">IFERROR(+IF(BM$27=ProposalToGnatt[[#This Row],[Start Date]],Milestone_Marker,IF(AND(BM$27&gt;ProposalToGnatt[[#This Row],[Start Date]],BM$27&lt;ProposalToGnatt[[#This Row],[Start Date]]+ProposalToGnatt[[#This Row],[Days]]),$G$5,"")),"")</f>
        <v/>
      </c>
      <c r="BN46" s="36" t="str">
        <f ca="1">IFERROR(+IF(BN$27=ProposalToGnatt[[#This Row],[Start Date]],Milestone_Marker,IF(AND(BN$27&gt;ProposalToGnatt[[#This Row],[Start Date]],BN$27&lt;ProposalToGnatt[[#This Row],[Start Date]]+ProposalToGnatt[[#This Row],[Days]]),$G$5,"")),"")</f>
        <v/>
      </c>
      <c r="BO46" s="36" t="str">
        <f ca="1">IFERROR(+IF(BO$27=ProposalToGnatt[[#This Row],[Start Date]],Milestone_Marker,IF(AND(BO$27&gt;ProposalToGnatt[[#This Row],[Start Date]],BO$27&lt;ProposalToGnatt[[#This Row],[Start Date]]+ProposalToGnatt[[#This Row],[Days]]),$G$5,"")),"")</f>
        <v/>
      </c>
      <c r="BP46" s="36" t="str">
        <f ca="1">IFERROR(+IF(BP$27=ProposalToGnatt[[#This Row],[Start Date]],Milestone_Marker,IF(AND(BP$27&gt;ProposalToGnatt[[#This Row],[Start Date]],BP$27&lt;ProposalToGnatt[[#This Row],[Start Date]]+ProposalToGnatt[[#This Row],[Days]]),$G$5,"")),"")</f>
        <v/>
      </c>
      <c r="BQ46" s="36" t="str">
        <f ca="1">IFERROR(+IF(BQ$27=ProposalToGnatt[[#This Row],[Start Date]],Milestone_Marker,IF(AND(BQ$27&gt;ProposalToGnatt[[#This Row],[Start Date]],BQ$27&lt;ProposalToGnatt[[#This Row],[Start Date]]+ProposalToGnatt[[#This Row],[Days]]),$G$5,"")),"")</f>
        <v/>
      </c>
      <c r="BR46" s="36" t="str">
        <f ca="1">IFERROR(+IF(BR$27=ProposalToGnatt[[#This Row],[Start Date]],Milestone_Marker,IF(AND(BR$27&gt;ProposalToGnatt[[#This Row],[Start Date]],BR$27&lt;ProposalToGnatt[[#This Row],[Start Date]]+ProposalToGnatt[[#This Row],[Days]]),$G$5,"")),"")</f>
        <v/>
      </c>
      <c r="BS46" s="36" t="str">
        <f ca="1">IFERROR(+IF(BS$27=ProposalToGnatt[[#This Row],[Start Date]],Milestone_Marker,IF(AND(BS$27&gt;ProposalToGnatt[[#This Row],[Start Date]],BS$27&lt;ProposalToGnatt[[#This Row],[Start Date]]+ProposalToGnatt[[#This Row],[Days]]),$G$5,"")),"")</f>
        <v/>
      </c>
      <c r="BT46" s="36" t="str">
        <f ca="1">IFERROR(+IF(BT$27=ProposalToGnatt[[#This Row],[Start Date]],Milestone_Marker,IF(AND(BT$27&gt;ProposalToGnatt[[#This Row],[Start Date]],BT$27&lt;ProposalToGnatt[[#This Row],[Start Date]]+ProposalToGnatt[[#This Row],[Days]]),$G$5,"")),"")</f>
        <v/>
      </c>
      <c r="BU46" s="36" t="str">
        <f ca="1">IFERROR(+IF(BU$27=ProposalToGnatt[[#This Row],[Start Date]],Milestone_Marker,IF(AND(BU$27&gt;ProposalToGnatt[[#This Row],[Start Date]],BU$27&lt;ProposalToGnatt[[#This Row],[Start Date]]+ProposalToGnatt[[#This Row],[Days]]),$G$5,"")),"")</f>
        <v/>
      </c>
      <c r="BV46" s="36" t="str">
        <f ca="1">IFERROR(+IF(BV$27=ProposalToGnatt[[#This Row],[Start Date]],Milestone_Marker,IF(AND(BV$27&gt;ProposalToGnatt[[#This Row],[Start Date]],BV$27&lt;ProposalToGnatt[[#This Row],[Start Date]]+ProposalToGnatt[[#This Row],[Days]]),$G$5,"")),"")</f>
        <v/>
      </c>
      <c r="BW46" s="36" t="str">
        <f ca="1">IFERROR(+IF(BW$27=ProposalToGnatt[[#This Row],[Start Date]],Milestone_Marker,IF(AND(BW$27&gt;ProposalToGnatt[[#This Row],[Start Date]],BW$27&lt;ProposalToGnatt[[#This Row],[Start Date]]+ProposalToGnatt[[#This Row],[Days]]),$G$5,"")),"")</f>
        <v/>
      </c>
      <c r="BX46" s="36" t="str">
        <f ca="1">IFERROR(+IF(BX$27=ProposalToGnatt[[#This Row],[Start Date]],Milestone_Marker,IF(AND(BX$27&gt;ProposalToGnatt[[#This Row],[Start Date]],BX$27&lt;ProposalToGnatt[[#This Row],[Start Date]]+ProposalToGnatt[[#This Row],[Days]]),$G$5,"")),"")</f>
        <v/>
      </c>
      <c r="BY46" s="36" t="str">
        <f ca="1">IFERROR(+IF(BY$27=ProposalToGnatt[[#This Row],[Start Date]],Milestone_Marker,IF(AND(BY$27&gt;ProposalToGnatt[[#This Row],[Start Date]],BY$27&lt;ProposalToGnatt[[#This Row],[Start Date]]+ProposalToGnatt[[#This Row],[Days]]),$G$5,"")),"")</f>
        <v/>
      </c>
      <c r="BZ46" s="36" t="str">
        <f ca="1">IFERROR(+IF(BZ$27=ProposalToGnatt[[#This Row],[Start Date]],Milestone_Marker,IF(AND(BZ$27&gt;ProposalToGnatt[[#This Row],[Start Date]],BZ$27&lt;ProposalToGnatt[[#This Row],[Start Date]]+ProposalToGnatt[[#This Row],[Days]]),$G$5,"")),"")</f>
        <v/>
      </c>
      <c r="CA46" s="36" t="str">
        <f ca="1">IFERROR(+IF(CA$27=ProposalToGnatt[[#This Row],[Start Date]],Milestone_Marker,IF(AND(CA$27&gt;ProposalToGnatt[[#This Row],[Start Date]],CA$27&lt;ProposalToGnatt[[#This Row],[Start Date]]+ProposalToGnatt[[#This Row],[Days]]),$G$5,"")),"")</f>
        <v/>
      </c>
      <c r="CB46" s="36" t="str">
        <f ca="1">IFERROR(+IF(CB$27=ProposalToGnatt[[#This Row],[Start Date]],Milestone_Marker,IF(AND(CB$27&gt;ProposalToGnatt[[#This Row],[Start Date]],CB$27&lt;ProposalToGnatt[[#This Row],[Start Date]]+ProposalToGnatt[[#This Row],[Days]]),$G$5,"")),"")</f>
        <v/>
      </c>
      <c r="CC46" s="36" t="str">
        <f ca="1">IFERROR(+IF(CC$27=ProposalToGnatt[[#This Row],[Start Date]],Milestone_Marker,IF(AND(CC$27&gt;ProposalToGnatt[[#This Row],[Start Date]],CC$27&lt;ProposalToGnatt[[#This Row],[Start Date]]+ProposalToGnatt[[#This Row],[Days]]),$G$5,"")),"")</f>
        <v/>
      </c>
      <c r="CD46" s="36" t="str">
        <f ca="1">IFERROR(+IF(CD$27=ProposalToGnatt[[#This Row],[Start Date]],Milestone_Marker,IF(AND(CD$27&gt;ProposalToGnatt[[#This Row],[Start Date]],CD$27&lt;ProposalToGnatt[[#This Row],[Start Date]]+ProposalToGnatt[[#This Row],[Days]]),$G$5,"")),"")</f>
        <v/>
      </c>
      <c r="CE46" s="36" t="str">
        <f ca="1">IFERROR(+IF(CE$27=ProposalToGnatt[[#This Row],[Start Date]],Milestone_Marker,IF(AND(CE$27&gt;ProposalToGnatt[[#This Row],[Start Date]],CE$27&lt;ProposalToGnatt[[#This Row],[Start Date]]+ProposalToGnatt[[#This Row],[Days]]),$G$5,"")),"")</f>
        <v/>
      </c>
      <c r="CF46" s="36" t="str">
        <f ca="1">IFERROR(+IF(CF$27=ProposalToGnatt[[#This Row],[Start Date]],Milestone_Marker,IF(AND(CF$27&gt;ProposalToGnatt[[#This Row],[Start Date]],CF$27&lt;ProposalToGnatt[[#This Row],[Start Date]]+ProposalToGnatt[[#This Row],[Days]]),$G$5,"")),"")</f>
        <v/>
      </c>
      <c r="CG46" s="36" t="str">
        <f ca="1">IFERROR(+IF(CG$27=ProposalToGnatt[[#This Row],[Start Date]],Milestone_Marker,IF(AND(CG$27&gt;ProposalToGnatt[[#This Row],[Start Date]],CG$27&lt;ProposalToGnatt[[#This Row],[Start Date]]+ProposalToGnatt[[#This Row],[Days]]),$G$5,"")),"")</f>
        <v/>
      </c>
      <c r="CH46" s="36" t="str">
        <f ca="1">IFERROR(+IF(CH$27=ProposalToGnatt[[#This Row],[Start Date]],Milestone_Marker,IF(AND(CH$27&gt;ProposalToGnatt[[#This Row],[Start Date]],CH$27&lt;ProposalToGnatt[[#This Row],[Start Date]]+ProposalToGnatt[[#This Row],[Days]]),$G$5,"")),"")</f>
        <v/>
      </c>
      <c r="CI46" s="36" t="str">
        <f ca="1">IFERROR(+IF(CI$27=ProposalToGnatt[[#This Row],[Start Date]],Milestone_Marker,IF(AND(CI$27&gt;ProposalToGnatt[[#This Row],[Start Date]],CI$27&lt;ProposalToGnatt[[#This Row],[Start Date]]+ProposalToGnatt[[#This Row],[Days]]),$G$5,"")),"")</f>
        <v/>
      </c>
      <c r="CJ46" s="36" t="str">
        <f ca="1">IFERROR(+IF(CJ$27=ProposalToGnatt[[#This Row],[Start Date]],Milestone_Marker,IF(AND(CJ$27&gt;ProposalToGnatt[[#This Row],[Start Date]],CJ$27&lt;ProposalToGnatt[[#This Row],[Start Date]]+ProposalToGnatt[[#This Row],[Days]]),$G$5,"")),"")</f>
        <v/>
      </c>
      <c r="CK46" s="36" t="str">
        <f ca="1">IFERROR(+IF(CK$27=ProposalToGnatt[[#This Row],[Start Date]],Milestone_Marker,IF(AND(CK$27&gt;ProposalToGnatt[[#This Row],[Start Date]],CK$27&lt;ProposalToGnatt[[#This Row],[Start Date]]+ProposalToGnatt[[#This Row],[Days]]),$G$5,"")),"")</f>
        <v/>
      </c>
      <c r="CL46" s="36" t="str">
        <f ca="1">IFERROR(+IF(CL$27=ProposalToGnatt[[#This Row],[Start Date]],Milestone_Marker,IF(AND(CL$27&gt;ProposalToGnatt[[#This Row],[Start Date]],CL$27&lt;ProposalToGnatt[[#This Row],[Start Date]]+ProposalToGnatt[[#This Row],[Days]]),$G$5,"")),"")</f>
        <v/>
      </c>
      <c r="CM46" s="36" t="str">
        <f ca="1">IFERROR(+IF(CM$27=ProposalToGnatt[[#This Row],[Start Date]],Milestone_Marker,IF(AND(CM$27&gt;ProposalToGnatt[[#This Row],[Start Date]],CM$27&lt;ProposalToGnatt[[#This Row],[Start Date]]+ProposalToGnatt[[#This Row],[Days]]),$G$5,"")),"")</f>
        <v/>
      </c>
      <c r="CN46" s="36" t="str">
        <f ca="1">IFERROR(+IF(CN$27=ProposalToGnatt[[#This Row],[Start Date]],Milestone_Marker,IF(AND(CN$27&gt;ProposalToGnatt[[#This Row],[Start Date]],CN$27&lt;ProposalToGnatt[[#This Row],[Start Date]]+ProposalToGnatt[[#This Row],[Days]]),$G$5,"")),"")</f>
        <v/>
      </c>
      <c r="CO46" s="36" t="str">
        <f ca="1">IFERROR(+IF(CO$27=ProposalToGnatt[[#This Row],[Start Date]],Milestone_Marker,IF(AND(CO$27&gt;ProposalToGnatt[[#This Row],[Start Date]],CO$27&lt;ProposalToGnatt[[#This Row],[Start Date]]+ProposalToGnatt[[#This Row],[Days]]),$G$5,"")),"")</f>
        <v/>
      </c>
      <c r="CP46" s="36" t="str">
        <f ca="1">IFERROR(+IF(CP$27=ProposalToGnatt[[#This Row],[Start Date]],Milestone_Marker,IF(AND(CP$27&gt;ProposalToGnatt[[#This Row],[Start Date]],CP$27&lt;ProposalToGnatt[[#This Row],[Start Date]]+ProposalToGnatt[[#This Row],[Days]]),$G$5,"")),"")</f>
        <v/>
      </c>
      <c r="CQ46" s="36" t="str">
        <f ca="1">IFERROR(+IF(CQ$27=ProposalToGnatt[[#This Row],[Start Date]],Milestone_Marker,IF(AND(CQ$27&gt;ProposalToGnatt[[#This Row],[Start Date]],CQ$27&lt;ProposalToGnatt[[#This Row],[Start Date]]+ProposalToGnatt[[#This Row],[Days]]),$G$5,"")),"")</f>
        <v/>
      </c>
      <c r="CR46" s="36" t="str">
        <f ca="1">IFERROR(+IF(CR$27=ProposalToGnatt[[#This Row],[Start Date]],Milestone_Marker,IF(AND(CR$27&gt;ProposalToGnatt[[#This Row],[Start Date]],CR$27&lt;ProposalToGnatt[[#This Row],[Start Date]]+ProposalToGnatt[[#This Row],[Days]]),$G$5,"")),"")</f>
        <v/>
      </c>
      <c r="CS46" s="36" t="str">
        <f ca="1">IFERROR(+IF(CS$27=ProposalToGnatt[[#This Row],[Start Date]],Milestone_Marker,IF(AND(CS$27&gt;ProposalToGnatt[[#This Row],[Start Date]],CS$27&lt;ProposalToGnatt[[#This Row],[Start Date]]+ProposalToGnatt[[#This Row],[Days]]),$G$5,"")),"")</f>
        <v/>
      </c>
      <c r="CT46" s="36" t="str">
        <f ca="1">IFERROR(+IF(CT$27=ProposalToGnatt[[#This Row],[Start Date]],Milestone_Marker,IF(AND(CT$27&gt;ProposalToGnatt[[#This Row],[Start Date]],CT$27&lt;ProposalToGnatt[[#This Row],[Start Date]]+ProposalToGnatt[[#This Row],[Days]]),$G$5,"")),"")</f>
        <v/>
      </c>
      <c r="CU46" s="36" t="str">
        <f ca="1">IFERROR(+IF(CU$27=ProposalToGnatt[[#This Row],[Start Date]],Milestone_Marker,IF(AND(CU$27&gt;ProposalToGnatt[[#This Row],[Start Date]],CU$27&lt;ProposalToGnatt[[#This Row],[Start Date]]+ProposalToGnatt[[#This Row],[Days]]),$G$5,"")),"")</f>
        <v/>
      </c>
      <c r="CV46" s="36"/>
      <c r="CW46" s="36"/>
      <c r="CX46" s="36"/>
      <c r="CY46" s="36"/>
      <c r="CZ46" s="36"/>
      <c r="DA46" s="36"/>
      <c r="DB46" s="36"/>
      <c r="DC46" s="36"/>
      <c r="DD46" s="36"/>
      <c r="DE46" s="36"/>
      <c r="DF46" s="36"/>
      <c r="DG46" s="36"/>
      <c r="DH46" s="36"/>
      <c r="DI46" s="36"/>
      <c r="DJ46" s="36"/>
      <c r="DK46" s="36"/>
      <c r="DL46" s="36"/>
      <c r="DM46" s="36"/>
      <c r="DN46" s="36"/>
      <c r="DO46" s="36"/>
      <c r="DP46" s="36"/>
      <c r="DQ46" s="36"/>
      <c r="DR46" s="36"/>
      <c r="DS46" s="36"/>
      <c r="DT46" s="36"/>
      <c r="DU46" s="36"/>
    </row>
    <row r="47" spans="1:125" s="41" customFormat="1" ht="15" x14ac:dyDescent="0.25">
      <c r="A47" t="s">
        <v>263</v>
      </c>
      <c r="B47">
        <v>20</v>
      </c>
      <c r="C47"/>
      <c r="D47"/>
      <c r="E47"/>
      <c r="F47"/>
      <c r="G47" s="14"/>
      <c r="H47" s="14"/>
      <c r="I47"/>
      <c r="J47"/>
      <c r="K47" s="246"/>
      <c r="L47"/>
      <c r="M47" s="14"/>
      <c r="N47" s="299"/>
      <c r="O47" s="281"/>
      <c r="P47" s="36" t="str">
        <f ca="1">IFERROR(+IF(P$27=ProposalToGnatt[[#This Row],[Start Date]],Milestone_Marker,IF(AND(P$27&gt;ProposalToGnatt[[#This Row],[Start Date]],P$27&lt;ProposalToGnatt[[#This Row],[Start Date]]+ProposalToGnatt[[#This Row],[Days]]),$G$5,"")),"")</f>
        <v/>
      </c>
      <c r="Q47" s="36" t="str">
        <f ca="1">IFERROR(+IF(Q$27=ProposalToGnatt[[#This Row],[Start Date]],Milestone_Marker,IF(AND(Q$27&gt;ProposalToGnatt[[#This Row],[Start Date]],Q$27&lt;ProposalToGnatt[[#This Row],[Start Date]]+ProposalToGnatt[[#This Row],[Days]]),$G$5,"")),"")</f>
        <v/>
      </c>
      <c r="R47" s="36" t="str">
        <f ca="1">IFERROR(+IF(R$27=ProposalToGnatt[[#This Row],[Start Date]],Milestone_Marker,IF(AND(R$27&gt;ProposalToGnatt[[#This Row],[Start Date]],R$27&lt;ProposalToGnatt[[#This Row],[Start Date]]+ProposalToGnatt[[#This Row],[Days]]),$G$5,"")),"")</f>
        <v/>
      </c>
      <c r="S47" s="36" t="str">
        <f ca="1">IFERROR(+IF(S$27=ProposalToGnatt[[#This Row],[Start Date]],Milestone_Marker,IF(AND(S$27&gt;ProposalToGnatt[[#This Row],[Start Date]],S$27&lt;ProposalToGnatt[[#This Row],[Start Date]]+ProposalToGnatt[[#This Row],[Days]]),$G$5,"")),"")</f>
        <v/>
      </c>
      <c r="T47" s="36" t="str">
        <f ca="1">IFERROR(+IF(T$27=ProposalToGnatt[[#This Row],[Start Date]],Milestone_Marker,IF(AND(T$27&gt;ProposalToGnatt[[#This Row],[Start Date]],T$27&lt;ProposalToGnatt[[#This Row],[Start Date]]+ProposalToGnatt[[#This Row],[Days]]),$G$5,"")),"")</f>
        <v/>
      </c>
      <c r="U47" s="36" t="str">
        <f ca="1">IFERROR(+IF(U$27=ProposalToGnatt[[#This Row],[Start Date]],Milestone_Marker,IF(AND(U$27&gt;ProposalToGnatt[[#This Row],[Start Date]],U$27&lt;ProposalToGnatt[[#This Row],[Start Date]]+ProposalToGnatt[[#This Row],[Days]]),$G$5,"")),"")</f>
        <v/>
      </c>
      <c r="V47" s="36" t="str">
        <f ca="1">IFERROR(+IF(V$27=ProposalToGnatt[[#This Row],[Start Date]],Milestone_Marker,IF(AND(V$27&gt;ProposalToGnatt[[#This Row],[Start Date]],V$27&lt;ProposalToGnatt[[#This Row],[Start Date]]+ProposalToGnatt[[#This Row],[Days]]),$G$5,"")),"")</f>
        <v/>
      </c>
      <c r="W47" s="36" t="str">
        <f ca="1">IFERROR(+IF(W$27=ProposalToGnatt[[#This Row],[Start Date]],Milestone_Marker,IF(AND(W$27&gt;ProposalToGnatt[[#This Row],[Start Date]],W$27&lt;ProposalToGnatt[[#This Row],[Start Date]]+ProposalToGnatt[[#This Row],[Days]]),$G$5,"")),"")</f>
        <v/>
      </c>
      <c r="X47" s="36" t="str">
        <f ca="1">IFERROR(+IF(X$27=ProposalToGnatt[[#This Row],[Start Date]],Milestone_Marker,IF(AND(X$27&gt;ProposalToGnatt[[#This Row],[Start Date]],X$27&lt;ProposalToGnatt[[#This Row],[Start Date]]+ProposalToGnatt[[#This Row],[Days]]),$G$5,"")),"")</f>
        <v/>
      </c>
      <c r="Y47" s="36" t="str">
        <f ca="1">IFERROR(+IF(Y$27=ProposalToGnatt[[#This Row],[Start Date]],Milestone_Marker,IF(AND(Y$27&gt;ProposalToGnatt[[#This Row],[Start Date]],Y$27&lt;ProposalToGnatt[[#This Row],[Start Date]]+ProposalToGnatt[[#This Row],[Days]]),$G$5,"")),"")</f>
        <v/>
      </c>
      <c r="Z47" s="36" t="str">
        <f ca="1">IFERROR(+IF(Z$27=ProposalToGnatt[[#This Row],[Start Date]],Milestone_Marker,IF(AND(Z$27&gt;ProposalToGnatt[[#This Row],[Start Date]],Z$27&lt;ProposalToGnatt[[#This Row],[Start Date]]+ProposalToGnatt[[#This Row],[Days]]),$G$5,"")),"")</f>
        <v/>
      </c>
      <c r="AA47" s="36" t="str">
        <f ca="1">IFERROR(+IF(AA$27=ProposalToGnatt[[#This Row],[Start Date]],Milestone_Marker,IF(AND(AA$27&gt;ProposalToGnatt[[#This Row],[Start Date]],AA$27&lt;ProposalToGnatt[[#This Row],[Start Date]]+ProposalToGnatt[[#This Row],[Days]]),$G$5,"")),"")</f>
        <v/>
      </c>
      <c r="AB47" s="36" t="str">
        <f ca="1">IFERROR(+IF(AB$27=ProposalToGnatt[[#This Row],[Start Date]],Milestone_Marker,IF(AND(AB$27&gt;ProposalToGnatt[[#This Row],[Start Date]],AB$27&lt;ProposalToGnatt[[#This Row],[Start Date]]+ProposalToGnatt[[#This Row],[Days]]),$G$5,"")),"")</f>
        <v/>
      </c>
      <c r="AC47" s="36" t="str">
        <f ca="1">IFERROR(+IF(AC$27=ProposalToGnatt[[#This Row],[Start Date]],Milestone_Marker,IF(AND(AC$27&gt;ProposalToGnatt[[#This Row],[Start Date]],AC$27&lt;ProposalToGnatt[[#This Row],[Start Date]]+ProposalToGnatt[[#This Row],[Days]]),$G$5,"")),"")</f>
        <v/>
      </c>
      <c r="AD47" s="36" t="str">
        <f ca="1">IFERROR(+IF(AD$27=ProposalToGnatt[[#This Row],[Start Date]],Milestone_Marker,IF(AND(AD$27&gt;ProposalToGnatt[[#This Row],[Start Date]],AD$27&lt;ProposalToGnatt[[#This Row],[Start Date]]+ProposalToGnatt[[#This Row],[Days]]),$G$5,"")),"")</f>
        <v/>
      </c>
      <c r="AE47" s="36" t="str">
        <f ca="1">IFERROR(+IF(AE$27=ProposalToGnatt[[#This Row],[Start Date]],Milestone_Marker,IF(AND(AE$27&gt;ProposalToGnatt[[#This Row],[Start Date]],AE$27&lt;ProposalToGnatt[[#This Row],[Start Date]]+ProposalToGnatt[[#This Row],[Days]]),$G$5,"")),"")</f>
        <v/>
      </c>
      <c r="AF47" s="36" t="str">
        <f ca="1">IFERROR(+IF(AF$27=ProposalToGnatt[[#This Row],[Start Date]],Milestone_Marker,IF(AND(AF$27&gt;ProposalToGnatt[[#This Row],[Start Date]],AF$27&lt;ProposalToGnatt[[#This Row],[Start Date]]+ProposalToGnatt[[#This Row],[Days]]),$G$5,"")),"")</f>
        <v/>
      </c>
      <c r="AG47" s="36" t="str">
        <f ca="1">IFERROR(+IF(AG$27=ProposalToGnatt[[#This Row],[Start Date]],Milestone_Marker,IF(AND(AG$27&gt;ProposalToGnatt[[#This Row],[Start Date]],AG$27&lt;ProposalToGnatt[[#This Row],[Start Date]]+ProposalToGnatt[[#This Row],[Days]]),$G$5,"")),"")</f>
        <v/>
      </c>
      <c r="AH47" s="36" t="str">
        <f ca="1">IFERROR(+IF(AH$27=ProposalToGnatt[[#This Row],[Start Date]],Milestone_Marker,IF(AND(AH$27&gt;ProposalToGnatt[[#This Row],[Start Date]],AH$27&lt;ProposalToGnatt[[#This Row],[Start Date]]+ProposalToGnatt[[#This Row],[Days]]),$G$5,"")),"")</f>
        <v/>
      </c>
      <c r="AI47" s="36" t="str">
        <f ca="1">IFERROR(+IF(AI$27=ProposalToGnatt[[#This Row],[Start Date]],Milestone_Marker,IF(AND(AI$27&gt;ProposalToGnatt[[#This Row],[Start Date]],AI$27&lt;ProposalToGnatt[[#This Row],[Start Date]]+ProposalToGnatt[[#This Row],[Days]]),$G$5,"")),"")</f>
        <v/>
      </c>
      <c r="AJ47" s="36" t="str">
        <f ca="1">IFERROR(+IF(AJ$27=ProposalToGnatt[[#This Row],[Start Date]],Milestone_Marker,IF(AND(AJ$27&gt;ProposalToGnatt[[#This Row],[Start Date]],AJ$27&lt;ProposalToGnatt[[#This Row],[Start Date]]+ProposalToGnatt[[#This Row],[Days]]),$G$5,"")),"")</f>
        <v/>
      </c>
      <c r="AK47" s="36" t="str">
        <f ca="1">IFERROR(+IF(AK$27=ProposalToGnatt[[#This Row],[Start Date]],Milestone_Marker,IF(AND(AK$27&gt;ProposalToGnatt[[#This Row],[Start Date]],AK$27&lt;ProposalToGnatt[[#This Row],[Start Date]]+ProposalToGnatt[[#This Row],[Days]]),$G$5,"")),"")</f>
        <v/>
      </c>
      <c r="AL47" s="36" t="str">
        <f ca="1">IFERROR(+IF(AL$27=ProposalToGnatt[[#This Row],[Start Date]],Milestone_Marker,IF(AND(AL$27&gt;ProposalToGnatt[[#This Row],[Start Date]],AL$27&lt;ProposalToGnatt[[#This Row],[Start Date]]+ProposalToGnatt[[#This Row],[Days]]),$G$5,"")),"")</f>
        <v/>
      </c>
      <c r="AM47" s="36" t="str">
        <f ca="1">IFERROR(+IF(AM$27=ProposalToGnatt[[#This Row],[Start Date]],Milestone_Marker,IF(AND(AM$27&gt;ProposalToGnatt[[#This Row],[Start Date]],AM$27&lt;ProposalToGnatt[[#This Row],[Start Date]]+ProposalToGnatt[[#This Row],[Days]]),$G$5,"")),"")</f>
        <v/>
      </c>
      <c r="AN47" s="36" t="str">
        <f ca="1">IFERROR(+IF(AN$27=ProposalToGnatt[[#This Row],[Start Date]],Milestone_Marker,IF(AND(AN$27&gt;ProposalToGnatt[[#This Row],[Start Date]],AN$27&lt;ProposalToGnatt[[#This Row],[Start Date]]+ProposalToGnatt[[#This Row],[Days]]),$G$5,"")),"")</f>
        <v/>
      </c>
      <c r="AO47" s="36" t="str">
        <f ca="1">IFERROR(+IF(AO$27=ProposalToGnatt[[#This Row],[Start Date]],Milestone_Marker,IF(AND(AO$27&gt;ProposalToGnatt[[#This Row],[Start Date]],AO$27&lt;ProposalToGnatt[[#This Row],[Start Date]]+ProposalToGnatt[[#This Row],[Days]]),$G$5,"")),"")</f>
        <v/>
      </c>
      <c r="AP47" s="36" t="str">
        <f ca="1">IFERROR(+IF(AP$27=ProposalToGnatt[[#This Row],[Start Date]],Milestone_Marker,IF(AND(AP$27&gt;ProposalToGnatt[[#This Row],[Start Date]],AP$27&lt;ProposalToGnatt[[#This Row],[Start Date]]+ProposalToGnatt[[#This Row],[Days]]),$G$5,"")),"")</f>
        <v/>
      </c>
      <c r="AQ47" s="36" t="str">
        <f ca="1">IFERROR(+IF(AQ$27=ProposalToGnatt[[#This Row],[Start Date]],Milestone_Marker,IF(AND(AQ$27&gt;ProposalToGnatt[[#This Row],[Start Date]],AQ$27&lt;ProposalToGnatt[[#This Row],[Start Date]]+ProposalToGnatt[[#This Row],[Days]]),$G$5,"")),"")</f>
        <v/>
      </c>
      <c r="AR47" s="36" t="str">
        <f ca="1">IFERROR(+IF(AR$27=ProposalToGnatt[[#This Row],[Start Date]],Milestone_Marker,IF(AND(AR$27&gt;ProposalToGnatt[[#This Row],[Start Date]],AR$27&lt;ProposalToGnatt[[#This Row],[Start Date]]+ProposalToGnatt[[#This Row],[Days]]),$G$5,"")),"")</f>
        <v/>
      </c>
      <c r="AS47" s="36" t="str">
        <f ca="1">IFERROR(+IF(AS$27=ProposalToGnatt[[#This Row],[Start Date]],Milestone_Marker,IF(AND(AS$27&gt;ProposalToGnatt[[#This Row],[Start Date]],AS$27&lt;ProposalToGnatt[[#This Row],[Start Date]]+ProposalToGnatt[[#This Row],[Days]]),$G$5,"")),"")</f>
        <v/>
      </c>
      <c r="AT47" s="36" t="str">
        <f ca="1">IFERROR(+IF(AT$27=ProposalToGnatt[[#This Row],[Start Date]],Milestone_Marker,IF(AND(AT$27&gt;ProposalToGnatt[[#This Row],[Start Date]],AT$27&lt;ProposalToGnatt[[#This Row],[Start Date]]+ProposalToGnatt[[#This Row],[Days]]),$G$5,"")),"")</f>
        <v/>
      </c>
      <c r="AU47" s="36" t="str">
        <f ca="1">IFERROR(+IF(AU$27=ProposalToGnatt[[#This Row],[Start Date]],Milestone_Marker,IF(AND(AU$27&gt;ProposalToGnatt[[#This Row],[Start Date]],AU$27&lt;ProposalToGnatt[[#This Row],[Start Date]]+ProposalToGnatt[[#This Row],[Days]]),$G$5,"")),"")</f>
        <v/>
      </c>
      <c r="AV47" s="36" t="str">
        <f ca="1">IFERROR(+IF(AV$27=ProposalToGnatt[[#This Row],[Start Date]],Milestone_Marker,IF(AND(AV$27&gt;ProposalToGnatt[[#This Row],[Start Date]],AV$27&lt;ProposalToGnatt[[#This Row],[Start Date]]+ProposalToGnatt[[#This Row],[Days]]),$G$5,"")),"")</f>
        <v/>
      </c>
      <c r="AW47" s="36" t="str">
        <f ca="1">IFERROR(+IF(AW$27=ProposalToGnatt[[#This Row],[Start Date]],Milestone_Marker,IF(AND(AW$27&gt;ProposalToGnatt[[#This Row],[Start Date]],AW$27&lt;ProposalToGnatt[[#This Row],[Start Date]]+ProposalToGnatt[[#This Row],[Days]]),$G$5,"")),"")</f>
        <v/>
      </c>
      <c r="AX47" s="36" t="str">
        <f ca="1">IFERROR(+IF(AX$27=ProposalToGnatt[[#This Row],[Start Date]],Milestone_Marker,IF(AND(AX$27&gt;ProposalToGnatt[[#This Row],[Start Date]],AX$27&lt;ProposalToGnatt[[#This Row],[Start Date]]+ProposalToGnatt[[#This Row],[Days]]),$G$5,"")),"")</f>
        <v/>
      </c>
      <c r="AY47" s="36" t="str">
        <f ca="1">IFERROR(+IF(AY$27=ProposalToGnatt[[#This Row],[Start Date]],Milestone_Marker,IF(AND(AY$27&gt;ProposalToGnatt[[#This Row],[Start Date]],AY$27&lt;ProposalToGnatt[[#This Row],[Start Date]]+ProposalToGnatt[[#This Row],[Days]]),$G$5,"")),"")</f>
        <v/>
      </c>
      <c r="AZ47" s="36" t="str">
        <f ca="1">IFERROR(+IF(AZ$27=ProposalToGnatt[[#This Row],[Start Date]],Milestone_Marker,IF(AND(AZ$27&gt;ProposalToGnatt[[#This Row],[Start Date]],AZ$27&lt;ProposalToGnatt[[#This Row],[Start Date]]+ProposalToGnatt[[#This Row],[Days]]),$G$5,"")),"")</f>
        <v/>
      </c>
      <c r="BA47" s="36" t="str">
        <f ca="1">IFERROR(+IF(BA$27=ProposalToGnatt[[#This Row],[Start Date]],Milestone_Marker,IF(AND(BA$27&gt;ProposalToGnatt[[#This Row],[Start Date]],BA$27&lt;ProposalToGnatt[[#This Row],[Start Date]]+ProposalToGnatt[[#This Row],[Days]]),$G$5,"")),"")</f>
        <v/>
      </c>
      <c r="BB47" s="36" t="str">
        <f ca="1">IFERROR(+IF(BB$27=ProposalToGnatt[[#This Row],[Start Date]],Milestone_Marker,IF(AND(BB$27&gt;ProposalToGnatt[[#This Row],[Start Date]],BB$27&lt;ProposalToGnatt[[#This Row],[Start Date]]+ProposalToGnatt[[#This Row],[Days]]),$G$5,"")),"")</f>
        <v/>
      </c>
      <c r="BC47" s="36" t="str">
        <f ca="1">IFERROR(+IF(BC$27=ProposalToGnatt[[#This Row],[Start Date]],Milestone_Marker,IF(AND(BC$27&gt;ProposalToGnatt[[#This Row],[Start Date]],BC$27&lt;ProposalToGnatt[[#This Row],[Start Date]]+ProposalToGnatt[[#This Row],[Days]]),$G$5,"")),"")</f>
        <v/>
      </c>
      <c r="BD47" s="36" t="str">
        <f ca="1">IFERROR(+IF(BD$27=ProposalToGnatt[[#This Row],[Start Date]],Milestone_Marker,IF(AND(BD$27&gt;ProposalToGnatt[[#This Row],[Start Date]],BD$27&lt;ProposalToGnatt[[#This Row],[Start Date]]+ProposalToGnatt[[#This Row],[Days]]),$G$5,"")),"")</f>
        <v/>
      </c>
      <c r="BE47" s="36" t="str">
        <f ca="1">IFERROR(+IF(BE$27=ProposalToGnatt[[#This Row],[Start Date]],Milestone_Marker,IF(AND(BE$27&gt;ProposalToGnatt[[#This Row],[Start Date]],BE$27&lt;ProposalToGnatt[[#This Row],[Start Date]]+ProposalToGnatt[[#This Row],[Days]]),$G$5,"")),"")</f>
        <v/>
      </c>
      <c r="BF47" s="36" t="str">
        <f ca="1">IFERROR(+IF(BF$27=ProposalToGnatt[[#This Row],[Start Date]],Milestone_Marker,IF(AND(BF$27&gt;ProposalToGnatt[[#This Row],[Start Date]],BF$27&lt;ProposalToGnatt[[#This Row],[Start Date]]+ProposalToGnatt[[#This Row],[Days]]),$G$5,"")),"")</f>
        <v/>
      </c>
      <c r="BG47" s="36" t="str">
        <f ca="1">IFERROR(+IF(BG$27=ProposalToGnatt[[#This Row],[Start Date]],Milestone_Marker,IF(AND(BG$27&gt;ProposalToGnatt[[#This Row],[Start Date]],BG$27&lt;ProposalToGnatt[[#This Row],[Start Date]]+ProposalToGnatt[[#This Row],[Days]]),$G$5,"")),"")</f>
        <v/>
      </c>
      <c r="BH47" s="36" t="str">
        <f ca="1">IFERROR(+IF(BH$27=ProposalToGnatt[[#This Row],[Start Date]],Milestone_Marker,IF(AND(BH$27&gt;ProposalToGnatt[[#This Row],[Start Date]],BH$27&lt;ProposalToGnatt[[#This Row],[Start Date]]+ProposalToGnatt[[#This Row],[Days]]),$G$5,"")),"")</f>
        <v/>
      </c>
      <c r="BI47" s="36" t="str">
        <f ca="1">IFERROR(+IF(BI$27=ProposalToGnatt[[#This Row],[Start Date]],Milestone_Marker,IF(AND(BI$27&gt;ProposalToGnatt[[#This Row],[Start Date]],BI$27&lt;ProposalToGnatt[[#This Row],[Start Date]]+ProposalToGnatt[[#This Row],[Days]]),$G$5,"")),"")</f>
        <v/>
      </c>
      <c r="BJ47" s="36" t="str">
        <f ca="1">IFERROR(+IF(BJ$27=ProposalToGnatt[[#This Row],[Start Date]],Milestone_Marker,IF(AND(BJ$27&gt;ProposalToGnatt[[#This Row],[Start Date]],BJ$27&lt;ProposalToGnatt[[#This Row],[Start Date]]+ProposalToGnatt[[#This Row],[Days]]),$G$5,"")),"")</f>
        <v/>
      </c>
      <c r="BK47" s="36" t="str">
        <f ca="1">IFERROR(+IF(BK$27=ProposalToGnatt[[#This Row],[Start Date]],Milestone_Marker,IF(AND(BK$27&gt;ProposalToGnatt[[#This Row],[Start Date]],BK$27&lt;ProposalToGnatt[[#This Row],[Start Date]]+ProposalToGnatt[[#This Row],[Days]]),$G$5,"")),"")</f>
        <v/>
      </c>
      <c r="BL47" s="36" t="str">
        <f ca="1">IFERROR(+IF(BL$27=ProposalToGnatt[[#This Row],[Start Date]],Milestone_Marker,IF(AND(BL$27&gt;ProposalToGnatt[[#This Row],[Start Date]],BL$27&lt;ProposalToGnatt[[#This Row],[Start Date]]+ProposalToGnatt[[#This Row],[Days]]),$G$5,"")),"")</f>
        <v/>
      </c>
      <c r="BM47" s="36" t="str">
        <f ca="1">IFERROR(+IF(BM$27=ProposalToGnatt[[#This Row],[Start Date]],Milestone_Marker,IF(AND(BM$27&gt;ProposalToGnatt[[#This Row],[Start Date]],BM$27&lt;ProposalToGnatt[[#This Row],[Start Date]]+ProposalToGnatt[[#This Row],[Days]]),$G$5,"")),"")</f>
        <v/>
      </c>
      <c r="BN47" s="36" t="str">
        <f ca="1">IFERROR(+IF(BN$27=ProposalToGnatt[[#This Row],[Start Date]],Milestone_Marker,IF(AND(BN$27&gt;ProposalToGnatt[[#This Row],[Start Date]],BN$27&lt;ProposalToGnatt[[#This Row],[Start Date]]+ProposalToGnatt[[#This Row],[Days]]),$G$5,"")),"")</f>
        <v/>
      </c>
      <c r="BO47" s="36" t="str">
        <f ca="1">IFERROR(+IF(BO$27=ProposalToGnatt[[#This Row],[Start Date]],Milestone_Marker,IF(AND(BO$27&gt;ProposalToGnatt[[#This Row],[Start Date]],BO$27&lt;ProposalToGnatt[[#This Row],[Start Date]]+ProposalToGnatt[[#This Row],[Days]]),$G$5,"")),"")</f>
        <v/>
      </c>
      <c r="BP47" s="36" t="str">
        <f ca="1">IFERROR(+IF(BP$27=ProposalToGnatt[[#This Row],[Start Date]],Milestone_Marker,IF(AND(BP$27&gt;ProposalToGnatt[[#This Row],[Start Date]],BP$27&lt;ProposalToGnatt[[#This Row],[Start Date]]+ProposalToGnatt[[#This Row],[Days]]),$G$5,"")),"")</f>
        <v/>
      </c>
      <c r="BQ47" s="36" t="str">
        <f ca="1">IFERROR(+IF(BQ$27=ProposalToGnatt[[#This Row],[Start Date]],Milestone_Marker,IF(AND(BQ$27&gt;ProposalToGnatt[[#This Row],[Start Date]],BQ$27&lt;ProposalToGnatt[[#This Row],[Start Date]]+ProposalToGnatt[[#This Row],[Days]]),$G$5,"")),"")</f>
        <v/>
      </c>
      <c r="BR47" s="36" t="str">
        <f ca="1">IFERROR(+IF(BR$27=ProposalToGnatt[[#This Row],[Start Date]],Milestone_Marker,IF(AND(BR$27&gt;ProposalToGnatt[[#This Row],[Start Date]],BR$27&lt;ProposalToGnatt[[#This Row],[Start Date]]+ProposalToGnatt[[#This Row],[Days]]),$G$5,"")),"")</f>
        <v/>
      </c>
      <c r="BS47" s="36" t="str">
        <f ca="1">IFERROR(+IF(BS$27=ProposalToGnatt[[#This Row],[Start Date]],Milestone_Marker,IF(AND(BS$27&gt;ProposalToGnatt[[#This Row],[Start Date]],BS$27&lt;ProposalToGnatt[[#This Row],[Start Date]]+ProposalToGnatt[[#This Row],[Days]]),$G$5,"")),"")</f>
        <v/>
      </c>
      <c r="BT47" s="36" t="str">
        <f ca="1">IFERROR(+IF(BT$27=ProposalToGnatt[[#This Row],[Start Date]],Milestone_Marker,IF(AND(BT$27&gt;ProposalToGnatt[[#This Row],[Start Date]],BT$27&lt;ProposalToGnatt[[#This Row],[Start Date]]+ProposalToGnatt[[#This Row],[Days]]),$G$5,"")),"")</f>
        <v/>
      </c>
      <c r="BU47" s="36" t="str">
        <f ca="1">IFERROR(+IF(BU$27=ProposalToGnatt[[#This Row],[Start Date]],Milestone_Marker,IF(AND(BU$27&gt;ProposalToGnatt[[#This Row],[Start Date]],BU$27&lt;ProposalToGnatt[[#This Row],[Start Date]]+ProposalToGnatt[[#This Row],[Days]]),$G$5,"")),"")</f>
        <v/>
      </c>
      <c r="BV47" s="36" t="str">
        <f ca="1">IFERROR(+IF(BV$27=ProposalToGnatt[[#This Row],[Start Date]],Milestone_Marker,IF(AND(BV$27&gt;ProposalToGnatt[[#This Row],[Start Date]],BV$27&lt;ProposalToGnatt[[#This Row],[Start Date]]+ProposalToGnatt[[#This Row],[Days]]),$G$5,"")),"")</f>
        <v/>
      </c>
      <c r="BW47" s="36" t="str">
        <f ca="1">IFERROR(+IF(BW$27=ProposalToGnatt[[#This Row],[Start Date]],Milestone_Marker,IF(AND(BW$27&gt;ProposalToGnatt[[#This Row],[Start Date]],BW$27&lt;ProposalToGnatt[[#This Row],[Start Date]]+ProposalToGnatt[[#This Row],[Days]]),$G$5,"")),"")</f>
        <v/>
      </c>
      <c r="BX47" s="36" t="str">
        <f ca="1">IFERROR(+IF(BX$27=ProposalToGnatt[[#This Row],[Start Date]],Milestone_Marker,IF(AND(BX$27&gt;ProposalToGnatt[[#This Row],[Start Date]],BX$27&lt;ProposalToGnatt[[#This Row],[Start Date]]+ProposalToGnatt[[#This Row],[Days]]),$G$5,"")),"")</f>
        <v/>
      </c>
      <c r="BY47" s="36" t="str">
        <f ca="1">IFERROR(+IF(BY$27=ProposalToGnatt[[#This Row],[Start Date]],Milestone_Marker,IF(AND(BY$27&gt;ProposalToGnatt[[#This Row],[Start Date]],BY$27&lt;ProposalToGnatt[[#This Row],[Start Date]]+ProposalToGnatt[[#This Row],[Days]]),$G$5,"")),"")</f>
        <v/>
      </c>
      <c r="BZ47" s="36" t="str">
        <f ca="1">IFERROR(+IF(BZ$27=ProposalToGnatt[[#This Row],[Start Date]],Milestone_Marker,IF(AND(BZ$27&gt;ProposalToGnatt[[#This Row],[Start Date]],BZ$27&lt;ProposalToGnatt[[#This Row],[Start Date]]+ProposalToGnatt[[#This Row],[Days]]),$G$5,"")),"")</f>
        <v/>
      </c>
      <c r="CA47" s="36" t="str">
        <f ca="1">IFERROR(+IF(CA$27=ProposalToGnatt[[#This Row],[Start Date]],Milestone_Marker,IF(AND(CA$27&gt;ProposalToGnatt[[#This Row],[Start Date]],CA$27&lt;ProposalToGnatt[[#This Row],[Start Date]]+ProposalToGnatt[[#This Row],[Days]]),$G$5,"")),"")</f>
        <v/>
      </c>
      <c r="CB47" s="36" t="str">
        <f ca="1">IFERROR(+IF(CB$27=ProposalToGnatt[[#This Row],[Start Date]],Milestone_Marker,IF(AND(CB$27&gt;ProposalToGnatt[[#This Row],[Start Date]],CB$27&lt;ProposalToGnatt[[#This Row],[Start Date]]+ProposalToGnatt[[#This Row],[Days]]),$G$5,"")),"")</f>
        <v/>
      </c>
      <c r="CC47" s="36" t="str">
        <f ca="1">IFERROR(+IF(CC$27=ProposalToGnatt[[#This Row],[Start Date]],Milestone_Marker,IF(AND(CC$27&gt;ProposalToGnatt[[#This Row],[Start Date]],CC$27&lt;ProposalToGnatt[[#This Row],[Start Date]]+ProposalToGnatt[[#This Row],[Days]]),$G$5,"")),"")</f>
        <v/>
      </c>
      <c r="CD47" s="36" t="str">
        <f ca="1">IFERROR(+IF(CD$27=ProposalToGnatt[[#This Row],[Start Date]],Milestone_Marker,IF(AND(CD$27&gt;ProposalToGnatt[[#This Row],[Start Date]],CD$27&lt;ProposalToGnatt[[#This Row],[Start Date]]+ProposalToGnatt[[#This Row],[Days]]),$G$5,"")),"")</f>
        <v/>
      </c>
      <c r="CE47" s="36" t="str">
        <f ca="1">IFERROR(+IF(CE$27=ProposalToGnatt[[#This Row],[Start Date]],Milestone_Marker,IF(AND(CE$27&gt;ProposalToGnatt[[#This Row],[Start Date]],CE$27&lt;ProposalToGnatt[[#This Row],[Start Date]]+ProposalToGnatt[[#This Row],[Days]]),$G$5,"")),"")</f>
        <v/>
      </c>
      <c r="CF47" s="36" t="str">
        <f ca="1">IFERROR(+IF(CF$27=ProposalToGnatt[[#This Row],[Start Date]],Milestone_Marker,IF(AND(CF$27&gt;ProposalToGnatt[[#This Row],[Start Date]],CF$27&lt;ProposalToGnatt[[#This Row],[Start Date]]+ProposalToGnatt[[#This Row],[Days]]),$G$5,"")),"")</f>
        <v/>
      </c>
      <c r="CG47" s="36" t="str">
        <f ca="1">IFERROR(+IF(CG$27=ProposalToGnatt[[#This Row],[Start Date]],Milestone_Marker,IF(AND(CG$27&gt;ProposalToGnatt[[#This Row],[Start Date]],CG$27&lt;ProposalToGnatt[[#This Row],[Start Date]]+ProposalToGnatt[[#This Row],[Days]]),$G$5,"")),"")</f>
        <v/>
      </c>
      <c r="CH47" s="36" t="str">
        <f ca="1">IFERROR(+IF(CH$27=ProposalToGnatt[[#This Row],[Start Date]],Milestone_Marker,IF(AND(CH$27&gt;ProposalToGnatt[[#This Row],[Start Date]],CH$27&lt;ProposalToGnatt[[#This Row],[Start Date]]+ProposalToGnatt[[#This Row],[Days]]),$G$5,"")),"")</f>
        <v/>
      </c>
      <c r="CI47" s="36" t="str">
        <f ca="1">IFERROR(+IF(CI$27=ProposalToGnatt[[#This Row],[Start Date]],Milestone_Marker,IF(AND(CI$27&gt;ProposalToGnatt[[#This Row],[Start Date]],CI$27&lt;ProposalToGnatt[[#This Row],[Start Date]]+ProposalToGnatt[[#This Row],[Days]]),$G$5,"")),"")</f>
        <v/>
      </c>
      <c r="CJ47" s="36" t="str">
        <f ca="1">IFERROR(+IF(CJ$27=ProposalToGnatt[[#This Row],[Start Date]],Milestone_Marker,IF(AND(CJ$27&gt;ProposalToGnatt[[#This Row],[Start Date]],CJ$27&lt;ProposalToGnatt[[#This Row],[Start Date]]+ProposalToGnatt[[#This Row],[Days]]),$G$5,"")),"")</f>
        <v/>
      </c>
      <c r="CK47" s="36" t="str">
        <f ca="1">IFERROR(+IF(CK$27=ProposalToGnatt[[#This Row],[Start Date]],Milestone_Marker,IF(AND(CK$27&gt;ProposalToGnatt[[#This Row],[Start Date]],CK$27&lt;ProposalToGnatt[[#This Row],[Start Date]]+ProposalToGnatt[[#This Row],[Days]]),$G$5,"")),"")</f>
        <v/>
      </c>
      <c r="CL47" s="36" t="str">
        <f ca="1">IFERROR(+IF(CL$27=ProposalToGnatt[[#This Row],[Start Date]],Milestone_Marker,IF(AND(CL$27&gt;ProposalToGnatt[[#This Row],[Start Date]],CL$27&lt;ProposalToGnatt[[#This Row],[Start Date]]+ProposalToGnatt[[#This Row],[Days]]),$G$5,"")),"")</f>
        <v/>
      </c>
      <c r="CM47" s="36" t="str">
        <f ca="1">IFERROR(+IF(CM$27=ProposalToGnatt[[#This Row],[Start Date]],Milestone_Marker,IF(AND(CM$27&gt;ProposalToGnatt[[#This Row],[Start Date]],CM$27&lt;ProposalToGnatt[[#This Row],[Start Date]]+ProposalToGnatt[[#This Row],[Days]]),$G$5,"")),"")</f>
        <v/>
      </c>
      <c r="CN47" s="36" t="str">
        <f ca="1">IFERROR(+IF(CN$27=ProposalToGnatt[[#This Row],[Start Date]],Milestone_Marker,IF(AND(CN$27&gt;ProposalToGnatt[[#This Row],[Start Date]],CN$27&lt;ProposalToGnatt[[#This Row],[Start Date]]+ProposalToGnatt[[#This Row],[Days]]),$G$5,"")),"")</f>
        <v/>
      </c>
      <c r="CO47" s="36" t="str">
        <f ca="1">IFERROR(+IF(CO$27=ProposalToGnatt[[#This Row],[Start Date]],Milestone_Marker,IF(AND(CO$27&gt;ProposalToGnatt[[#This Row],[Start Date]],CO$27&lt;ProposalToGnatt[[#This Row],[Start Date]]+ProposalToGnatt[[#This Row],[Days]]),$G$5,"")),"")</f>
        <v/>
      </c>
      <c r="CP47" s="36" t="str">
        <f ca="1">IFERROR(+IF(CP$27=ProposalToGnatt[[#This Row],[Start Date]],Milestone_Marker,IF(AND(CP$27&gt;ProposalToGnatt[[#This Row],[Start Date]],CP$27&lt;ProposalToGnatt[[#This Row],[Start Date]]+ProposalToGnatt[[#This Row],[Days]]),$G$5,"")),"")</f>
        <v/>
      </c>
      <c r="CQ47" s="36" t="str">
        <f ca="1">IFERROR(+IF(CQ$27=ProposalToGnatt[[#This Row],[Start Date]],Milestone_Marker,IF(AND(CQ$27&gt;ProposalToGnatt[[#This Row],[Start Date]],CQ$27&lt;ProposalToGnatt[[#This Row],[Start Date]]+ProposalToGnatt[[#This Row],[Days]]),$G$5,"")),"")</f>
        <v/>
      </c>
      <c r="CR47" s="36" t="str">
        <f ca="1">IFERROR(+IF(CR$27=ProposalToGnatt[[#This Row],[Start Date]],Milestone_Marker,IF(AND(CR$27&gt;ProposalToGnatt[[#This Row],[Start Date]],CR$27&lt;ProposalToGnatt[[#This Row],[Start Date]]+ProposalToGnatt[[#This Row],[Days]]),$G$5,"")),"")</f>
        <v/>
      </c>
      <c r="CS47" s="36" t="str">
        <f ca="1">IFERROR(+IF(CS$27=ProposalToGnatt[[#This Row],[Start Date]],Milestone_Marker,IF(AND(CS$27&gt;ProposalToGnatt[[#This Row],[Start Date]],CS$27&lt;ProposalToGnatt[[#This Row],[Start Date]]+ProposalToGnatt[[#This Row],[Days]]),$G$5,"")),"")</f>
        <v/>
      </c>
      <c r="CT47" s="36" t="str">
        <f ca="1">IFERROR(+IF(CT$27=ProposalToGnatt[[#This Row],[Start Date]],Milestone_Marker,IF(AND(CT$27&gt;ProposalToGnatt[[#This Row],[Start Date]],CT$27&lt;ProposalToGnatt[[#This Row],[Start Date]]+ProposalToGnatt[[#This Row],[Days]]),$G$5,"")),"")</f>
        <v/>
      </c>
      <c r="CU47" s="36" t="str">
        <f ca="1">IFERROR(+IF(CU$27=ProposalToGnatt[[#This Row],[Start Date]],Milestone_Marker,IF(AND(CU$27&gt;ProposalToGnatt[[#This Row],[Start Date]],CU$27&lt;ProposalToGnatt[[#This Row],[Start Date]]+ProposalToGnatt[[#This Row],[Days]]),$G$5,"")),"")</f>
        <v/>
      </c>
      <c r="CV47" s="36"/>
      <c r="CW47" s="36"/>
      <c r="CX47" s="36"/>
      <c r="CY47" s="36"/>
      <c r="CZ47" s="36"/>
      <c r="DA47" s="36"/>
      <c r="DB47" s="36"/>
      <c r="DC47" s="36"/>
      <c r="DD47" s="36"/>
      <c r="DE47" s="36"/>
      <c r="DF47" s="36"/>
      <c r="DG47" s="36"/>
      <c r="DH47" s="36"/>
      <c r="DI47" s="36"/>
      <c r="DJ47" s="36"/>
      <c r="DK47" s="36"/>
      <c r="DL47" s="36"/>
      <c r="DM47" s="36"/>
      <c r="DN47" s="36"/>
      <c r="DO47" s="36"/>
      <c r="DP47" s="36"/>
      <c r="DQ47" s="36"/>
      <c r="DR47" s="36"/>
      <c r="DS47" s="36"/>
      <c r="DT47" s="36"/>
      <c r="DU47" s="36"/>
    </row>
    <row r="48" spans="1:125" s="41" customFormat="1" ht="15" x14ac:dyDescent="0.25">
      <c r="A48" t="s">
        <v>263</v>
      </c>
      <c r="B48">
        <v>21</v>
      </c>
      <c r="C48"/>
      <c r="D48"/>
      <c r="E48"/>
      <c r="F48"/>
      <c r="G48" s="14"/>
      <c r="H48" s="14"/>
      <c r="I48"/>
      <c r="J48"/>
      <c r="K48" s="246"/>
      <c r="L48"/>
      <c r="M48" s="14"/>
      <c r="N48" s="299"/>
      <c r="O48" s="281"/>
      <c r="P48" s="36" t="str">
        <f ca="1">IFERROR(+IF(P$27=ProposalToGnatt[[#This Row],[Start Date]],Milestone_Marker,IF(AND(P$27&gt;ProposalToGnatt[[#This Row],[Start Date]],P$27&lt;ProposalToGnatt[[#This Row],[Start Date]]+ProposalToGnatt[[#This Row],[Days]]),$G$5,"")),"")</f>
        <v/>
      </c>
      <c r="Q48" s="36" t="str">
        <f ca="1">IFERROR(+IF(Q$27=ProposalToGnatt[[#This Row],[Start Date]],Milestone_Marker,IF(AND(Q$27&gt;ProposalToGnatt[[#This Row],[Start Date]],Q$27&lt;ProposalToGnatt[[#This Row],[Start Date]]+ProposalToGnatt[[#This Row],[Days]]),$G$5,"")),"")</f>
        <v/>
      </c>
      <c r="R48" s="36" t="str">
        <f ca="1">IFERROR(+IF(R$27=ProposalToGnatt[[#This Row],[Start Date]],Milestone_Marker,IF(AND(R$27&gt;ProposalToGnatt[[#This Row],[Start Date]],R$27&lt;ProposalToGnatt[[#This Row],[Start Date]]+ProposalToGnatt[[#This Row],[Days]]),$G$5,"")),"")</f>
        <v/>
      </c>
      <c r="S48" s="36" t="str">
        <f ca="1">IFERROR(+IF(S$27=ProposalToGnatt[[#This Row],[Start Date]],Milestone_Marker,IF(AND(S$27&gt;ProposalToGnatt[[#This Row],[Start Date]],S$27&lt;ProposalToGnatt[[#This Row],[Start Date]]+ProposalToGnatt[[#This Row],[Days]]),$G$5,"")),"")</f>
        <v/>
      </c>
      <c r="T48" s="36" t="str">
        <f ca="1">IFERROR(+IF(T$27=ProposalToGnatt[[#This Row],[Start Date]],Milestone_Marker,IF(AND(T$27&gt;ProposalToGnatt[[#This Row],[Start Date]],T$27&lt;ProposalToGnatt[[#This Row],[Start Date]]+ProposalToGnatt[[#This Row],[Days]]),$G$5,"")),"")</f>
        <v/>
      </c>
      <c r="U48" s="36" t="str">
        <f ca="1">IFERROR(+IF(U$27=ProposalToGnatt[[#This Row],[Start Date]],Milestone_Marker,IF(AND(U$27&gt;ProposalToGnatt[[#This Row],[Start Date]],U$27&lt;ProposalToGnatt[[#This Row],[Start Date]]+ProposalToGnatt[[#This Row],[Days]]),$G$5,"")),"")</f>
        <v/>
      </c>
      <c r="V48" s="36" t="str">
        <f ca="1">IFERROR(+IF(V$27=ProposalToGnatt[[#This Row],[Start Date]],Milestone_Marker,IF(AND(V$27&gt;ProposalToGnatt[[#This Row],[Start Date]],V$27&lt;ProposalToGnatt[[#This Row],[Start Date]]+ProposalToGnatt[[#This Row],[Days]]),$G$5,"")),"")</f>
        <v/>
      </c>
      <c r="W48" s="36" t="str">
        <f ca="1">IFERROR(+IF(W$27=ProposalToGnatt[[#This Row],[Start Date]],Milestone_Marker,IF(AND(W$27&gt;ProposalToGnatt[[#This Row],[Start Date]],W$27&lt;ProposalToGnatt[[#This Row],[Start Date]]+ProposalToGnatt[[#This Row],[Days]]),$G$5,"")),"")</f>
        <v/>
      </c>
      <c r="X48" s="36" t="str">
        <f ca="1">IFERROR(+IF(X$27=ProposalToGnatt[[#This Row],[Start Date]],Milestone_Marker,IF(AND(X$27&gt;ProposalToGnatt[[#This Row],[Start Date]],X$27&lt;ProposalToGnatt[[#This Row],[Start Date]]+ProposalToGnatt[[#This Row],[Days]]),$G$5,"")),"")</f>
        <v/>
      </c>
      <c r="Y48" s="36" t="str">
        <f ca="1">IFERROR(+IF(Y$27=ProposalToGnatt[[#This Row],[Start Date]],Milestone_Marker,IF(AND(Y$27&gt;ProposalToGnatt[[#This Row],[Start Date]],Y$27&lt;ProposalToGnatt[[#This Row],[Start Date]]+ProposalToGnatt[[#This Row],[Days]]),$G$5,"")),"")</f>
        <v/>
      </c>
      <c r="Z48" s="36" t="str">
        <f ca="1">IFERROR(+IF(Z$27=ProposalToGnatt[[#This Row],[Start Date]],Milestone_Marker,IF(AND(Z$27&gt;ProposalToGnatt[[#This Row],[Start Date]],Z$27&lt;ProposalToGnatt[[#This Row],[Start Date]]+ProposalToGnatt[[#This Row],[Days]]),$G$5,"")),"")</f>
        <v/>
      </c>
      <c r="AA48" s="36" t="str">
        <f ca="1">IFERROR(+IF(AA$27=ProposalToGnatt[[#This Row],[Start Date]],Milestone_Marker,IF(AND(AA$27&gt;ProposalToGnatt[[#This Row],[Start Date]],AA$27&lt;ProposalToGnatt[[#This Row],[Start Date]]+ProposalToGnatt[[#This Row],[Days]]),$G$5,"")),"")</f>
        <v/>
      </c>
      <c r="AB48" s="36" t="str">
        <f ca="1">IFERROR(+IF(AB$27=ProposalToGnatt[[#This Row],[Start Date]],Milestone_Marker,IF(AND(AB$27&gt;ProposalToGnatt[[#This Row],[Start Date]],AB$27&lt;ProposalToGnatt[[#This Row],[Start Date]]+ProposalToGnatt[[#This Row],[Days]]),$G$5,"")),"")</f>
        <v/>
      </c>
      <c r="AC48" s="36" t="str">
        <f ca="1">IFERROR(+IF(AC$27=ProposalToGnatt[[#This Row],[Start Date]],Milestone_Marker,IF(AND(AC$27&gt;ProposalToGnatt[[#This Row],[Start Date]],AC$27&lt;ProposalToGnatt[[#This Row],[Start Date]]+ProposalToGnatt[[#This Row],[Days]]),$G$5,"")),"")</f>
        <v/>
      </c>
      <c r="AD48" s="36" t="str">
        <f ca="1">IFERROR(+IF(AD$27=ProposalToGnatt[[#This Row],[Start Date]],Milestone_Marker,IF(AND(AD$27&gt;ProposalToGnatt[[#This Row],[Start Date]],AD$27&lt;ProposalToGnatt[[#This Row],[Start Date]]+ProposalToGnatt[[#This Row],[Days]]),$G$5,"")),"")</f>
        <v/>
      </c>
      <c r="AE48" s="36" t="str">
        <f ca="1">IFERROR(+IF(AE$27=ProposalToGnatt[[#This Row],[Start Date]],Milestone_Marker,IF(AND(AE$27&gt;ProposalToGnatt[[#This Row],[Start Date]],AE$27&lt;ProposalToGnatt[[#This Row],[Start Date]]+ProposalToGnatt[[#This Row],[Days]]),$G$5,"")),"")</f>
        <v/>
      </c>
      <c r="AF48" s="36" t="str">
        <f ca="1">IFERROR(+IF(AF$27=ProposalToGnatt[[#This Row],[Start Date]],Milestone_Marker,IF(AND(AF$27&gt;ProposalToGnatt[[#This Row],[Start Date]],AF$27&lt;ProposalToGnatt[[#This Row],[Start Date]]+ProposalToGnatt[[#This Row],[Days]]),$G$5,"")),"")</f>
        <v/>
      </c>
      <c r="AG48" s="36" t="str">
        <f ca="1">IFERROR(+IF(AG$27=ProposalToGnatt[[#This Row],[Start Date]],Milestone_Marker,IF(AND(AG$27&gt;ProposalToGnatt[[#This Row],[Start Date]],AG$27&lt;ProposalToGnatt[[#This Row],[Start Date]]+ProposalToGnatt[[#This Row],[Days]]),$G$5,"")),"")</f>
        <v/>
      </c>
      <c r="AH48" s="36" t="str">
        <f ca="1">IFERROR(+IF(AH$27=ProposalToGnatt[[#This Row],[Start Date]],Milestone_Marker,IF(AND(AH$27&gt;ProposalToGnatt[[#This Row],[Start Date]],AH$27&lt;ProposalToGnatt[[#This Row],[Start Date]]+ProposalToGnatt[[#This Row],[Days]]),$G$5,"")),"")</f>
        <v/>
      </c>
      <c r="AI48" s="36" t="str">
        <f ca="1">IFERROR(+IF(AI$27=ProposalToGnatt[[#This Row],[Start Date]],Milestone_Marker,IF(AND(AI$27&gt;ProposalToGnatt[[#This Row],[Start Date]],AI$27&lt;ProposalToGnatt[[#This Row],[Start Date]]+ProposalToGnatt[[#This Row],[Days]]),$G$5,"")),"")</f>
        <v/>
      </c>
      <c r="AJ48" s="36" t="str">
        <f ca="1">IFERROR(+IF(AJ$27=ProposalToGnatt[[#This Row],[Start Date]],Milestone_Marker,IF(AND(AJ$27&gt;ProposalToGnatt[[#This Row],[Start Date]],AJ$27&lt;ProposalToGnatt[[#This Row],[Start Date]]+ProposalToGnatt[[#This Row],[Days]]),$G$5,"")),"")</f>
        <v/>
      </c>
      <c r="AK48" s="36" t="str">
        <f ca="1">IFERROR(+IF(AK$27=ProposalToGnatt[[#This Row],[Start Date]],Milestone_Marker,IF(AND(AK$27&gt;ProposalToGnatt[[#This Row],[Start Date]],AK$27&lt;ProposalToGnatt[[#This Row],[Start Date]]+ProposalToGnatt[[#This Row],[Days]]),$G$5,"")),"")</f>
        <v/>
      </c>
      <c r="AL48" s="36" t="str">
        <f ca="1">IFERROR(+IF(AL$27=ProposalToGnatt[[#This Row],[Start Date]],Milestone_Marker,IF(AND(AL$27&gt;ProposalToGnatt[[#This Row],[Start Date]],AL$27&lt;ProposalToGnatt[[#This Row],[Start Date]]+ProposalToGnatt[[#This Row],[Days]]),$G$5,"")),"")</f>
        <v/>
      </c>
      <c r="AM48" s="36" t="str">
        <f ca="1">IFERROR(+IF(AM$27=ProposalToGnatt[[#This Row],[Start Date]],Milestone_Marker,IF(AND(AM$27&gt;ProposalToGnatt[[#This Row],[Start Date]],AM$27&lt;ProposalToGnatt[[#This Row],[Start Date]]+ProposalToGnatt[[#This Row],[Days]]),$G$5,"")),"")</f>
        <v/>
      </c>
      <c r="AN48" s="36" t="str">
        <f ca="1">IFERROR(+IF(AN$27=ProposalToGnatt[[#This Row],[Start Date]],Milestone_Marker,IF(AND(AN$27&gt;ProposalToGnatt[[#This Row],[Start Date]],AN$27&lt;ProposalToGnatt[[#This Row],[Start Date]]+ProposalToGnatt[[#This Row],[Days]]),$G$5,"")),"")</f>
        <v/>
      </c>
      <c r="AO48" s="36" t="str">
        <f ca="1">IFERROR(+IF(AO$27=ProposalToGnatt[[#This Row],[Start Date]],Milestone_Marker,IF(AND(AO$27&gt;ProposalToGnatt[[#This Row],[Start Date]],AO$27&lt;ProposalToGnatt[[#This Row],[Start Date]]+ProposalToGnatt[[#This Row],[Days]]),$G$5,"")),"")</f>
        <v/>
      </c>
      <c r="AP48" s="36" t="str">
        <f ca="1">IFERROR(+IF(AP$27=ProposalToGnatt[[#This Row],[Start Date]],Milestone_Marker,IF(AND(AP$27&gt;ProposalToGnatt[[#This Row],[Start Date]],AP$27&lt;ProposalToGnatt[[#This Row],[Start Date]]+ProposalToGnatt[[#This Row],[Days]]),$G$5,"")),"")</f>
        <v/>
      </c>
      <c r="AQ48" s="36" t="str">
        <f ca="1">IFERROR(+IF(AQ$27=ProposalToGnatt[[#This Row],[Start Date]],Milestone_Marker,IF(AND(AQ$27&gt;ProposalToGnatt[[#This Row],[Start Date]],AQ$27&lt;ProposalToGnatt[[#This Row],[Start Date]]+ProposalToGnatt[[#This Row],[Days]]),$G$5,"")),"")</f>
        <v/>
      </c>
      <c r="AR48" s="36" t="str">
        <f ca="1">IFERROR(+IF(AR$27=ProposalToGnatt[[#This Row],[Start Date]],Milestone_Marker,IF(AND(AR$27&gt;ProposalToGnatt[[#This Row],[Start Date]],AR$27&lt;ProposalToGnatt[[#This Row],[Start Date]]+ProposalToGnatt[[#This Row],[Days]]),$G$5,"")),"")</f>
        <v/>
      </c>
      <c r="AS48" s="36" t="str">
        <f ca="1">IFERROR(+IF(AS$27=ProposalToGnatt[[#This Row],[Start Date]],Milestone_Marker,IF(AND(AS$27&gt;ProposalToGnatt[[#This Row],[Start Date]],AS$27&lt;ProposalToGnatt[[#This Row],[Start Date]]+ProposalToGnatt[[#This Row],[Days]]),$G$5,"")),"")</f>
        <v/>
      </c>
      <c r="AT48" s="36" t="str">
        <f ca="1">IFERROR(+IF(AT$27=ProposalToGnatt[[#This Row],[Start Date]],Milestone_Marker,IF(AND(AT$27&gt;ProposalToGnatt[[#This Row],[Start Date]],AT$27&lt;ProposalToGnatt[[#This Row],[Start Date]]+ProposalToGnatt[[#This Row],[Days]]),$G$5,"")),"")</f>
        <v/>
      </c>
      <c r="AU48" s="36" t="str">
        <f ca="1">IFERROR(+IF(AU$27=ProposalToGnatt[[#This Row],[Start Date]],Milestone_Marker,IF(AND(AU$27&gt;ProposalToGnatt[[#This Row],[Start Date]],AU$27&lt;ProposalToGnatt[[#This Row],[Start Date]]+ProposalToGnatt[[#This Row],[Days]]),$G$5,"")),"")</f>
        <v/>
      </c>
      <c r="AV48" s="36" t="str">
        <f ca="1">IFERROR(+IF(AV$27=ProposalToGnatt[[#This Row],[Start Date]],Milestone_Marker,IF(AND(AV$27&gt;ProposalToGnatt[[#This Row],[Start Date]],AV$27&lt;ProposalToGnatt[[#This Row],[Start Date]]+ProposalToGnatt[[#This Row],[Days]]),$G$5,"")),"")</f>
        <v/>
      </c>
      <c r="AW48" s="36" t="str">
        <f ca="1">IFERROR(+IF(AW$27=ProposalToGnatt[[#This Row],[Start Date]],Milestone_Marker,IF(AND(AW$27&gt;ProposalToGnatt[[#This Row],[Start Date]],AW$27&lt;ProposalToGnatt[[#This Row],[Start Date]]+ProposalToGnatt[[#This Row],[Days]]),$G$5,"")),"")</f>
        <v/>
      </c>
      <c r="AX48" s="36" t="str">
        <f ca="1">IFERROR(+IF(AX$27=ProposalToGnatt[[#This Row],[Start Date]],Milestone_Marker,IF(AND(AX$27&gt;ProposalToGnatt[[#This Row],[Start Date]],AX$27&lt;ProposalToGnatt[[#This Row],[Start Date]]+ProposalToGnatt[[#This Row],[Days]]),$G$5,"")),"")</f>
        <v/>
      </c>
      <c r="AY48" s="36" t="str">
        <f ca="1">IFERROR(+IF(AY$27=ProposalToGnatt[[#This Row],[Start Date]],Milestone_Marker,IF(AND(AY$27&gt;ProposalToGnatt[[#This Row],[Start Date]],AY$27&lt;ProposalToGnatt[[#This Row],[Start Date]]+ProposalToGnatt[[#This Row],[Days]]),$G$5,"")),"")</f>
        <v/>
      </c>
      <c r="AZ48" s="36" t="str">
        <f ca="1">IFERROR(+IF(AZ$27=ProposalToGnatt[[#This Row],[Start Date]],Milestone_Marker,IF(AND(AZ$27&gt;ProposalToGnatt[[#This Row],[Start Date]],AZ$27&lt;ProposalToGnatt[[#This Row],[Start Date]]+ProposalToGnatt[[#This Row],[Days]]),$G$5,"")),"")</f>
        <v/>
      </c>
      <c r="BA48" s="36" t="str">
        <f ca="1">IFERROR(+IF(BA$27=ProposalToGnatt[[#This Row],[Start Date]],Milestone_Marker,IF(AND(BA$27&gt;ProposalToGnatt[[#This Row],[Start Date]],BA$27&lt;ProposalToGnatt[[#This Row],[Start Date]]+ProposalToGnatt[[#This Row],[Days]]),$G$5,"")),"")</f>
        <v/>
      </c>
      <c r="BB48" s="36" t="str">
        <f ca="1">IFERROR(+IF(BB$27=ProposalToGnatt[[#This Row],[Start Date]],Milestone_Marker,IF(AND(BB$27&gt;ProposalToGnatt[[#This Row],[Start Date]],BB$27&lt;ProposalToGnatt[[#This Row],[Start Date]]+ProposalToGnatt[[#This Row],[Days]]),$G$5,"")),"")</f>
        <v/>
      </c>
      <c r="BC48" s="36" t="str">
        <f ca="1">IFERROR(+IF(BC$27=ProposalToGnatt[[#This Row],[Start Date]],Milestone_Marker,IF(AND(BC$27&gt;ProposalToGnatt[[#This Row],[Start Date]],BC$27&lt;ProposalToGnatt[[#This Row],[Start Date]]+ProposalToGnatt[[#This Row],[Days]]),$G$5,"")),"")</f>
        <v/>
      </c>
      <c r="BD48" s="36" t="str">
        <f ca="1">IFERROR(+IF(BD$27=ProposalToGnatt[[#This Row],[Start Date]],Milestone_Marker,IF(AND(BD$27&gt;ProposalToGnatt[[#This Row],[Start Date]],BD$27&lt;ProposalToGnatt[[#This Row],[Start Date]]+ProposalToGnatt[[#This Row],[Days]]),$G$5,"")),"")</f>
        <v/>
      </c>
      <c r="BE48" s="36" t="str">
        <f ca="1">IFERROR(+IF(BE$27=ProposalToGnatt[[#This Row],[Start Date]],Milestone_Marker,IF(AND(BE$27&gt;ProposalToGnatt[[#This Row],[Start Date]],BE$27&lt;ProposalToGnatt[[#This Row],[Start Date]]+ProposalToGnatt[[#This Row],[Days]]),$G$5,"")),"")</f>
        <v/>
      </c>
      <c r="BF48" s="36" t="str">
        <f ca="1">IFERROR(+IF(BF$27=ProposalToGnatt[[#This Row],[Start Date]],Milestone_Marker,IF(AND(BF$27&gt;ProposalToGnatt[[#This Row],[Start Date]],BF$27&lt;ProposalToGnatt[[#This Row],[Start Date]]+ProposalToGnatt[[#This Row],[Days]]),$G$5,"")),"")</f>
        <v/>
      </c>
      <c r="BG48" s="36" t="str">
        <f ca="1">IFERROR(+IF(BG$27=ProposalToGnatt[[#This Row],[Start Date]],Milestone_Marker,IF(AND(BG$27&gt;ProposalToGnatt[[#This Row],[Start Date]],BG$27&lt;ProposalToGnatt[[#This Row],[Start Date]]+ProposalToGnatt[[#This Row],[Days]]),$G$5,"")),"")</f>
        <v/>
      </c>
      <c r="BH48" s="36" t="str">
        <f ca="1">IFERROR(+IF(BH$27=ProposalToGnatt[[#This Row],[Start Date]],Milestone_Marker,IF(AND(BH$27&gt;ProposalToGnatt[[#This Row],[Start Date]],BH$27&lt;ProposalToGnatt[[#This Row],[Start Date]]+ProposalToGnatt[[#This Row],[Days]]),$G$5,"")),"")</f>
        <v/>
      </c>
      <c r="BI48" s="36" t="str">
        <f ca="1">IFERROR(+IF(BI$27=ProposalToGnatt[[#This Row],[Start Date]],Milestone_Marker,IF(AND(BI$27&gt;ProposalToGnatt[[#This Row],[Start Date]],BI$27&lt;ProposalToGnatt[[#This Row],[Start Date]]+ProposalToGnatt[[#This Row],[Days]]),$G$5,"")),"")</f>
        <v/>
      </c>
      <c r="BJ48" s="36" t="str">
        <f ca="1">IFERROR(+IF(BJ$27=ProposalToGnatt[[#This Row],[Start Date]],Milestone_Marker,IF(AND(BJ$27&gt;ProposalToGnatt[[#This Row],[Start Date]],BJ$27&lt;ProposalToGnatt[[#This Row],[Start Date]]+ProposalToGnatt[[#This Row],[Days]]),$G$5,"")),"")</f>
        <v/>
      </c>
      <c r="BK48" s="36" t="str">
        <f ca="1">IFERROR(+IF(BK$27=ProposalToGnatt[[#This Row],[Start Date]],Milestone_Marker,IF(AND(BK$27&gt;ProposalToGnatt[[#This Row],[Start Date]],BK$27&lt;ProposalToGnatt[[#This Row],[Start Date]]+ProposalToGnatt[[#This Row],[Days]]),$G$5,"")),"")</f>
        <v/>
      </c>
      <c r="BL48" s="36" t="str">
        <f ca="1">IFERROR(+IF(BL$27=ProposalToGnatt[[#This Row],[Start Date]],Milestone_Marker,IF(AND(BL$27&gt;ProposalToGnatt[[#This Row],[Start Date]],BL$27&lt;ProposalToGnatt[[#This Row],[Start Date]]+ProposalToGnatt[[#This Row],[Days]]),$G$5,"")),"")</f>
        <v/>
      </c>
      <c r="BM48" s="36" t="str">
        <f ca="1">IFERROR(+IF(BM$27=ProposalToGnatt[[#This Row],[Start Date]],Milestone_Marker,IF(AND(BM$27&gt;ProposalToGnatt[[#This Row],[Start Date]],BM$27&lt;ProposalToGnatt[[#This Row],[Start Date]]+ProposalToGnatt[[#This Row],[Days]]),$G$5,"")),"")</f>
        <v/>
      </c>
      <c r="BN48" s="36" t="str">
        <f ca="1">IFERROR(+IF(BN$27=ProposalToGnatt[[#This Row],[Start Date]],Milestone_Marker,IF(AND(BN$27&gt;ProposalToGnatt[[#This Row],[Start Date]],BN$27&lt;ProposalToGnatt[[#This Row],[Start Date]]+ProposalToGnatt[[#This Row],[Days]]),$G$5,"")),"")</f>
        <v/>
      </c>
      <c r="BO48" s="36" t="str">
        <f ca="1">IFERROR(+IF(BO$27=ProposalToGnatt[[#This Row],[Start Date]],Milestone_Marker,IF(AND(BO$27&gt;ProposalToGnatt[[#This Row],[Start Date]],BO$27&lt;ProposalToGnatt[[#This Row],[Start Date]]+ProposalToGnatt[[#This Row],[Days]]),$G$5,"")),"")</f>
        <v/>
      </c>
      <c r="BP48" s="36" t="str">
        <f ca="1">IFERROR(+IF(BP$27=ProposalToGnatt[[#This Row],[Start Date]],Milestone_Marker,IF(AND(BP$27&gt;ProposalToGnatt[[#This Row],[Start Date]],BP$27&lt;ProposalToGnatt[[#This Row],[Start Date]]+ProposalToGnatt[[#This Row],[Days]]),$G$5,"")),"")</f>
        <v/>
      </c>
      <c r="BQ48" s="36" t="str">
        <f ca="1">IFERROR(+IF(BQ$27=ProposalToGnatt[[#This Row],[Start Date]],Milestone_Marker,IF(AND(BQ$27&gt;ProposalToGnatt[[#This Row],[Start Date]],BQ$27&lt;ProposalToGnatt[[#This Row],[Start Date]]+ProposalToGnatt[[#This Row],[Days]]),$G$5,"")),"")</f>
        <v/>
      </c>
      <c r="BR48" s="36" t="str">
        <f ca="1">IFERROR(+IF(BR$27=ProposalToGnatt[[#This Row],[Start Date]],Milestone_Marker,IF(AND(BR$27&gt;ProposalToGnatt[[#This Row],[Start Date]],BR$27&lt;ProposalToGnatt[[#This Row],[Start Date]]+ProposalToGnatt[[#This Row],[Days]]),$G$5,"")),"")</f>
        <v/>
      </c>
      <c r="BS48" s="36" t="str">
        <f ca="1">IFERROR(+IF(BS$27=ProposalToGnatt[[#This Row],[Start Date]],Milestone_Marker,IF(AND(BS$27&gt;ProposalToGnatt[[#This Row],[Start Date]],BS$27&lt;ProposalToGnatt[[#This Row],[Start Date]]+ProposalToGnatt[[#This Row],[Days]]),$G$5,"")),"")</f>
        <v/>
      </c>
      <c r="BT48" s="36" t="str">
        <f ca="1">IFERROR(+IF(BT$27=ProposalToGnatt[[#This Row],[Start Date]],Milestone_Marker,IF(AND(BT$27&gt;ProposalToGnatt[[#This Row],[Start Date]],BT$27&lt;ProposalToGnatt[[#This Row],[Start Date]]+ProposalToGnatt[[#This Row],[Days]]),$G$5,"")),"")</f>
        <v/>
      </c>
      <c r="BU48" s="36" t="str">
        <f ca="1">IFERROR(+IF(BU$27=ProposalToGnatt[[#This Row],[Start Date]],Milestone_Marker,IF(AND(BU$27&gt;ProposalToGnatt[[#This Row],[Start Date]],BU$27&lt;ProposalToGnatt[[#This Row],[Start Date]]+ProposalToGnatt[[#This Row],[Days]]),$G$5,"")),"")</f>
        <v/>
      </c>
      <c r="BV48" s="36" t="str">
        <f ca="1">IFERROR(+IF(BV$27=ProposalToGnatt[[#This Row],[Start Date]],Milestone_Marker,IF(AND(BV$27&gt;ProposalToGnatt[[#This Row],[Start Date]],BV$27&lt;ProposalToGnatt[[#This Row],[Start Date]]+ProposalToGnatt[[#This Row],[Days]]),$G$5,"")),"")</f>
        <v/>
      </c>
      <c r="BW48" s="36" t="str">
        <f ca="1">IFERROR(+IF(BW$27=ProposalToGnatt[[#This Row],[Start Date]],Milestone_Marker,IF(AND(BW$27&gt;ProposalToGnatt[[#This Row],[Start Date]],BW$27&lt;ProposalToGnatt[[#This Row],[Start Date]]+ProposalToGnatt[[#This Row],[Days]]),$G$5,"")),"")</f>
        <v/>
      </c>
      <c r="BX48" s="36" t="str">
        <f ca="1">IFERROR(+IF(BX$27=ProposalToGnatt[[#This Row],[Start Date]],Milestone_Marker,IF(AND(BX$27&gt;ProposalToGnatt[[#This Row],[Start Date]],BX$27&lt;ProposalToGnatt[[#This Row],[Start Date]]+ProposalToGnatt[[#This Row],[Days]]),$G$5,"")),"")</f>
        <v/>
      </c>
      <c r="BY48" s="36" t="str">
        <f ca="1">IFERROR(+IF(BY$27=ProposalToGnatt[[#This Row],[Start Date]],Milestone_Marker,IF(AND(BY$27&gt;ProposalToGnatt[[#This Row],[Start Date]],BY$27&lt;ProposalToGnatt[[#This Row],[Start Date]]+ProposalToGnatt[[#This Row],[Days]]),$G$5,"")),"")</f>
        <v/>
      </c>
      <c r="BZ48" s="36" t="str">
        <f ca="1">IFERROR(+IF(BZ$27=ProposalToGnatt[[#This Row],[Start Date]],Milestone_Marker,IF(AND(BZ$27&gt;ProposalToGnatt[[#This Row],[Start Date]],BZ$27&lt;ProposalToGnatt[[#This Row],[Start Date]]+ProposalToGnatt[[#This Row],[Days]]),$G$5,"")),"")</f>
        <v/>
      </c>
      <c r="CA48" s="36" t="str">
        <f ca="1">IFERROR(+IF(CA$27=ProposalToGnatt[[#This Row],[Start Date]],Milestone_Marker,IF(AND(CA$27&gt;ProposalToGnatt[[#This Row],[Start Date]],CA$27&lt;ProposalToGnatt[[#This Row],[Start Date]]+ProposalToGnatt[[#This Row],[Days]]),$G$5,"")),"")</f>
        <v/>
      </c>
      <c r="CB48" s="36" t="str">
        <f ca="1">IFERROR(+IF(CB$27=ProposalToGnatt[[#This Row],[Start Date]],Milestone_Marker,IF(AND(CB$27&gt;ProposalToGnatt[[#This Row],[Start Date]],CB$27&lt;ProposalToGnatt[[#This Row],[Start Date]]+ProposalToGnatt[[#This Row],[Days]]),$G$5,"")),"")</f>
        <v/>
      </c>
      <c r="CC48" s="36" t="str">
        <f ca="1">IFERROR(+IF(CC$27=ProposalToGnatt[[#This Row],[Start Date]],Milestone_Marker,IF(AND(CC$27&gt;ProposalToGnatt[[#This Row],[Start Date]],CC$27&lt;ProposalToGnatt[[#This Row],[Start Date]]+ProposalToGnatt[[#This Row],[Days]]),$G$5,"")),"")</f>
        <v/>
      </c>
      <c r="CD48" s="36" t="str">
        <f ca="1">IFERROR(+IF(CD$27=ProposalToGnatt[[#This Row],[Start Date]],Milestone_Marker,IF(AND(CD$27&gt;ProposalToGnatt[[#This Row],[Start Date]],CD$27&lt;ProposalToGnatt[[#This Row],[Start Date]]+ProposalToGnatt[[#This Row],[Days]]),$G$5,"")),"")</f>
        <v/>
      </c>
      <c r="CE48" s="36" t="str">
        <f ca="1">IFERROR(+IF(CE$27=ProposalToGnatt[[#This Row],[Start Date]],Milestone_Marker,IF(AND(CE$27&gt;ProposalToGnatt[[#This Row],[Start Date]],CE$27&lt;ProposalToGnatt[[#This Row],[Start Date]]+ProposalToGnatt[[#This Row],[Days]]),$G$5,"")),"")</f>
        <v/>
      </c>
      <c r="CF48" s="36" t="str">
        <f ca="1">IFERROR(+IF(CF$27=ProposalToGnatt[[#This Row],[Start Date]],Milestone_Marker,IF(AND(CF$27&gt;ProposalToGnatt[[#This Row],[Start Date]],CF$27&lt;ProposalToGnatt[[#This Row],[Start Date]]+ProposalToGnatt[[#This Row],[Days]]),$G$5,"")),"")</f>
        <v/>
      </c>
      <c r="CG48" s="36" t="str">
        <f ca="1">IFERROR(+IF(CG$27=ProposalToGnatt[[#This Row],[Start Date]],Milestone_Marker,IF(AND(CG$27&gt;ProposalToGnatt[[#This Row],[Start Date]],CG$27&lt;ProposalToGnatt[[#This Row],[Start Date]]+ProposalToGnatt[[#This Row],[Days]]),$G$5,"")),"")</f>
        <v/>
      </c>
      <c r="CH48" s="36" t="str">
        <f ca="1">IFERROR(+IF(CH$27=ProposalToGnatt[[#This Row],[Start Date]],Milestone_Marker,IF(AND(CH$27&gt;ProposalToGnatt[[#This Row],[Start Date]],CH$27&lt;ProposalToGnatt[[#This Row],[Start Date]]+ProposalToGnatt[[#This Row],[Days]]),$G$5,"")),"")</f>
        <v/>
      </c>
      <c r="CI48" s="36" t="str">
        <f ca="1">IFERROR(+IF(CI$27=ProposalToGnatt[[#This Row],[Start Date]],Milestone_Marker,IF(AND(CI$27&gt;ProposalToGnatt[[#This Row],[Start Date]],CI$27&lt;ProposalToGnatt[[#This Row],[Start Date]]+ProposalToGnatt[[#This Row],[Days]]),$G$5,"")),"")</f>
        <v/>
      </c>
      <c r="CJ48" s="36" t="str">
        <f ca="1">IFERROR(+IF(CJ$27=ProposalToGnatt[[#This Row],[Start Date]],Milestone_Marker,IF(AND(CJ$27&gt;ProposalToGnatt[[#This Row],[Start Date]],CJ$27&lt;ProposalToGnatt[[#This Row],[Start Date]]+ProposalToGnatt[[#This Row],[Days]]),$G$5,"")),"")</f>
        <v/>
      </c>
      <c r="CK48" s="36" t="str">
        <f ca="1">IFERROR(+IF(CK$27=ProposalToGnatt[[#This Row],[Start Date]],Milestone_Marker,IF(AND(CK$27&gt;ProposalToGnatt[[#This Row],[Start Date]],CK$27&lt;ProposalToGnatt[[#This Row],[Start Date]]+ProposalToGnatt[[#This Row],[Days]]),$G$5,"")),"")</f>
        <v/>
      </c>
      <c r="CL48" s="36" t="str">
        <f ca="1">IFERROR(+IF(CL$27=ProposalToGnatt[[#This Row],[Start Date]],Milestone_Marker,IF(AND(CL$27&gt;ProposalToGnatt[[#This Row],[Start Date]],CL$27&lt;ProposalToGnatt[[#This Row],[Start Date]]+ProposalToGnatt[[#This Row],[Days]]),$G$5,"")),"")</f>
        <v/>
      </c>
      <c r="CM48" s="36" t="str">
        <f ca="1">IFERROR(+IF(CM$27=ProposalToGnatt[[#This Row],[Start Date]],Milestone_Marker,IF(AND(CM$27&gt;ProposalToGnatt[[#This Row],[Start Date]],CM$27&lt;ProposalToGnatt[[#This Row],[Start Date]]+ProposalToGnatt[[#This Row],[Days]]),$G$5,"")),"")</f>
        <v/>
      </c>
      <c r="CN48" s="36" t="str">
        <f ca="1">IFERROR(+IF(CN$27=ProposalToGnatt[[#This Row],[Start Date]],Milestone_Marker,IF(AND(CN$27&gt;ProposalToGnatt[[#This Row],[Start Date]],CN$27&lt;ProposalToGnatt[[#This Row],[Start Date]]+ProposalToGnatt[[#This Row],[Days]]),$G$5,"")),"")</f>
        <v/>
      </c>
      <c r="CO48" s="36" t="str">
        <f ca="1">IFERROR(+IF(CO$27=ProposalToGnatt[[#This Row],[Start Date]],Milestone_Marker,IF(AND(CO$27&gt;ProposalToGnatt[[#This Row],[Start Date]],CO$27&lt;ProposalToGnatt[[#This Row],[Start Date]]+ProposalToGnatt[[#This Row],[Days]]),$G$5,"")),"")</f>
        <v/>
      </c>
      <c r="CP48" s="36" t="str">
        <f ca="1">IFERROR(+IF(CP$27=ProposalToGnatt[[#This Row],[Start Date]],Milestone_Marker,IF(AND(CP$27&gt;ProposalToGnatt[[#This Row],[Start Date]],CP$27&lt;ProposalToGnatt[[#This Row],[Start Date]]+ProposalToGnatt[[#This Row],[Days]]),$G$5,"")),"")</f>
        <v/>
      </c>
      <c r="CQ48" s="36" t="str">
        <f ca="1">IFERROR(+IF(CQ$27=ProposalToGnatt[[#This Row],[Start Date]],Milestone_Marker,IF(AND(CQ$27&gt;ProposalToGnatt[[#This Row],[Start Date]],CQ$27&lt;ProposalToGnatt[[#This Row],[Start Date]]+ProposalToGnatt[[#This Row],[Days]]),$G$5,"")),"")</f>
        <v/>
      </c>
      <c r="CR48" s="36" t="str">
        <f ca="1">IFERROR(+IF(CR$27=ProposalToGnatt[[#This Row],[Start Date]],Milestone_Marker,IF(AND(CR$27&gt;ProposalToGnatt[[#This Row],[Start Date]],CR$27&lt;ProposalToGnatt[[#This Row],[Start Date]]+ProposalToGnatt[[#This Row],[Days]]),$G$5,"")),"")</f>
        <v/>
      </c>
      <c r="CS48" s="36" t="str">
        <f ca="1">IFERROR(+IF(CS$27=ProposalToGnatt[[#This Row],[Start Date]],Milestone_Marker,IF(AND(CS$27&gt;ProposalToGnatt[[#This Row],[Start Date]],CS$27&lt;ProposalToGnatt[[#This Row],[Start Date]]+ProposalToGnatt[[#This Row],[Days]]),$G$5,"")),"")</f>
        <v/>
      </c>
      <c r="CT48" s="36" t="str">
        <f ca="1">IFERROR(+IF(CT$27=ProposalToGnatt[[#This Row],[Start Date]],Milestone_Marker,IF(AND(CT$27&gt;ProposalToGnatt[[#This Row],[Start Date]],CT$27&lt;ProposalToGnatt[[#This Row],[Start Date]]+ProposalToGnatt[[#This Row],[Days]]),$G$5,"")),"")</f>
        <v/>
      </c>
      <c r="CU48" s="36" t="str">
        <f ca="1">IFERROR(+IF(CU$27=ProposalToGnatt[[#This Row],[Start Date]],Milestone_Marker,IF(AND(CU$27&gt;ProposalToGnatt[[#This Row],[Start Date]],CU$27&lt;ProposalToGnatt[[#This Row],[Start Date]]+ProposalToGnatt[[#This Row],[Days]]),$G$5,"")),"")</f>
        <v/>
      </c>
      <c r="CV48" s="36"/>
      <c r="CW48" s="36"/>
      <c r="CX48" s="36"/>
      <c r="CY48" s="36"/>
      <c r="CZ48" s="36"/>
      <c r="DA48" s="36"/>
      <c r="DB48" s="36"/>
      <c r="DC48" s="36"/>
      <c r="DD48" s="36"/>
      <c r="DE48" s="36"/>
      <c r="DF48" s="36"/>
      <c r="DG48" s="36"/>
      <c r="DH48" s="36"/>
      <c r="DI48" s="36"/>
      <c r="DJ48" s="36"/>
      <c r="DK48" s="36"/>
      <c r="DL48" s="36"/>
      <c r="DM48" s="36"/>
      <c r="DN48" s="36"/>
      <c r="DO48" s="36"/>
      <c r="DP48" s="36"/>
      <c r="DQ48" s="36"/>
      <c r="DR48" s="36"/>
      <c r="DS48" s="36"/>
      <c r="DT48" s="36"/>
      <c r="DU48" s="36"/>
    </row>
    <row r="49" spans="1:125" s="41" customFormat="1" ht="15" x14ac:dyDescent="0.25">
      <c r="A49" t="s">
        <v>263</v>
      </c>
      <c r="B49">
        <v>22</v>
      </c>
      <c r="C49"/>
      <c r="D49"/>
      <c r="E49"/>
      <c r="F49"/>
      <c r="G49" s="14"/>
      <c r="H49" s="14"/>
      <c r="I49"/>
      <c r="J49"/>
      <c r="K49" s="246"/>
      <c r="L49"/>
      <c r="M49" s="14"/>
      <c r="N49" s="299"/>
      <c r="O49" s="281"/>
      <c r="P49" s="36" t="str">
        <f ca="1">IFERROR(+IF(P$27=ProposalToGnatt[[#This Row],[Start Date]],Milestone_Marker,IF(AND(P$27&gt;ProposalToGnatt[[#This Row],[Start Date]],P$27&lt;ProposalToGnatt[[#This Row],[Start Date]]+ProposalToGnatt[[#This Row],[Days]]),$G$5,"")),"")</f>
        <v/>
      </c>
      <c r="Q49" s="36" t="str">
        <f ca="1">IFERROR(+IF(Q$27=ProposalToGnatt[[#This Row],[Start Date]],Milestone_Marker,IF(AND(Q$27&gt;ProposalToGnatt[[#This Row],[Start Date]],Q$27&lt;ProposalToGnatt[[#This Row],[Start Date]]+ProposalToGnatt[[#This Row],[Days]]),$G$5,"")),"")</f>
        <v/>
      </c>
      <c r="R49" s="36" t="str">
        <f ca="1">IFERROR(+IF(R$27=ProposalToGnatt[[#This Row],[Start Date]],Milestone_Marker,IF(AND(R$27&gt;ProposalToGnatt[[#This Row],[Start Date]],R$27&lt;ProposalToGnatt[[#This Row],[Start Date]]+ProposalToGnatt[[#This Row],[Days]]),$G$5,"")),"")</f>
        <v/>
      </c>
      <c r="S49" s="36" t="str">
        <f ca="1">IFERROR(+IF(S$27=ProposalToGnatt[[#This Row],[Start Date]],Milestone_Marker,IF(AND(S$27&gt;ProposalToGnatt[[#This Row],[Start Date]],S$27&lt;ProposalToGnatt[[#This Row],[Start Date]]+ProposalToGnatt[[#This Row],[Days]]),$G$5,"")),"")</f>
        <v/>
      </c>
      <c r="T49" s="36" t="str">
        <f ca="1">IFERROR(+IF(T$27=ProposalToGnatt[[#This Row],[Start Date]],Milestone_Marker,IF(AND(T$27&gt;ProposalToGnatt[[#This Row],[Start Date]],T$27&lt;ProposalToGnatt[[#This Row],[Start Date]]+ProposalToGnatt[[#This Row],[Days]]),$G$5,"")),"")</f>
        <v/>
      </c>
      <c r="U49" s="36" t="str">
        <f ca="1">IFERROR(+IF(U$27=ProposalToGnatt[[#This Row],[Start Date]],Milestone_Marker,IF(AND(U$27&gt;ProposalToGnatt[[#This Row],[Start Date]],U$27&lt;ProposalToGnatt[[#This Row],[Start Date]]+ProposalToGnatt[[#This Row],[Days]]),$G$5,"")),"")</f>
        <v/>
      </c>
      <c r="V49" s="36" t="str">
        <f ca="1">IFERROR(+IF(V$27=ProposalToGnatt[[#This Row],[Start Date]],Milestone_Marker,IF(AND(V$27&gt;ProposalToGnatt[[#This Row],[Start Date]],V$27&lt;ProposalToGnatt[[#This Row],[Start Date]]+ProposalToGnatt[[#This Row],[Days]]),$G$5,"")),"")</f>
        <v/>
      </c>
      <c r="W49" s="36" t="str">
        <f ca="1">IFERROR(+IF(W$27=ProposalToGnatt[[#This Row],[Start Date]],Milestone_Marker,IF(AND(W$27&gt;ProposalToGnatt[[#This Row],[Start Date]],W$27&lt;ProposalToGnatt[[#This Row],[Start Date]]+ProposalToGnatt[[#This Row],[Days]]),$G$5,"")),"")</f>
        <v/>
      </c>
      <c r="X49" s="36" t="str">
        <f ca="1">IFERROR(+IF(X$27=ProposalToGnatt[[#This Row],[Start Date]],Milestone_Marker,IF(AND(X$27&gt;ProposalToGnatt[[#This Row],[Start Date]],X$27&lt;ProposalToGnatt[[#This Row],[Start Date]]+ProposalToGnatt[[#This Row],[Days]]),$G$5,"")),"")</f>
        <v/>
      </c>
      <c r="Y49" s="36" t="str">
        <f ca="1">IFERROR(+IF(Y$27=ProposalToGnatt[[#This Row],[Start Date]],Milestone_Marker,IF(AND(Y$27&gt;ProposalToGnatt[[#This Row],[Start Date]],Y$27&lt;ProposalToGnatt[[#This Row],[Start Date]]+ProposalToGnatt[[#This Row],[Days]]),$G$5,"")),"")</f>
        <v/>
      </c>
      <c r="Z49" s="36" t="str">
        <f ca="1">IFERROR(+IF(Z$27=ProposalToGnatt[[#This Row],[Start Date]],Milestone_Marker,IF(AND(Z$27&gt;ProposalToGnatt[[#This Row],[Start Date]],Z$27&lt;ProposalToGnatt[[#This Row],[Start Date]]+ProposalToGnatt[[#This Row],[Days]]),$G$5,"")),"")</f>
        <v/>
      </c>
      <c r="AA49" s="36" t="str">
        <f ca="1">IFERROR(+IF(AA$27=ProposalToGnatt[[#This Row],[Start Date]],Milestone_Marker,IF(AND(AA$27&gt;ProposalToGnatt[[#This Row],[Start Date]],AA$27&lt;ProposalToGnatt[[#This Row],[Start Date]]+ProposalToGnatt[[#This Row],[Days]]),$G$5,"")),"")</f>
        <v/>
      </c>
      <c r="AB49" s="36" t="str">
        <f ca="1">IFERROR(+IF(AB$27=ProposalToGnatt[[#This Row],[Start Date]],Milestone_Marker,IF(AND(AB$27&gt;ProposalToGnatt[[#This Row],[Start Date]],AB$27&lt;ProposalToGnatt[[#This Row],[Start Date]]+ProposalToGnatt[[#This Row],[Days]]),$G$5,"")),"")</f>
        <v/>
      </c>
      <c r="AC49" s="36" t="str">
        <f ca="1">IFERROR(+IF(AC$27=ProposalToGnatt[[#This Row],[Start Date]],Milestone_Marker,IF(AND(AC$27&gt;ProposalToGnatt[[#This Row],[Start Date]],AC$27&lt;ProposalToGnatt[[#This Row],[Start Date]]+ProposalToGnatt[[#This Row],[Days]]),$G$5,"")),"")</f>
        <v/>
      </c>
      <c r="AD49" s="36" t="str">
        <f ca="1">IFERROR(+IF(AD$27=ProposalToGnatt[[#This Row],[Start Date]],Milestone_Marker,IF(AND(AD$27&gt;ProposalToGnatt[[#This Row],[Start Date]],AD$27&lt;ProposalToGnatt[[#This Row],[Start Date]]+ProposalToGnatt[[#This Row],[Days]]),$G$5,"")),"")</f>
        <v/>
      </c>
      <c r="AE49" s="36" t="str">
        <f ca="1">IFERROR(+IF(AE$27=ProposalToGnatt[[#This Row],[Start Date]],Milestone_Marker,IF(AND(AE$27&gt;ProposalToGnatt[[#This Row],[Start Date]],AE$27&lt;ProposalToGnatt[[#This Row],[Start Date]]+ProposalToGnatt[[#This Row],[Days]]),$G$5,"")),"")</f>
        <v/>
      </c>
      <c r="AF49" s="36" t="str">
        <f ca="1">IFERROR(+IF(AF$27=ProposalToGnatt[[#This Row],[Start Date]],Milestone_Marker,IF(AND(AF$27&gt;ProposalToGnatt[[#This Row],[Start Date]],AF$27&lt;ProposalToGnatt[[#This Row],[Start Date]]+ProposalToGnatt[[#This Row],[Days]]),$G$5,"")),"")</f>
        <v/>
      </c>
      <c r="AG49" s="36" t="str">
        <f ca="1">IFERROR(+IF(AG$27=ProposalToGnatt[[#This Row],[Start Date]],Milestone_Marker,IF(AND(AG$27&gt;ProposalToGnatt[[#This Row],[Start Date]],AG$27&lt;ProposalToGnatt[[#This Row],[Start Date]]+ProposalToGnatt[[#This Row],[Days]]),$G$5,"")),"")</f>
        <v/>
      </c>
      <c r="AH49" s="36" t="str">
        <f ca="1">IFERROR(+IF(AH$27=ProposalToGnatt[[#This Row],[Start Date]],Milestone_Marker,IF(AND(AH$27&gt;ProposalToGnatt[[#This Row],[Start Date]],AH$27&lt;ProposalToGnatt[[#This Row],[Start Date]]+ProposalToGnatt[[#This Row],[Days]]),$G$5,"")),"")</f>
        <v/>
      </c>
      <c r="AI49" s="36" t="str">
        <f ca="1">IFERROR(+IF(AI$27=ProposalToGnatt[[#This Row],[Start Date]],Milestone_Marker,IF(AND(AI$27&gt;ProposalToGnatt[[#This Row],[Start Date]],AI$27&lt;ProposalToGnatt[[#This Row],[Start Date]]+ProposalToGnatt[[#This Row],[Days]]),$G$5,"")),"")</f>
        <v/>
      </c>
      <c r="AJ49" s="36" t="str">
        <f ca="1">IFERROR(+IF(AJ$27=ProposalToGnatt[[#This Row],[Start Date]],Milestone_Marker,IF(AND(AJ$27&gt;ProposalToGnatt[[#This Row],[Start Date]],AJ$27&lt;ProposalToGnatt[[#This Row],[Start Date]]+ProposalToGnatt[[#This Row],[Days]]),$G$5,"")),"")</f>
        <v/>
      </c>
      <c r="AK49" s="36" t="str">
        <f ca="1">IFERROR(+IF(AK$27=ProposalToGnatt[[#This Row],[Start Date]],Milestone_Marker,IF(AND(AK$27&gt;ProposalToGnatt[[#This Row],[Start Date]],AK$27&lt;ProposalToGnatt[[#This Row],[Start Date]]+ProposalToGnatt[[#This Row],[Days]]),$G$5,"")),"")</f>
        <v/>
      </c>
      <c r="AL49" s="36" t="str">
        <f ca="1">IFERROR(+IF(AL$27=ProposalToGnatt[[#This Row],[Start Date]],Milestone_Marker,IF(AND(AL$27&gt;ProposalToGnatt[[#This Row],[Start Date]],AL$27&lt;ProposalToGnatt[[#This Row],[Start Date]]+ProposalToGnatt[[#This Row],[Days]]),$G$5,"")),"")</f>
        <v/>
      </c>
      <c r="AM49" s="36" t="str">
        <f ca="1">IFERROR(+IF(AM$27=ProposalToGnatt[[#This Row],[Start Date]],Milestone_Marker,IF(AND(AM$27&gt;ProposalToGnatt[[#This Row],[Start Date]],AM$27&lt;ProposalToGnatt[[#This Row],[Start Date]]+ProposalToGnatt[[#This Row],[Days]]),$G$5,"")),"")</f>
        <v/>
      </c>
      <c r="AN49" s="36" t="str">
        <f ca="1">IFERROR(+IF(AN$27=ProposalToGnatt[[#This Row],[Start Date]],Milestone_Marker,IF(AND(AN$27&gt;ProposalToGnatt[[#This Row],[Start Date]],AN$27&lt;ProposalToGnatt[[#This Row],[Start Date]]+ProposalToGnatt[[#This Row],[Days]]),$G$5,"")),"")</f>
        <v/>
      </c>
      <c r="AO49" s="36" t="str">
        <f ca="1">IFERROR(+IF(AO$27=ProposalToGnatt[[#This Row],[Start Date]],Milestone_Marker,IF(AND(AO$27&gt;ProposalToGnatt[[#This Row],[Start Date]],AO$27&lt;ProposalToGnatt[[#This Row],[Start Date]]+ProposalToGnatt[[#This Row],[Days]]),$G$5,"")),"")</f>
        <v/>
      </c>
      <c r="AP49" s="36" t="str">
        <f ca="1">IFERROR(+IF(AP$27=ProposalToGnatt[[#This Row],[Start Date]],Milestone_Marker,IF(AND(AP$27&gt;ProposalToGnatt[[#This Row],[Start Date]],AP$27&lt;ProposalToGnatt[[#This Row],[Start Date]]+ProposalToGnatt[[#This Row],[Days]]),$G$5,"")),"")</f>
        <v/>
      </c>
      <c r="AQ49" s="36" t="str">
        <f ca="1">IFERROR(+IF(AQ$27=ProposalToGnatt[[#This Row],[Start Date]],Milestone_Marker,IF(AND(AQ$27&gt;ProposalToGnatt[[#This Row],[Start Date]],AQ$27&lt;ProposalToGnatt[[#This Row],[Start Date]]+ProposalToGnatt[[#This Row],[Days]]),$G$5,"")),"")</f>
        <v/>
      </c>
      <c r="AR49" s="36" t="str">
        <f ca="1">IFERROR(+IF(AR$27=ProposalToGnatt[[#This Row],[Start Date]],Milestone_Marker,IF(AND(AR$27&gt;ProposalToGnatt[[#This Row],[Start Date]],AR$27&lt;ProposalToGnatt[[#This Row],[Start Date]]+ProposalToGnatt[[#This Row],[Days]]),$G$5,"")),"")</f>
        <v/>
      </c>
      <c r="AS49" s="36" t="str">
        <f ca="1">IFERROR(+IF(AS$27=ProposalToGnatt[[#This Row],[Start Date]],Milestone_Marker,IF(AND(AS$27&gt;ProposalToGnatt[[#This Row],[Start Date]],AS$27&lt;ProposalToGnatt[[#This Row],[Start Date]]+ProposalToGnatt[[#This Row],[Days]]),$G$5,"")),"")</f>
        <v/>
      </c>
      <c r="AT49" s="36" t="str">
        <f ca="1">IFERROR(+IF(AT$27=ProposalToGnatt[[#This Row],[Start Date]],Milestone_Marker,IF(AND(AT$27&gt;ProposalToGnatt[[#This Row],[Start Date]],AT$27&lt;ProposalToGnatt[[#This Row],[Start Date]]+ProposalToGnatt[[#This Row],[Days]]),$G$5,"")),"")</f>
        <v/>
      </c>
      <c r="AU49" s="36" t="str">
        <f ca="1">IFERROR(+IF(AU$27=ProposalToGnatt[[#This Row],[Start Date]],Milestone_Marker,IF(AND(AU$27&gt;ProposalToGnatt[[#This Row],[Start Date]],AU$27&lt;ProposalToGnatt[[#This Row],[Start Date]]+ProposalToGnatt[[#This Row],[Days]]),$G$5,"")),"")</f>
        <v/>
      </c>
      <c r="AV49" s="36" t="str">
        <f ca="1">IFERROR(+IF(AV$27=ProposalToGnatt[[#This Row],[Start Date]],Milestone_Marker,IF(AND(AV$27&gt;ProposalToGnatt[[#This Row],[Start Date]],AV$27&lt;ProposalToGnatt[[#This Row],[Start Date]]+ProposalToGnatt[[#This Row],[Days]]),$G$5,"")),"")</f>
        <v/>
      </c>
      <c r="AW49" s="36" t="str">
        <f ca="1">IFERROR(+IF(AW$27=ProposalToGnatt[[#This Row],[Start Date]],Milestone_Marker,IF(AND(AW$27&gt;ProposalToGnatt[[#This Row],[Start Date]],AW$27&lt;ProposalToGnatt[[#This Row],[Start Date]]+ProposalToGnatt[[#This Row],[Days]]),$G$5,"")),"")</f>
        <v/>
      </c>
      <c r="AX49" s="36" t="str">
        <f ca="1">IFERROR(+IF(AX$27=ProposalToGnatt[[#This Row],[Start Date]],Milestone_Marker,IF(AND(AX$27&gt;ProposalToGnatt[[#This Row],[Start Date]],AX$27&lt;ProposalToGnatt[[#This Row],[Start Date]]+ProposalToGnatt[[#This Row],[Days]]),$G$5,"")),"")</f>
        <v/>
      </c>
      <c r="AY49" s="36" t="str">
        <f ca="1">IFERROR(+IF(AY$27=ProposalToGnatt[[#This Row],[Start Date]],Milestone_Marker,IF(AND(AY$27&gt;ProposalToGnatt[[#This Row],[Start Date]],AY$27&lt;ProposalToGnatt[[#This Row],[Start Date]]+ProposalToGnatt[[#This Row],[Days]]),$G$5,"")),"")</f>
        <v/>
      </c>
      <c r="AZ49" s="36" t="str">
        <f ca="1">IFERROR(+IF(AZ$27=ProposalToGnatt[[#This Row],[Start Date]],Milestone_Marker,IF(AND(AZ$27&gt;ProposalToGnatt[[#This Row],[Start Date]],AZ$27&lt;ProposalToGnatt[[#This Row],[Start Date]]+ProposalToGnatt[[#This Row],[Days]]),$G$5,"")),"")</f>
        <v/>
      </c>
      <c r="BA49" s="36" t="str">
        <f ca="1">IFERROR(+IF(BA$27=ProposalToGnatt[[#This Row],[Start Date]],Milestone_Marker,IF(AND(BA$27&gt;ProposalToGnatt[[#This Row],[Start Date]],BA$27&lt;ProposalToGnatt[[#This Row],[Start Date]]+ProposalToGnatt[[#This Row],[Days]]),$G$5,"")),"")</f>
        <v/>
      </c>
      <c r="BB49" s="36" t="str">
        <f ca="1">IFERROR(+IF(BB$27=ProposalToGnatt[[#This Row],[Start Date]],Milestone_Marker,IF(AND(BB$27&gt;ProposalToGnatt[[#This Row],[Start Date]],BB$27&lt;ProposalToGnatt[[#This Row],[Start Date]]+ProposalToGnatt[[#This Row],[Days]]),$G$5,"")),"")</f>
        <v/>
      </c>
      <c r="BC49" s="36" t="str">
        <f ca="1">IFERROR(+IF(BC$27=ProposalToGnatt[[#This Row],[Start Date]],Milestone_Marker,IF(AND(BC$27&gt;ProposalToGnatt[[#This Row],[Start Date]],BC$27&lt;ProposalToGnatt[[#This Row],[Start Date]]+ProposalToGnatt[[#This Row],[Days]]),$G$5,"")),"")</f>
        <v/>
      </c>
      <c r="BD49" s="36" t="str">
        <f ca="1">IFERROR(+IF(BD$27=ProposalToGnatt[[#This Row],[Start Date]],Milestone_Marker,IF(AND(BD$27&gt;ProposalToGnatt[[#This Row],[Start Date]],BD$27&lt;ProposalToGnatt[[#This Row],[Start Date]]+ProposalToGnatt[[#This Row],[Days]]),$G$5,"")),"")</f>
        <v/>
      </c>
      <c r="BE49" s="36" t="str">
        <f ca="1">IFERROR(+IF(BE$27=ProposalToGnatt[[#This Row],[Start Date]],Milestone_Marker,IF(AND(BE$27&gt;ProposalToGnatt[[#This Row],[Start Date]],BE$27&lt;ProposalToGnatt[[#This Row],[Start Date]]+ProposalToGnatt[[#This Row],[Days]]),$G$5,"")),"")</f>
        <v/>
      </c>
      <c r="BF49" s="36" t="str">
        <f ca="1">IFERROR(+IF(BF$27=ProposalToGnatt[[#This Row],[Start Date]],Milestone_Marker,IF(AND(BF$27&gt;ProposalToGnatt[[#This Row],[Start Date]],BF$27&lt;ProposalToGnatt[[#This Row],[Start Date]]+ProposalToGnatt[[#This Row],[Days]]),$G$5,"")),"")</f>
        <v/>
      </c>
      <c r="BG49" s="36" t="str">
        <f ca="1">IFERROR(+IF(BG$27=ProposalToGnatt[[#This Row],[Start Date]],Milestone_Marker,IF(AND(BG$27&gt;ProposalToGnatt[[#This Row],[Start Date]],BG$27&lt;ProposalToGnatt[[#This Row],[Start Date]]+ProposalToGnatt[[#This Row],[Days]]),$G$5,"")),"")</f>
        <v/>
      </c>
      <c r="BH49" s="36" t="str">
        <f ca="1">IFERROR(+IF(BH$27=ProposalToGnatt[[#This Row],[Start Date]],Milestone_Marker,IF(AND(BH$27&gt;ProposalToGnatt[[#This Row],[Start Date]],BH$27&lt;ProposalToGnatt[[#This Row],[Start Date]]+ProposalToGnatt[[#This Row],[Days]]),$G$5,"")),"")</f>
        <v/>
      </c>
      <c r="BI49" s="36" t="str">
        <f ca="1">IFERROR(+IF(BI$27=ProposalToGnatt[[#This Row],[Start Date]],Milestone_Marker,IF(AND(BI$27&gt;ProposalToGnatt[[#This Row],[Start Date]],BI$27&lt;ProposalToGnatt[[#This Row],[Start Date]]+ProposalToGnatt[[#This Row],[Days]]),$G$5,"")),"")</f>
        <v/>
      </c>
      <c r="BJ49" s="36" t="str">
        <f ca="1">IFERROR(+IF(BJ$27=ProposalToGnatt[[#This Row],[Start Date]],Milestone_Marker,IF(AND(BJ$27&gt;ProposalToGnatt[[#This Row],[Start Date]],BJ$27&lt;ProposalToGnatt[[#This Row],[Start Date]]+ProposalToGnatt[[#This Row],[Days]]),$G$5,"")),"")</f>
        <v/>
      </c>
      <c r="BK49" s="36" t="str">
        <f ca="1">IFERROR(+IF(BK$27=ProposalToGnatt[[#This Row],[Start Date]],Milestone_Marker,IF(AND(BK$27&gt;ProposalToGnatt[[#This Row],[Start Date]],BK$27&lt;ProposalToGnatt[[#This Row],[Start Date]]+ProposalToGnatt[[#This Row],[Days]]),$G$5,"")),"")</f>
        <v/>
      </c>
      <c r="BL49" s="36" t="str">
        <f ca="1">IFERROR(+IF(BL$27=ProposalToGnatt[[#This Row],[Start Date]],Milestone_Marker,IF(AND(BL$27&gt;ProposalToGnatt[[#This Row],[Start Date]],BL$27&lt;ProposalToGnatt[[#This Row],[Start Date]]+ProposalToGnatt[[#This Row],[Days]]),$G$5,"")),"")</f>
        <v/>
      </c>
      <c r="BM49" s="36" t="str">
        <f ca="1">IFERROR(+IF(BM$27=ProposalToGnatt[[#This Row],[Start Date]],Milestone_Marker,IF(AND(BM$27&gt;ProposalToGnatt[[#This Row],[Start Date]],BM$27&lt;ProposalToGnatt[[#This Row],[Start Date]]+ProposalToGnatt[[#This Row],[Days]]),$G$5,"")),"")</f>
        <v/>
      </c>
      <c r="BN49" s="36" t="str">
        <f ca="1">IFERROR(+IF(BN$27=ProposalToGnatt[[#This Row],[Start Date]],Milestone_Marker,IF(AND(BN$27&gt;ProposalToGnatt[[#This Row],[Start Date]],BN$27&lt;ProposalToGnatt[[#This Row],[Start Date]]+ProposalToGnatt[[#This Row],[Days]]),$G$5,"")),"")</f>
        <v/>
      </c>
      <c r="BO49" s="36" t="str">
        <f ca="1">IFERROR(+IF(BO$27=ProposalToGnatt[[#This Row],[Start Date]],Milestone_Marker,IF(AND(BO$27&gt;ProposalToGnatt[[#This Row],[Start Date]],BO$27&lt;ProposalToGnatt[[#This Row],[Start Date]]+ProposalToGnatt[[#This Row],[Days]]),$G$5,"")),"")</f>
        <v/>
      </c>
      <c r="BP49" s="36" t="str">
        <f ca="1">IFERROR(+IF(BP$27=ProposalToGnatt[[#This Row],[Start Date]],Milestone_Marker,IF(AND(BP$27&gt;ProposalToGnatt[[#This Row],[Start Date]],BP$27&lt;ProposalToGnatt[[#This Row],[Start Date]]+ProposalToGnatt[[#This Row],[Days]]),$G$5,"")),"")</f>
        <v/>
      </c>
      <c r="BQ49" s="36" t="str">
        <f ca="1">IFERROR(+IF(BQ$27=ProposalToGnatt[[#This Row],[Start Date]],Milestone_Marker,IF(AND(BQ$27&gt;ProposalToGnatt[[#This Row],[Start Date]],BQ$27&lt;ProposalToGnatt[[#This Row],[Start Date]]+ProposalToGnatt[[#This Row],[Days]]),$G$5,"")),"")</f>
        <v/>
      </c>
      <c r="BR49" s="36" t="str">
        <f ca="1">IFERROR(+IF(BR$27=ProposalToGnatt[[#This Row],[Start Date]],Milestone_Marker,IF(AND(BR$27&gt;ProposalToGnatt[[#This Row],[Start Date]],BR$27&lt;ProposalToGnatt[[#This Row],[Start Date]]+ProposalToGnatt[[#This Row],[Days]]),$G$5,"")),"")</f>
        <v/>
      </c>
      <c r="BS49" s="36" t="str">
        <f ca="1">IFERROR(+IF(BS$27=ProposalToGnatt[[#This Row],[Start Date]],Milestone_Marker,IF(AND(BS$27&gt;ProposalToGnatt[[#This Row],[Start Date]],BS$27&lt;ProposalToGnatt[[#This Row],[Start Date]]+ProposalToGnatt[[#This Row],[Days]]),$G$5,"")),"")</f>
        <v/>
      </c>
      <c r="BT49" s="36" t="str">
        <f ca="1">IFERROR(+IF(BT$27=ProposalToGnatt[[#This Row],[Start Date]],Milestone_Marker,IF(AND(BT$27&gt;ProposalToGnatt[[#This Row],[Start Date]],BT$27&lt;ProposalToGnatt[[#This Row],[Start Date]]+ProposalToGnatt[[#This Row],[Days]]),$G$5,"")),"")</f>
        <v/>
      </c>
      <c r="BU49" s="36" t="str">
        <f ca="1">IFERROR(+IF(BU$27=ProposalToGnatt[[#This Row],[Start Date]],Milestone_Marker,IF(AND(BU$27&gt;ProposalToGnatt[[#This Row],[Start Date]],BU$27&lt;ProposalToGnatt[[#This Row],[Start Date]]+ProposalToGnatt[[#This Row],[Days]]),$G$5,"")),"")</f>
        <v/>
      </c>
      <c r="BV49" s="36" t="str">
        <f ca="1">IFERROR(+IF(BV$27=ProposalToGnatt[[#This Row],[Start Date]],Milestone_Marker,IF(AND(BV$27&gt;ProposalToGnatt[[#This Row],[Start Date]],BV$27&lt;ProposalToGnatt[[#This Row],[Start Date]]+ProposalToGnatt[[#This Row],[Days]]),$G$5,"")),"")</f>
        <v/>
      </c>
      <c r="BW49" s="36" t="str">
        <f ca="1">IFERROR(+IF(BW$27=ProposalToGnatt[[#This Row],[Start Date]],Milestone_Marker,IF(AND(BW$27&gt;ProposalToGnatt[[#This Row],[Start Date]],BW$27&lt;ProposalToGnatt[[#This Row],[Start Date]]+ProposalToGnatt[[#This Row],[Days]]),$G$5,"")),"")</f>
        <v/>
      </c>
      <c r="BX49" s="36" t="str">
        <f ca="1">IFERROR(+IF(BX$27=ProposalToGnatt[[#This Row],[Start Date]],Milestone_Marker,IF(AND(BX$27&gt;ProposalToGnatt[[#This Row],[Start Date]],BX$27&lt;ProposalToGnatt[[#This Row],[Start Date]]+ProposalToGnatt[[#This Row],[Days]]),$G$5,"")),"")</f>
        <v/>
      </c>
      <c r="BY49" s="36" t="str">
        <f ca="1">IFERROR(+IF(BY$27=ProposalToGnatt[[#This Row],[Start Date]],Milestone_Marker,IF(AND(BY$27&gt;ProposalToGnatt[[#This Row],[Start Date]],BY$27&lt;ProposalToGnatt[[#This Row],[Start Date]]+ProposalToGnatt[[#This Row],[Days]]),$G$5,"")),"")</f>
        <v/>
      </c>
      <c r="BZ49" s="36" t="str">
        <f ca="1">IFERROR(+IF(BZ$27=ProposalToGnatt[[#This Row],[Start Date]],Milestone_Marker,IF(AND(BZ$27&gt;ProposalToGnatt[[#This Row],[Start Date]],BZ$27&lt;ProposalToGnatt[[#This Row],[Start Date]]+ProposalToGnatt[[#This Row],[Days]]),$G$5,"")),"")</f>
        <v/>
      </c>
      <c r="CA49" s="36" t="str">
        <f ca="1">IFERROR(+IF(CA$27=ProposalToGnatt[[#This Row],[Start Date]],Milestone_Marker,IF(AND(CA$27&gt;ProposalToGnatt[[#This Row],[Start Date]],CA$27&lt;ProposalToGnatt[[#This Row],[Start Date]]+ProposalToGnatt[[#This Row],[Days]]),$G$5,"")),"")</f>
        <v/>
      </c>
      <c r="CB49" s="36" t="str">
        <f ca="1">IFERROR(+IF(CB$27=ProposalToGnatt[[#This Row],[Start Date]],Milestone_Marker,IF(AND(CB$27&gt;ProposalToGnatt[[#This Row],[Start Date]],CB$27&lt;ProposalToGnatt[[#This Row],[Start Date]]+ProposalToGnatt[[#This Row],[Days]]),$G$5,"")),"")</f>
        <v/>
      </c>
      <c r="CC49" s="36" t="str">
        <f ca="1">IFERROR(+IF(CC$27=ProposalToGnatt[[#This Row],[Start Date]],Milestone_Marker,IF(AND(CC$27&gt;ProposalToGnatt[[#This Row],[Start Date]],CC$27&lt;ProposalToGnatt[[#This Row],[Start Date]]+ProposalToGnatt[[#This Row],[Days]]),$G$5,"")),"")</f>
        <v/>
      </c>
      <c r="CD49" s="36" t="str">
        <f ca="1">IFERROR(+IF(CD$27=ProposalToGnatt[[#This Row],[Start Date]],Milestone_Marker,IF(AND(CD$27&gt;ProposalToGnatt[[#This Row],[Start Date]],CD$27&lt;ProposalToGnatt[[#This Row],[Start Date]]+ProposalToGnatt[[#This Row],[Days]]),$G$5,"")),"")</f>
        <v/>
      </c>
      <c r="CE49" s="36" t="str">
        <f ca="1">IFERROR(+IF(CE$27=ProposalToGnatt[[#This Row],[Start Date]],Milestone_Marker,IF(AND(CE$27&gt;ProposalToGnatt[[#This Row],[Start Date]],CE$27&lt;ProposalToGnatt[[#This Row],[Start Date]]+ProposalToGnatt[[#This Row],[Days]]),$G$5,"")),"")</f>
        <v/>
      </c>
      <c r="CF49" s="36" t="str">
        <f ca="1">IFERROR(+IF(CF$27=ProposalToGnatt[[#This Row],[Start Date]],Milestone_Marker,IF(AND(CF$27&gt;ProposalToGnatt[[#This Row],[Start Date]],CF$27&lt;ProposalToGnatt[[#This Row],[Start Date]]+ProposalToGnatt[[#This Row],[Days]]),$G$5,"")),"")</f>
        <v/>
      </c>
      <c r="CG49" s="36" t="str">
        <f ca="1">IFERROR(+IF(CG$27=ProposalToGnatt[[#This Row],[Start Date]],Milestone_Marker,IF(AND(CG$27&gt;ProposalToGnatt[[#This Row],[Start Date]],CG$27&lt;ProposalToGnatt[[#This Row],[Start Date]]+ProposalToGnatt[[#This Row],[Days]]),$G$5,"")),"")</f>
        <v/>
      </c>
      <c r="CH49" s="36" t="str">
        <f ca="1">IFERROR(+IF(CH$27=ProposalToGnatt[[#This Row],[Start Date]],Milestone_Marker,IF(AND(CH$27&gt;ProposalToGnatt[[#This Row],[Start Date]],CH$27&lt;ProposalToGnatt[[#This Row],[Start Date]]+ProposalToGnatt[[#This Row],[Days]]),$G$5,"")),"")</f>
        <v/>
      </c>
      <c r="CI49" s="36" t="str">
        <f ca="1">IFERROR(+IF(CI$27=ProposalToGnatt[[#This Row],[Start Date]],Milestone_Marker,IF(AND(CI$27&gt;ProposalToGnatt[[#This Row],[Start Date]],CI$27&lt;ProposalToGnatt[[#This Row],[Start Date]]+ProposalToGnatt[[#This Row],[Days]]),$G$5,"")),"")</f>
        <v/>
      </c>
      <c r="CJ49" s="36" t="str">
        <f ca="1">IFERROR(+IF(CJ$27=ProposalToGnatt[[#This Row],[Start Date]],Milestone_Marker,IF(AND(CJ$27&gt;ProposalToGnatt[[#This Row],[Start Date]],CJ$27&lt;ProposalToGnatt[[#This Row],[Start Date]]+ProposalToGnatt[[#This Row],[Days]]),$G$5,"")),"")</f>
        <v/>
      </c>
      <c r="CK49" s="36" t="str">
        <f ca="1">IFERROR(+IF(CK$27=ProposalToGnatt[[#This Row],[Start Date]],Milestone_Marker,IF(AND(CK$27&gt;ProposalToGnatt[[#This Row],[Start Date]],CK$27&lt;ProposalToGnatt[[#This Row],[Start Date]]+ProposalToGnatt[[#This Row],[Days]]),$G$5,"")),"")</f>
        <v/>
      </c>
      <c r="CL49" s="36" t="str">
        <f ca="1">IFERROR(+IF(CL$27=ProposalToGnatt[[#This Row],[Start Date]],Milestone_Marker,IF(AND(CL$27&gt;ProposalToGnatt[[#This Row],[Start Date]],CL$27&lt;ProposalToGnatt[[#This Row],[Start Date]]+ProposalToGnatt[[#This Row],[Days]]),$G$5,"")),"")</f>
        <v/>
      </c>
      <c r="CM49" s="36" t="str">
        <f ca="1">IFERROR(+IF(CM$27=ProposalToGnatt[[#This Row],[Start Date]],Milestone_Marker,IF(AND(CM$27&gt;ProposalToGnatt[[#This Row],[Start Date]],CM$27&lt;ProposalToGnatt[[#This Row],[Start Date]]+ProposalToGnatt[[#This Row],[Days]]),$G$5,"")),"")</f>
        <v/>
      </c>
      <c r="CN49" s="36" t="str">
        <f ca="1">IFERROR(+IF(CN$27=ProposalToGnatt[[#This Row],[Start Date]],Milestone_Marker,IF(AND(CN$27&gt;ProposalToGnatt[[#This Row],[Start Date]],CN$27&lt;ProposalToGnatt[[#This Row],[Start Date]]+ProposalToGnatt[[#This Row],[Days]]),$G$5,"")),"")</f>
        <v/>
      </c>
      <c r="CO49" s="36" t="str">
        <f ca="1">IFERROR(+IF(CO$27=ProposalToGnatt[[#This Row],[Start Date]],Milestone_Marker,IF(AND(CO$27&gt;ProposalToGnatt[[#This Row],[Start Date]],CO$27&lt;ProposalToGnatt[[#This Row],[Start Date]]+ProposalToGnatt[[#This Row],[Days]]),$G$5,"")),"")</f>
        <v/>
      </c>
      <c r="CP49" s="36" t="str">
        <f ca="1">IFERROR(+IF(CP$27=ProposalToGnatt[[#This Row],[Start Date]],Milestone_Marker,IF(AND(CP$27&gt;ProposalToGnatt[[#This Row],[Start Date]],CP$27&lt;ProposalToGnatt[[#This Row],[Start Date]]+ProposalToGnatt[[#This Row],[Days]]),$G$5,"")),"")</f>
        <v/>
      </c>
      <c r="CQ49" s="36" t="str">
        <f ca="1">IFERROR(+IF(CQ$27=ProposalToGnatt[[#This Row],[Start Date]],Milestone_Marker,IF(AND(CQ$27&gt;ProposalToGnatt[[#This Row],[Start Date]],CQ$27&lt;ProposalToGnatt[[#This Row],[Start Date]]+ProposalToGnatt[[#This Row],[Days]]),$G$5,"")),"")</f>
        <v/>
      </c>
      <c r="CR49" s="36" t="str">
        <f ca="1">IFERROR(+IF(CR$27=ProposalToGnatt[[#This Row],[Start Date]],Milestone_Marker,IF(AND(CR$27&gt;ProposalToGnatt[[#This Row],[Start Date]],CR$27&lt;ProposalToGnatt[[#This Row],[Start Date]]+ProposalToGnatt[[#This Row],[Days]]),$G$5,"")),"")</f>
        <v/>
      </c>
      <c r="CS49" s="36" t="str">
        <f ca="1">IFERROR(+IF(CS$27=ProposalToGnatt[[#This Row],[Start Date]],Milestone_Marker,IF(AND(CS$27&gt;ProposalToGnatt[[#This Row],[Start Date]],CS$27&lt;ProposalToGnatt[[#This Row],[Start Date]]+ProposalToGnatt[[#This Row],[Days]]),$G$5,"")),"")</f>
        <v/>
      </c>
      <c r="CT49" s="36" t="str">
        <f ca="1">IFERROR(+IF(CT$27=ProposalToGnatt[[#This Row],[Start Date]],Milestone_Marker,IF(AND(CT$27&gt;ProposalToGnatt[[#This Row],[Start Date]],CT$27&lt;ProposalToGnatt[[#This Row],[Start Date]]+ProposalToGnatt[[#This Row],[Days]]),$G$5,"")),"")</f>
        <v/>
      </c>
      <c r="CU49" s="36" t="str">
        <f ca="1">IFERROR(+IF(CU$27=ProposalToGnatt[[#This Row],[Start Date]],Milestone_Marker,IF(AND(CU$27&gt;ProposalToGnatt[[#This Row],[Start Date]],CU$27&lt;ProposalToGnatt[[#This Row],[Start Date]]+ProposalToGnatt[[#This Row],[Days]]),$G$5,"")),"")</f>
        <v/>
      </c>
      <c r="CV49" s="36"/>
      <c r="CW49" s="36"/>
      <c r="CX49" s="36"/>
      <c r="CY49" s="36"/>
      <c r="CZ49" s="36"/>
      <c r="DA49" s="36"/>
      <c r="DB49" s="36"/>
      <c r="DC49" s="36"/>
      <c r="DD49" s="36"/>
      <c r="DE49" s="36"/>
      <c r="DF49" s="36"/>
      <c r="DG49" s="36"/>
      <c r="DH49" s="36"/>
      <c r="DI49" s="36"/>
      <c r="DJ49" s="36"/>
      <c r="DK49" s="36"/>
      <c r="DL49" s="36"/>
      <c r="DM49" s="36"/>
      <c r="DN49" s="36"/>
      <c r="DO49" s="36"/>
      <c r="DP49" s="36"/>
      <c r="DQ49" s="36"/>
      <c r="DR49" s="36"/>
      <c r="DS49" s="36"/>
      <c r="DT49" s="36"/>
      <c r="DU49" s="36"/>
    </row>
    <row r="50" spans="1:125" s="41" customFormat="1" ht="15" x14ac:dyDescent="0.25">
      <c r="A50" t="s">
        <v>263</v>
      </c>
      <c r="B50">
        <v>23</v>
      </c>
      <c r="C50"/>
      <c r="D50"/>
      <c r="E50"/>
      <c r="F50"/>
      <c r="G50" s="14"/>
      <c r="H50" s="14"/>
      <c r="I50"/>
      <c r="J50"/>
      <c r="K50" s="246"/>
      <c r="L50"/>
      <c r="M50" s="14"/>
      <c r="N50" s="299"/>
      <c r="O50" s="281"/>
      <c r="P50" s="36" t="str">
        <f ca="1">IFERROR(+IF(P$27=ProposalToGnatt[[#This Row],[Start Date]],Milestone_Marker,IF(AND(P$27&gt;ProposalToGnatt[[#This Row],[Start Date]],P$27&lt;ProposalToGnatt[[#This Row],[Start Date]]+ProposalToGnatt[[#This Row],[Days]]),$G$5,"")),"")</f>
        <v/>
      </c>
      <c r="Q50" s="36" t="str">
        <f ca="1">IFERROR(+IF(Q$27=ProposalToGnatt[[#This Row],[Start Date]],Milestone_Marker,IF(AND(Q$27&gt;ProposalToGnatt[[#This Row],[Start Date]],Q$27&lt;ProposalToGnatt[[#This Row],[Start Date]]+ProposalToGnatt[[#This Row],[Days]]),$G$5,"")),"")</f>
        <v/>
      </c>
      <c r="R50" s="36" t="str">
        <f ca="1">IFERROR(+IF(R$27=ProposalToGnatt[[#This Row],[Start Date]],Milestone_Marker,IF(AND(R$27&gt;ProposalToGnatt[[#This Row],[Start Date]],R$27&lt;ProposalToGnatt[[#This Row],[Start Date]]+ProposalToGnatt[[#This Row],[Days]]),$G$5,"")),"")</f>
        <v/>
      </c>
      <c r="S50" s="36" t="str">
        <f ca="1">IFERROR(+IF(S$27=ProposalToGnatt[[#This Row],[Start Date]],Milestone_Marker,IF(AND(S$27&gt;ProposalToGnatt[[#This Row],[Start Date]],S$27&lt;ProposalToGnatt[[#This Row],[Start Date]]+ProposalToGnatt[[#This Row],[Days]]),$G$5,"")),"")</f>
        <v/>
      </c>
      <c r="T50" s="36" t="str">
        <f ca="1">IFERROR(+IF(T$27=ProposalToGnatt[[#This Row],[Start Date]],Milestone_Marker,IF(AND(T$27&gt;ProposalToGnatt[[#This Row],[Start Date]],T$27&lt;ProposalToGnatt[[#This Row],[Start Date]]+ProposalToGnatt[[#This Row],[Days]]),$G$5,"")),"")</f>
        <v/>
      </c>
      <c r="U50" s="36" t="str">
        <f ca="1">IFERROR(+IF(U$27=ProposalToGnatt[[#This Row],[Start Date]],Milestone_Marker,IF(AND(U$27&gt;ProposalToGnatt[[#This Row],[Start Date]],U$27&lt;ProposalToGnatt[[#This Row],[Start Date]]+ProposalToGnatt[[#This Row],[Days]]),$G$5,"")),"")</f>
        <v/>
      </c>
      <c r="V50" s="36" t="str">
        <f ca="1">IFERROR(+IF(V$27=ProposalToGnatt[[#This Row],[Start Date]],Milestone_Marker,IF(AND(V$27&gt;ProposalToGnatt[[#This Row],[Start Date]],V$27&lt;ProposalToGnatt[[#This Row],[Start Date]]+ProposalToGnatt[[#This Row],[Days]]),$G$5,"")),"")</f>
        <v/>
      </c>
      <c r="W50" s="36" t="str">
        <f ca="1">IFERROR(+IF(W$27=ProposalToGnatt[[#This Row],[Start Date]],Milestone_Marker,IF(AND(W$27&gt;ProposalToGnatt[[#This Row],[Start Date]],W$27&lt;ProposalToGnatt[[#This Row],[Start Date]]+ProposalToGnatt[[#This Row],[Days]]),$G$5,"")),"")</f>
        <v/>
      </c>
      <c r="X50" s="36" t="str">
        <f ca="1">IFERROR(+IF(X$27=ProposalToGnatt[[#This Row],[Start Date]],Milestone_Marker,IF(AND(X$27&gt;ProposalToGnatt[[#This Row],[Start Date]],X$27&lt;ProposalToGnatt[[#This Row],[Start Date]]+ProposalToGnatt[[#This Row],[Days]]),$G$5,"")),"")</f>
        <v/>
      </c>
      <c r="Y50" s="36" t="str">
        <f ca="1">IFERROR(+IF(Y$27=ProposalToGnatt[[#This Row],[Start Date]],Milestone_Marker,IF(AND(Y$27&gt;ProposalToGnatt[[#This Row],[Start Date]],Y$27&lt;ProposalToGnatt[[#This Row],[Start Date]]+ProposalToGnatt[[#This Row],[Days]]),$G$5,"")),"")</f>
        <v/>
      </c>
      <c r="Z50" s="36" t="str">
        <f ca="1">IFERROR(+IF(Z$27=ProposalToGnatt[[#This Row],[Start Date]],Milestone_Marker,IF(AND(Z$27&gt;ProposalToGnatt[[#This Row],[Start Date]],Z$27&lt;ProposalToGnatt[[#This Row],[Start Date]]+ProposalToGnatt[[#This Row],[Days]]),$G$5,"")),"")</f>
        <v/>
      </c>
      <c r="AA50" s="36" t="str">
        <f ca="1">IFERROR(+IF(AA$27=ProposalToGnatt[[#This Row],[Start Date]],Milestone_Marker,IF(AND(AA$27&gt;ProposalToGnatt[[#This Row],[Start Date]],AA$27&lt;ProposalToGnatt[[#This Row],[Start Date]]+ProposalToGnatt[[#This Row],[Days]]),$G$5,"")),"")</f>
        <v/>
      </c>
      <c r="AB50" s="36" t="str">
        <f ca="1">IFERROR(+IF(AB$27=ProposalToGnatt[[#This Row],[Start Date]],Milestone_Marker,IF(AND(AB$27&gt;ProposalToGnatt[[#This Row],[Start Date]],AB$27&lt;ProposalToGnatt[[#This Row],[Start Date]]+ProposalToGnatt[[#This Row],[Days]]),$G$5,"")),"")</f>
        <v/>
      </c>
      <c r="AC50" s="36" t="str">
        <f ca="1">IFERROR(+IF(AC$27=ProposalToGnatt[[#This Row],[Start Date]],Milestone_Marker,IF(AND(AC$27&gt;ProposalToGnatt[[#This Row],[Start Date]],AC$27&lt;ProposalToGnatt[[#This Row],[Start Date]]+ProposalToGnatt[[#This Row],[Days]]),$G$5,"")),"")</f>
        <v/>
      </c>
      <c r="AD50" s="36" t="str">
        <f ca="1">IFERROR(+IF(AD$27=ProposalToGnatt[[#This Row],[Start Date]],Milestone_Marker,IF(AND(AD$27&gt;ProposalToGnatt[[#This Row],[Start Date]],AD$27&lt;ProposalToGnatt[[#This Row],[Start Date]]+ProposalToGnatt[[#This Row],[Days]]),$G$5,"")),"")</f>
        <v/>
      </c>
      <c r="AE50" s="36" t="str">
        <f ca="1">IFERROR(+IF(AE$27=ProposalToGnatt[[#This Row],[Start Date]],Milestone_Marker,IF(AND(AE$27&gt;ProposalToGnatt[[#This Row],[Start Date]],AE$27&lt;ProposalToGnatt[[#This Row],[Start Date]]+ProposalToGnatt[[#This Row],[Days]]),$G$5,"")),"")</f>
        <v/>
      </c>
      <c r="AF50" s="36" t="str">
        <f ca="1">IFERROR(+IF(AF$27=ProposalToGnatt[[#This Row],[Start Date]],Milestone_Marker,IF(AND(AF$27&gt;ProposalToGnatt[[#This Row],[Start Date]],AF$27&lt;ProposalToGnatt[[#This Row],[Start Date]]+ProposalToGnatt[[#This Row],[Days]]),$G$5,"")),"")</f>
        <v/>
      </c>
      <c r="AG50" s="36" t="str">
        <f ca="1">IFERROR(+IF(AG$27=ProposalToGnatt[[#This Row],[Start Date]],Milestone_Marker,IF(AND(AG$27&gt;ProposalToGnatt[[#This Row],[Start Date]],AG$27&lt;ProposalToGnatt[[#This Row],[Start Date]]+ProposalToGnatt[[#This Row],[Days]]),$G$5,"")),"")</f>
        <v/>
      </c>
      <c r="AH50" s="36" t="str">
        <f ca="1">IFERROR(+IF(AH$27=ProposalToGnatt[[#This Row],[Start Date]],Milestone_Marker,IF(AND(AH$27&gt;ProposalToGnatt[[#This Row],[Start Date]],AH$27&lt;ProposalToGnatt[[#This Row],[Start Date]]+ProposalToGnatt[[#This Row],[Days]]),$G$5,"")),"")</f>
        <v/>
      </c>
      <c r="AI50" s="36" t="str">
        <f ca="1">IFERROR(+IF(AI$27=ProposalToGnatt[[#This Row],[Start Date]],Milestone_Marker,IF(AND(AI$27&gt;ProposalToGnatt[[#This Row],[Start Date]],AI$27&lt;ProposalToGnatt[[#This Row],[Start Date]]+ProposalToGnatt[[#This Row],[Days]]),$G$5,"")),"")</f>
        <v/>
      </c>
      <c r="AJ50" s="36" t="str">
        <f ca="1">IFERROR(+IF(AJ$27=ProposalToGnatt[[#This Row],[Start Date]],Milestone_Marker,IF(AND(AJ$27&gt;ProposalToGnatt[[#This Row],[Start Date]],AJ$27&lt;ProposalToGnatt[[#This Row],[Start Date]]+ProposalToGnatt[[#This Row],[Days]]),$G$5,"")),"")</f>
        <v/>
      </c>
      <c r="AK50" s="36" t="str">
        <f ca="1">IFERROR(+IF(AK$27=ProposalToGnatt[[#This Row],[Start Date]],Milestone_Marker,IF(AND(AK$27&gt;ProposalToGnatt[[#This Row],[Start Date]],AK$27&lt;ProposalToGnatt[[#This Row],[Start Date]]+ProposalToGnatt[[#This Row],[Days]]),$G$5,"")),"")</f>
        <v/>
      </c>
      <c r="AL50" s="36" t="str">
        <f ca="1">IFERROR(+IF(AL$27=ProposalToGnatt[[#This Row],[Start Date]],Milestone_Marker,IF(AND(AL$27&gt;ProposalToGnatt[[#This Row],[Start Date]],AL$27&lt;ProposalToGnatt[[#This Row],[Start Date]]+ProposalToGnatt[[#This Row],[Days]]),$G$5,"")),"")</f>
        <v/>
      </c>
      <c r="AM50" s="36" t="str">
        <f ca="1">IFERROR(+IF(AM$27=ProposalToGnatt[[#This Row],[Start Date]],Milestone_Marker,IF(AND(AM$27&gt;ProposalToGnatt[[#This Row],[Start Date]],AM$27&lt;ProposalToGnatt[[#This Row],[Start Date]]+ProposalToGnatt[[#This Row],[Days]]),$G$5,"")),"")</f>
        <v/>
      </c>
      <c r="AN50" s="36" t="str">
        <f ca="1">IFERROR(+IF(AN$27=ProposalToGnatt[[#This Row],[Start Date]],Milestone_Marker,IF(AND(AN$27&gt;ProposalToGnatt[[#This Row],[Start Date]],AN$27&lt;ProposalToGnatt[[#This Row],[Start Date]]+ProposalToGnatt[[#This Row],[Days]]),$G$5,"")),"")</f>
        <v/>
      </c>
      <c r="AO50" s="36" t="str">
        <f ca="1">IFERROR(+IF(AO$27=ProposalToGnatt[[#This Row],[Start Date]],Milestone_Marker,IF(AND(AO$27&gt;ProposalToGnatt[[#This Row],[Start Date]],AO$27&lt;ProposalToGnatt[[#This Row],[Start Date]]+ProposalToGnatt[[#This Row],[Days]]),$G$5,"")),"")</f>
        <v/>
      </c>
      <c r="AP50" s="36" t="str">
        <f ca="1">IFERROR(+IF(AP$27=ProposalToGnatt[[#This Row],[Start Date]],Milestone_Marker,IF(AND(AP$27&gt;ProposalToGnatt[[#This Row],[Start Date]],AP$27&lt;ProposalToGnatt[[#This Row],[Start Date]]+ProposalToGnatt[[#This Row],[Days]]),$G$5,"")),"")</f>
        <v/>
      </c>
      <c r="AQ50" s="36" t="str">
        <f ca="1">IFERROR(+IF(AQ$27=ProposalToGnatt[[#This Row],[Start Date]],Milestone_Marker,IF(AND(AQ$27&gt;ProposalToGnatt[[#This Row],[Start Date]],AQ$27&lt;ProposalToGnatt[[#This Row],[Start Date]]+ProposalToGnatt[[#This Row],[Days]]),$G$5,"")),"")</f>
        <v/>
      </c>
      <c r="AR50" s="36" t="str">
        <f ca="1">IFERROR(+IF(AR$27=ProposalToGnatt[[#This Row],[Start Date]],Milestone_Marker,IF(AND(AR$27&gt;ProposalToGnatt[[#This Row],[Start Date]],AR$27&lt;ProposalToGnatt[[#This Row],[Start Date]]+ProposalToGnatt[[#This Row],[Days]]),$G$5,"")),"")</f>
        <v/>
      </c>
      <c r="AS50" s="36" t="str">
        <f ca="1">IFERROR(+IF(AS$27=ProposalToGnatt[[#This Row],[Start Date]],Milestone_Marker,IF(AND(AS$27&gt;ProposalToGnatt[[#This Row],[Start Date]],AS$27&lt;ProposalToGnatt[[#This Row],[Start Date]]+ProposalToGnatt[[#This Row],[Days]]),$G$5,"")),"")</f>
        <v/>
      </c>
      <c r="AT50" s="36" t="str">
        <f ca="1">IFERROR(+IF(AT$27=ProposalToGnatt[[#This Row],[Start Date]],Milestone_Marker,IF(AND(AT$27&gt;ProposalToGnatt[[#This Row],[Start Date]],AT$27&lt;ProposalToGnatt[[#This Row],[Start Date]]+ProposalToGnatt[[#This Row],[Days]]),$G$5,"")),"")</f>
        <v/>
      </c>
      <c r="AU50" s="36" t="str">
        <f ca="1">IFERROR(+IF(AU$27=ProposalToGnatt[[#This Row],[Start Date]],Milestone_Marker,IF(AND(AU$27&gt;ProposalToGnatt[[#This Row],[Start Date]],AU$27&lt;ProposalToGnatt[[#This Row],[Start Date]]+ProposalToGnatt[[#This Row],[Days]]),$G$5,"")),"")</f>
        <v/>
      </c>
      <c r="AV50" s="36" t="str">
        <f ca="1">IFERROR(+IF(AV$27=ProposalToGnatt[[#This Row],[Start Date]],Milestone_Marker,IF(AND(AV$27&gt;ProposalToGnatt[[#This Row],[Start Date]],AV$27&lt;ProposalToGnatt[[#This Row],[Start Date]]+ProposalToGnatt[[#This Row],[Days]]),$G$5,"")),"")</f>
        <v/>
      </c>
      <c r="AW50" s="36" t="str">
        <f ca="1">IFERROR(+IF(AW$27=ProposalToGnatt[[#This Row],[Start Date]],Milestone_Marker,IF(AND(AW$27&gt;ProposalToGnatt[[#This Row],[Start Date]],AW$27&lt;ProposalToGnatt[[#This Row],[Start Date]]+ProposalToGnatt[[#This Row],[Days]]),$G$5,"")),"")</f>
        <v/>
      </c>
      <c r="AX50" s="36" t="str">
        <f ca="1">IFERROR(+IF(AX$27=ProposalToGnatt[[#This Row],[Start Date]],Milestone_Marker,IF(AND(AX$27&gt;ProposalToGnatt[[#This Row],[Start Date]],AX$27&lt;ProposalToGnatt[[#This Row],[Start Date]]+ProposalToGnatt[[#This Row],[Days]]),$G$5,"")),"")</f>
        <v/>
      </c>
      <c r="AY50" s="36" t="str">
        <f ca="1">IFERROR(+IF(AY$27=ProposalToGnatt[[#This Row],[Start Date]],Milestone_Marker,IF(AND(AY$27&gt;ProposalToGnatt[[#This Row],[Start Date]],AY$27&lt;ProposalToGnatt[[#This Row],[Start Date]]+ProposalToGnatt[[#This Row],[Days]]),$G$5,"")),"")</f>
        <v/>
      </c>
      <c r="AZ50" s="36" t="str">
        <f ca="1">IFERROR(+IF(AZ$27=ProposalToGnatt[[#This Row],[Start Date]],Milestone_Marker,IF(AND(AZ$27&gt;ProposalToGnatt[[#This Row],[Start Date]],AZ$27&lt;ProposalToGnatt[[#This Row],[Start Date]]+ProposalToGnatt[[#This Row],[Days]]),$G$5,"")),"")</f>
        <v/>
      </c>
      <c r="BA50" s="36" t="str">
        <f ca="1">IFERROR(+IF(BA$27=ProposalToGnatt[[#This Row],[Start Date]],Milestone_Marker,IF(AND(BA$27&gt;ProposalToGnatt[[#This Row],[Start Date]],BA$27&lt;ProposalToGnatt[[#This Row],[Start Date]]+ProposalToGnatt[[#This Row],[Days]]),$G$5,"")),"")</f>
        <v/>
      </c>
      <c r="BB50" s="36" t="str">
        <f ca="1">IFERROR(+IF(BB$27=ProposalToGnatt[[#This Row],[Start Date]],Milestone_Marker,IF(AND(BB$27&gt;ProposalToGnatt[[#This Row],[Start Date]],BB$27&lt;ProposalToGnatt[[#This Row],[Start Date]]+ProposalToGnatt[[#This Row],[Days]]),$G$5,"")),"")</f>
        <v/>
      </c>
      <c r="BC50" s="36" t="str">
        <f ca="1">IFERROR(+IF(BC$27=ProposalToGnatt[[#This Row],[Start Date]],Milestone_Marker,IF(AND(BC$27&gt;ProposalToGnatt[[#This Row],[Start Date]],BC$27&lt;ProposalToGnatt[[#This Row],[Start Date]]+ProposalToGnatt[[#This Row],[Days]]),$G$5,"")),"")</f>
        <v/>
      </c>
      <c r="BD50" s="36" t="str">
        <f ca="1">IFERROR(+IF(BD$27=ProposalToGnatt[[#This Row],[Start Date]],Milestone_Marker,IF(AND(BD$27&gt;ProposalToGnatt[[#This Row],[Start Date]],BD$27&lt;ProposalToGnatt[[#This Row],[Start Date]]+ProposalToGnatt[[#This Row],[Days]]),$G$5,"")),"")</f>
        <v/>
      </c>
      <c r="BE50" s="36" t="str">
        <f ca="1">IFERROR(+IF(BE$27=ProposalToGnatt[[#This Row],[Start Date]],Milestone_Marker,IF(AND(BE$27&gt;ProposalToGnatt[[#This Row],[Start Date]],BE$27&lt;ProposalToGnatt[[#This Row],[Start Date]]+ProposalToGnatt[[#This Row],[Days]]),$G$5,"")),"")</f>
        <v/>
      </c>
      <c r="BF50" s="36" t="str">
        <f ca="1">IFERROR(+IF(BF$27=ProposalToGnatt[[#This Row],[Start Date]],Milestone_Marker,IF(AND(BF$27&gt;ProposalToGnatt[[#This Row],[Start Date]],BF$27&lt;ProposalToGnatt[[#This Row],[Start Date]]+ProposalToGnatt[[#This Row],[Days]]),$G$5,"")),"")</f>
        <v/>
      </c>
      <c r="BG50" s="36" t="str">
        <f ca="1">IFERROR(+IF(BG$27=ProposalToGnatt[[#This Row],[Start Date]],Milestone_Marker,IF(AND(BG$27&gt;ProposalToGnatt[[#This Row],[Start Date]],BG$27&lt;ProposalToGnatt[[#This Row],[Start Date]]+ProposalToGnatt[[#This Row],[Days]]),$G$5,"")),"")</f>
        <v/>
      </c>
      <c r="BH50" s="36" t="str">
        <f ca="1">IFERROR(+IF(BH$27=ProposalToGnatt[[#This Row],[Start Date]],Milestone_Marker,IF(AND(BH$27&gt;ProposalToGnatt[[#This Row],[Start Date]],BH$27&lt;ProposalToGnatt[[#This Row],[Start Date]]+ProposalToGnatt[[#This Row],[Days]]),$G$5,"")),"")</f>
        <v/>
      </c>
      <c r="BI50" s="36" t="str">
        <f ca="1">IFERROR(+IF(BI$27=ProposalToGnatt[[#This Row],[Start Date]],Milestone_Marker,IF(AND(BI$27&gt;ProposalToGnatt[[#This Row],[Start Date]],BI$27&lt;ProposalToGnatt[[#This Row],[Start Date]]+ProposalToGnatt[[#This Row],[Days]]),$G$5,"")),"")</f>
        <v/>
      </c>
      <c r="BJ50" s="36" t="str">
        <f ca="1">IFERROR(+IF(BJ$27=ProposalToGnatt[[#This Row],[Start Date]],Milestone_Marker,IF(AND(BJ$27&gt;ProposalToGnatt[[#This Row],[Start Date]],BJ$27&lt;ProposalToGnatt[[#This Row],[Start Date]]+ProposalToGnatt[[#This Row],[Days]]),$G$5,"")),"")</f>
        <v/>
      </c>
      <c r="BK50" s="36" t="str">
        <f ca="1">IFERROR(+IF(BK$27=ProposalToGnatt[[#This Row],[Start Date]],Milestone_Marker,IF(AND(BK$27&gt;ProposalToGnatt[[#This Row],[Start Date]],BK$27&lt;ProposalToGnatt[[#This Row],[Start Date]]+ProposalToGnatt[[#This Row],[Days]]),$G$5,"")),"")</f>
        <v/>
      </c>
      <c r="BL50" s="36" t="str">
        <f ca="1">IFERROR(+IF(BL$27=ProposalToGnatt[[#This Row],[Start Date]],Milestone_Marker,IF(AND(BL$27&gt;ProposalToGnatt[[#This Row],[Start Date]],BL$27&lt;ProposalToGnatt[[#This Row],[Start Date]]+ProposalToGnatt[[#This Row],[Days]]),$G$5,"")),"")</f>
        <v/>
      </c>
      <c r="BM50" s="36" t="str">
        <f ca="1">IFERROR(+IF(BM$27=ProposalToGnatt[[#This Row],[Start Date]],Milestone_Marker,IF(AND(BM$27&gt;ProposalToGnatt[[#This Row],[Start Date]],BM$27&lt;ProposalToGnatt[[#This Row],[Start Date]]+ProposalToGnatt[[#This Row],[Days]]),$G$5,"")),"")</f>
        <v/>
      </c>
      <c r="BN50" s="36" t="str">
        <f ca="1">IFERROR(+IF(BN$27=ProposalToGnatt[[#This Row],[Start Date]],Milestone_Marker,IF(AND(BN$27&gt;ProposalToGnatt[[#This Row],[Start Date]],BN$27&lt;ProposalToGnatt[[#This Row],[Start Date]]+ProposalToGnatt[[#This Row],[Days]]),$G$5,"")),"")</f>
        <v/>
      </c>
      <c r="BO50" s="36" t="str">
        <f ca="1">IFERROR(+IF(BO$27=ProposalToGnatt[[#This Row],[Start Date]],Milestone_Marker,IF(AND(BO$27&gt;ProposalToGnatt[[#This Row],[Start Date]],BO$27&lt;ProposalToGnatt[[#This Row],[Start Date]]+ProposalToGnatt[[#This Row],[Days]]),$G$5,"")),"")</f>
        <v/>
      </c>
      <c r="BP50" s="36" t="str">
        <f ca="1">IFERROR(+IF(BP$27=ProposalToGnatt[[#This Row],[Start Date]],Milestone_Marker,IF(AND(BP$27&gt;ProposalToGnatt[[#This Row],[Start Date]],BP$27&lt;ProposalToGnatt[[#This Row],[Start Date]]+ProposalToGnatt[[#This Row],[Days]]),$G$5,"")),"")</f>
        <v/>
      </c>
      <c r="BQ50" s="36" t="str">
        <f ca="1">IFERROR(+IF(BQ$27=ProposalToGnatt[[#This Row],[Start Date]],Milestone_Marker,IF(AND(BQ$27&gt;ProposalToGnatt[[#This Row],[Start Date]],BQ$27&lt;ProposalToGnatt[[#This Row],[Start Date]]+ProposalToGnatt[[#This Row],[Days]]),$G$5,"")),"")</f>
        <v/>
      </c>
      <c r="BR50" s="36" t="str">
        <f ca="1">IFERROR(+IF(BR$27=ProposalToGnatt[[#This Row],[Start Date]],Milestone_Marker,IF(AND(BR$27&gt;ProposalToGnatt[[#This Row],[Start Date]],BR$27&lt;ProposalToGnatt[[#This Row],[Start Date]]+ProposalToGnatt[[#This Row],[Days]]),$G$5,"")),"")</f>
        <v/>
      </c>
      <c r="BS50" s="36" t="str">
        <f ca="1">IFERROR(+IF(BS$27=ProposalToGnatt[[#This Row],[Start Date]],Milestone_Marker,IF(AND(BS$27&gt;ProposalToGnatt[[#This Row],[Start Date]],BS$27&lt;ProposalToGnatt[[#This Row],[Start Date]]+ProposalToGnatt[[#This Row],[Days]]),$G$5,"")),"")</f>
        <v/>
      </c>
      <c r="BT50" s="36" t="str">
        <f ca="1">IFERROR(+IF(BT$27=ProposalToGnatt[[#This Row],[Start Date]],Milestone_Marker,IF(AND(BT$27&gt;ProposalToGnatt[[#This Row],[Start Date]],BT$27&lt;ProposalToGnatt[[#This Row],[Start Date]]+ProposalToGnatt[[#This Row],[Days]]),$G$5,"")),"")</f>
        <v/>
      </c>
      <c r="BU50" s="36" t="str">
        <f ca="1">IFERROR(+IF(BU$27=ProposalToGnatt[[#This Row],[Start Date]],Milestone_Marker,IF(AND(BU$27&gt;ProposalToGnatt[[#This Row],[Start Date]],BU$27&lt;ProposalToGnatt[[#This Row],[Start Date]]+ProposalToGnatt[[#This Row],[Days]]),$G$5,"")),"")</f>
        <v/>
      </c>
      <c r="BV50" s="36" t="str">
        <f ca="1">IFERROR(+IF(BV$27=ProposalToGnatt[[#This Row],[Start Date]],Milestone_Marker,IF(AND(BV$27&gt;ProposalToGnatt[[#This Row],[Start Date]],BV$27&lt;ProposalToGnatt[[#This Row],[Start Date]]+ProposalToGnatt[[#This Row],[Days]]),$G$5,"")),"")</f>
        <v/>
      </c>
      <c r="BW50" s="36" t="str">
        <f ca="1">IFERROR(+IF(BW$27=ProposalToGnatt[[#This Row],[Start Date]],Milestone_Marker,IF(AND(BW$27&gt;ProposalToGnatt[[#This Row],[Start Date]],BW$27&lt;ProposalToGnatt[[#This Row],[Start Date]]+ProposalToGnatt[[#This Row],[Days]]),$G$5,"")),"")</f>
        <v/>
      </c>
      <c r="BX50" s="36" t="str">
        <f ca="1">IFERROR(+IF(BX$27=ProposalToGnatt[[#This Row],[Start Date]],Milestone_Marker,IF(AND(BX$27&gt;ProposalToGnatt[[#This Row],[Start Date]],BX$27&lt;ProposalToGnatt[[#This Row],[Start Date]]+ProposalToGnatt[[#This Row],[Days]]),$G$5,"")),"")</f>
        <v/>
      </c>
      <c r="BY50" s="36" t="str">
        <f ca="1">IFERROR(+IF(BY$27=ProposalToGnatt[[#This Row],[Start Date]],Milestone_Marker,IF(AND(BY$27&gt;ProposalToGnatt[[#This Row],[Start Date]],BY$27&lt;ProposalToGnatt[[#This Row],[Start Date]]+ProposalToGnatt[[#This Row],[Days]]),$G$5,"")),"")</f>
        <v/>
      </c>
      <c r="BZ50" s="36" t="str">
        <f ca="1">IFERROR(+IF(BZ$27=ProposalToGnatt[[#This Row],[Start Date]],Milestone_Marker,IF(AND(BZ$27&gt;ProposalToGnatt[[#This Row],[Start Date]],BZ$27&lt;ProposalToGnatt[[#This Row],[Start Date]]+ProposalToGnatt[[#This Row],[Days]]),$G$5,"")),"")</f>
        <v/>
      </c>
      <c r="CA50" s="36" t="str">
        <f ca="1">IFERROR(+IF(CA$27=ProposalToGnatt[[#This Row],[Start Date]],Milestone_Marker,IF(AND(CA$27&gt;ProposalToGnatt[[#This Row],[Start Date]],CA$27&lt;ProposalToGnatt[[#This Row],[Start Date]]+ProposalToGnatt[[#This Row],[Days]]),$G$5,"")),"")</f>
        <v/>
      </c>
      <c r="CB50" s="36" t="str">
        <f ca="1">IFERROR(+IF(CB$27=ProposalToGnatt[[#This Row],[Start Date]],Milestone_Marker,IF(AND(CB$27&gt;ProposalToGnatt[[#This Row],[Start Date]],CB$27&lt;ProposalToGnatt[[#This Row],[Start Date]]+ProposalToGnatt[[#This Row],[Days]]),$G$5,"")),"")</f>
        <v/>
      </c>
      <c r="CC50" s="36" t="str">
        <f ca="1">IFERROR(+IF(CC$27=ProposalToGnatt[[#This Row],[Start Date]],Milestone_Marker,IF(AND(CC$27&gt;ProposalToGnatt[[#This Row],[Start Date]],CC$27&lt;ProposalToGnatt[[#This Row],[Start Date]]+ProposalToGnatt[[#This Row],[Days]]),$G$5,"")),"")</f>
        <v/>
      </c>
      <c r="CD50" s="36" t="str">
        <f ca="1">IFERROR(+IF(CD$27=ProposalToGnatt[[#This Row],[Start Date]],Milestone_Marker,IF(AND(CD$27&gt;ProposalToGnatt[[#This Row],[Start Date]],CD$27&lt;ProposalToGnatt[[#This Row],[Start Date]]+ProposalToGnatt[[#This Row],[Days]]),$G$5,"")),"")</f>
        <v/>
      </c>
      <c r="CE50" s="36" t="str">
        <f ca="1">IFERROR(+IF(CE$27=ProposalToGnatt[[#This Row],[Start Date]],Milestone_Marker,IF(AND(CE$27&gt;ProposalToGnatt[[#This Row],[Start Date]],CE$27&lt;ProposalToGnatt[[#This Row],[Start Date]]+ProposalToGnatt[[#This Row],[Days]]),$G$5,"")),"")</f>
        <v/>
      </c>
      <c r="CF50" s="36" t="str">
        <f ca="1">IFERROR(+IF(CF$27=ProposalToGnatt[[#This Row],[Start Date]],Milestone_Marker,IF(AND(CF$27&gt;ProposalToGnatt[[#This Row],[Start Date]],CF$27&lt;ProposalToGnatt[[#This Row],[Start Date]]+ProposalToGnatt[[#This Row],[Days]]),$G$5,"")),"")</f>
        <v/>
      </c>
      <c r="CG50" s="36" t="str">
        <f ca="1">IFERROR(+IF(CG$27=ProposalToGnatt[[#This Row],[Start Date]],Milestone_Marker,IF(AND(CG$27&gt;ProposalToGnatt[[#This Row],[Start Date]],CG$27&lt;ProposalToGnatt[[#This Row],[Start Date]]+ProposalToGnatt[[#This Row],[Days]]),$G$5,"")),"")</f>
        <v/>
      </c>
      <c r="CH50" s="36" t="str">
        <f ca="1">IFERROR(+IF(CH$27=ProposalToGnatt[[#This Row],[Start Date]],Milestone_Marker,IF(AND(CH$27&gt;ProposalToGnatt[[#This Row],[Start Date]],CH$27&lt;ProposalToGnatt[[#This Row],[Start Date]]+ProposalToGnatt[[#This Row],[Days]]),$G$5,"")),"")</f>
        <v/>
      </c>
      <c r="CI50" s="36" t="str">
        <f ca="1">IFERROR(+IF(CI$27=ProposalToGnatt[[#This Row],[Start Date]],Milestone_Marker,IF(AND(CI$27&gt;ProposalToGnatt[[#This Row],[Start Date]],CI$27&lt;ProposalToGnatt[[#This Row],[Start Date]]+ProposalToGnatt[[#This Row],[Days]]),$G$5,"")),"")</f>
        <v/>
      </c>
      <c r="CJ50" s="36" t="str">
        <f ca="1">IFERROR(+IF(CJ$27=ProposalToGnatt[[#This Row],[Start Date]],Milestone_Marker,IF(AND(CJ$27&gt;ProposalToGnatt[[#This Row],[Start Date]],CJ$27&lt;ProposalToGnatt[[#This Row],[Start Date]]+ProposalToGnatt[[#This Row],[Days]]),$G$5,"")),"")</f>
        <v/>
      </c>
      <c r="CK50" s="36" t="str">
        <f ca="1">IFERROR(+IF(CK$27=ProposalToGnatt[[#This Row],[Start Date]],Milestone_Marker,IF(AND(CK$27&gt;ProposalToGnatt[[#This Row],[Start Date]],CK$27&lt;ProposalToGnatt[[#This Row],[Start Date]]+ProposalToGnatt[[#This Row],[Days]]),$G$5,"")),"")</f>
        <v/>
      </c>
      <c r="CL50" s="36" t="str">
        <f ca="1">IFERROR(+IF(CL$27=ProposalToGnatt[[#This Row],[Start Date]],Milestone_Marker,IF(AND(CL$27&gt;ProposalToGnatt[[#This Row],[Start Date]],CL$27&lt;ProposalToGnatt[[#This Row],[Start Date]]+ProposalToGnatt[[#This Row],[Days]]),$G$5,"")),"")</f>
        <v/>
      </c>
      <c r="CM50" s="36" t="str">
        <f ca="1">IFERROR(+IF(CM$27=ProposalToGnatt[[#This Row],[Start Date]],Milestone_Marker,IF(AND(CM$27&gt;ProposalToGnatt[[#This Row],[Start Date]],CM$27&lt;ProposalToGnatt[[#This Row],[Start Date]]+ProposalToGnatt[[#This Row],[Days]]),$G$5,"")),"")</f>
        <v/>
      </c>
      <c r="CN50" s="36" t="str">
        <f ca="1">IFERROR(+IF(CN$27=ProposalToGnatt[[#This Row],[Start Date]],Milestone_Marker,IF(AND(CN$27&gt;ProposalToGnatt[[#This Row],[Start Date]],CN$27&lt;ProposalToGnatt[[#This Row],[Start Date]]+ProposalToGnatt[[#This Row],[Days]]),$G$5,"")),"")</f>
        <v/>
      </c>
      <c r="CO50" s="36" t="str">
        <f ca="1">IFERROR(+IF(CO$27=ProposalToGnatt[[#This Row],[Start Date]],Milestone_Marker,IF(AND(CO$27&gt;ProposalToGnatt[[#This Row],[Start Date]],CO$27&lt;ProposalToGnatt[[#This Row],[Start Date]]+ProposalToGnatt[[#This Row],[Days]]),$G$5,"")),"")</f>
        <v/>
      </c>
      <c r="CP50" s="36" t="str">
        <f ca="1">IFERROR(+IF(CP$27=ProposalToGnatt[[#This Row],[Start Date]],Milestone_Marker,IF(AND(CP$27&gt;ProposalToGnatt[[#This Row],[Start Date]],CP$27&lt;ProposalToGnatt[[#This Row],[Start Date]]+ProposalToGnatt[[#This Row],[Days]]),$G$5,"")),"")</f>
        <v/>
      </c>
      <c r="CQ50" s="36" t="str">
        <f ca="1">IFERROR(+IF(CQ$27=ProposalToGnatt[[#This Row],[Start Date]],Milestone_Marker,IF(AND(CQ$27&gt;ProposalToGnatt[[#This Row],[Start Date]],CQ$27&lt;ProposalToGnatt[[#This Row],[Start Date]]+ProposalToGnatt[[#This Row],[Days]]),$G$5,"")),"")</f>
        <v/>
      </c>
      <c r="CR50" s="36" t="str">
        <f ca="1">IFERROR(+IF(CR$27=ProposalToGnatt[[#This Row],[Start Date]],Milestone_Marker,IF(AND(CR$27&gt;ProposalToGnatt[[#This Row],[Start Date]],CR$27&lt;ProposalToGnatt[[#This Row],[Start Date]]+ProposalToGnatt[[#This Row],[Days]]),$G$5,"")),"")</f>
        <v/>
      </c>
      <c r="CS50" s="36" t="str">
        <f ca="1">IFERROR(+IF(CS$27=ProposalToGnatt[[#This Row],[Start Date]],Milestone_Marker,IF(AND(CS$27&gt;ProposalToGnatt[[#This Row],[Start Date]],CS$27&lt;ProposalToGnatt[[#This Row],[Start Date]]+ProposalToGnatt[[#This Row],[Days]]),$G$5,"")),"")</f>
        <v/>
      </c>
      <c r="CT50" s="36" t="str">
        <f ca="1">IFERROR(+IF(CT$27=ProposalToGnatt[[#This Row],[Start Date]],Milestone_Marker,IF(AND(CT$27&gt;ProposalToGnatt[[#This Row],[Start Date]],CT$27&lt;ProposalToGnatt[[#This Row],[Start Date]]+ProposalToGnatt[[#This Row],[Days]]),$G$5,"")),"")</f>
        <v/>
      </c>
      <c r="CU50" s="36" t="str">
        <f ca="1">IFERROR(+IF(CU$27=ProposalToGnatt[[#This Row],[Start Date]],Milestone_Marker,IF(AND(CU$27&gt;ProposalToGnatt[[#This Row],[Start Date]],CU$27&lt;ProposalToGnatt[[#This Row],[Start Date]]+ProposalToGnatt[[#This Row],[Days]]),$G$5,"")),"")</f>
        <v/>
      </c>
      <c r="CV50" s="36"/>
      <c r="CW50" s="36"/>
      <c r="CX50" s="36"/>
      <c r="CY50" s="36"/>
      <c r="CZ50" s="36"/>
      <c r="DA50" s="36"/>
      <c r="DB50" s="36"/>
      <c r="DC50" s="36"/>
      <c r="DD50" s="36"/>
      <c r="DE50" s="36"/>
      <c r="DF50" s="36"/>
      <c r="DG50" s="36"/>
      <c r="DH50" s="36"/>
      <c r="DI50" s="36"/>
      <c r="DJ50" s="36"/>
      <c r="DK50" s="36"/>
      <c r="DL50" s="36"/>
      <c r="DM50" s="36"/>
      <c r="DN50" s="36"/>
      <c r="DO50" s="36"/>
      <c r="DP50" s="36"/>
      <c r="DQ50" s="36"/>
      <c r="DR50" s="36"/>
      <c r="DS50" s="36"/>
      <c r="DT50" s="36"/>
      <c r="DU50" s="36"/>
    </row>
    <row r="51" spans="1:125" s="41" customFormat="1" ht="15" x14ac:dyDescent="0.25">
      <c r="A51"/>
      <c r="B51"/>
      <c r="C51"/>
      <c r="D51"/>
      <c r="E51"/>
      <c r="F51"/>
      <c r="G51" s="14"/>
      <c r="H51" s="14"/>
      <c r="I51"/>
      <c r="J51"/>
      <c r="K51" s="246"/>
      <c r="L51"/>
      <c r="M51" s="14"/>
      <c r="N51" s="299"/>
      <c r="O51" s="281"/>
      <c r="P51" s="36" t="str">
        <f ca="1">IFERROR(+IF(P$27=ProposalToGnatt[[#This Row],[Start Date]],Milestone_Marker,IF(AND(P$27&gt;ProposalToGnatt[[#This Row],[Start Date]],P$27&lt;ProposalToGnatt[[#This Row],[Start Date]]+ProposalToGnatt[[#This Row],[Days]]),$G$5,"")),"")</f>
        <v/>
      </c>
      <c r="Q51" s="36" t="str">
        <f ca="1">IFERROR(+IF(Q$27=ProposalToGnatt[[#This Row],[Start Date]],Milestone_Marker,IF(AND(Q$27&gt;ProposalToGnatt[[#This Row],[Start Date]],Q$27&lt;ProposalToGnatt[[#This Row],[Start Date]]+ProposalToGnatt[[#This Row],[Days]]),$G$5,"")),"")</f>
        <v/>
      </c>
      <c r="R51" s="36" t="str">
        <f ca="1">IFERROR(+IF(R$27=ProposalToGnatt[[#This Row],[Start Date]],Milestone_Marker,IF(AND(R$27&gt;ProposalToGnatt[[#This Row],[Start Date]],R$27&lt;ProposalToGnatt[[#This Row],[Start Date]]+ProposalToGnatt[[#This Row],[Days]]),$G$5,"")),"")</f>
        <v/>
      </c>
      <c r="S51" s="36" t="str">
        <f ca="1">IFERROR(+IF(S$27=ProposalToGnatt[[#This Row],[Start Date]],Milestone_Marker,IF(AND(S$27&gt;ProposalToGnatt[[#This Row],[Start Date]],S$27&lt;ProposalToGnatt[[#This Row],[Start Date]]+ProposalToGnatt[[#This Row],[Days]]),$G$5,"")),"")</f>
        <v/>
      </c>
      <c r="T51" s="36" t="str">
        <f ca="1">IFERROR(+IF(T$27=ProposalToGnatt[[#This Row],[Start Date]],Milestone_Marker,IF(AND(T$27&gt;ProposalToGnatt[[#This Row],[Start Date]],T$27&lt;ProposalToGnatt[[#This Row],[Start Date]]+ProposalToGnatt[[#This Row],[Days]]),$G$5,"")),"")</f>
        <v/>
      </c>
      <c r="U51" s="36" t="str">
        <f ca="1">IFERROR(+IF(U$27=ProposalToGnatt[[#This Row],[Start Date]],Milestone_Marker,IF(AND(U$27&gt;ProposalToGnatt[[#This Row],[Start Date]],U$27&lt;ProposalToGnatt[[#This Row],[Start Date]]+ProposalToGnatt[[#This Row],[Days]]),$G$5,"")),"")</f>
        <v/>
      </c>
      <c r="V51" s="36" t="str">
        <f ca="1">IFERROR(+IF(V$27=ProposalToGnatt[[#This Row],[Start Date]],Milestone_Marker,IF(AND(V$27&gt;ProposalToGnatt[[#This Row],[Start Date]],V$27&lt;ProposalToGnatt[[#This Row],[Start Date]]+ProposalToGnatt[[#This Row],[Days]]),$G$5,"")),"")</f>
        <v/>
      </c>
      <c r="W51" s="36" t="str">
        <f ca="1">IFERROR(+IF(W$27=ProposalToGnatt[[#This Row],[Start Date]],Milestone_Marker,IF(AND(W$27&gt;ProposalToGnatt[[#This Row],[Start Date]],W$27&lt;ProposalToGnatt[[#This Row],[Start Date]]+ProposalToGnatt[[#This Row],[Days]]),$G$5,"")),"")</f>
        <v/>
      </c>
      <c r="X51" s="36" t="str">
        <f ca="1">IFERROR(+IF(X$27=ProposalToGnatt[[#This Row],[Start Date]],Milestone_Marker,IF(AND(X$27&gt;ProposalToGnatt[[#This Row],[Start Date]],X$27&lt;ProposalToGnatt[[#This Row],[Start Date]]+ProposalToGnatt[[#This Row],[Days]]),$G$5,"")),"")</f>
        <v/>
      </c>
      <c r="Y51" s="36" t="str">
        <f ca="1">IFERROR(+IF(Y$27=ProposalToGnatt[[#This Row],[Start Date]],Milestone_Marker,IF(AND(Y$27&gt;ProposalToGnatt[[#This Row],[Start Date]],Y$27&lt;ProposalToGnatt[[#This Row],[Start Date]]+ProposalToGnatt[[#This Row],[Days]]),$G$5,"")),"")</f>
        <v/>
      </c>
      <c r="Z51" s="36" t="str">
        <f ca="1">IFERROR(+IF(Z$27=ProposalToGnatt[[#This Row],[Start Date]],Milestone_Marker,IF(AND(Z$27&gt;ProposalToGnatt[[#This Row],[Start Date]],Z$27&lt;ProposalToGnatt[[#This Row],[Start Date]]+ProposalToGnatt[[#This Row],[Days]]),$G$5,"")),"")</f>
        <v/>
      </c>
      <c r="AA51" s="36" t="str">
        <f ca="1">IFERROR(+IF(AA$27=ProposalToGnatt[[#This Row],[Start Date]],Milestone_Marker,IF(AND(AA$27&gt;ProposalToGnatt[[#This Row],[Start Date]],AA$27&lt;ProposalToGnatt[[#This Row],[Start Date]]+ProposalToGnatt[[#This Row],[Days]]),$G$5,"")),"")</f>
        <v/>
      </c>
      <c r="AB51" s="36" t="str">
        <f ca="1">IFERROR(+IF(AB$27=ProposalToGnatt[[#This Row],[Start Date]],Milestone_Marker,IF(AND(AB$27&gt;ProposalToGnatt[[#This Row],[Start Date]],AB$27&lt;ProposalToGnatt[[#This Row],[Start Date]]+ProposalToGnatt[[#This Row],[Days]]),$G$5,"")),"")</f>
        <v/>
      </c>
      <c r="AC51" s="36" t="str">
        <f ca="1">IFERROR(+IF(AC$27=ProposalToGnatt[[#This Row],[Start Date]],Milestone_Marker,IF(AND(AC$27&gt;ProposalToGnatt[[#This Row],[Start Date]],AC$27&lt;ProposalToGnatt[[#This Row],[Start Date]]+ProposalToGnatt[[#This Row],[Days]]),$G$5,"")),"")</f>
        <v/>
      </c>
      <c r="AD51" s="36" t="str">
        <f ca="1">IFERROR(+IF(AD$27=ProposalToGnatt[[#This Row],[Start Date]],Milestone_Marker,IF(AND(AD$27&gt;ProposalToGnatt[[#This Row],[Start Date]],AD$27&lt;ProposalToGnatt[[#This Row],[Start Date]]+ProposalToGnatt[[#This Row],[Days]]),$G$5,"")),"")</f>
        <v/>
      </c>
      <c r="AE51" s="36" t="str">
        <f ca="1">IFERROR(+IF(AE$27=ProposalToGnatt[[#This Row],[Start Date]],Milestone_Marker,IF(AND(AE$27&gt;ProposalToGnatt[[#This Row],[Start Date]],AE$27&lt;ProposalToGnatt[[#This Row],[Start Date]]+ProposalToGnatt[[#This Row],[Days]]),$G$5,"")),"")</f>
        <v/>
      </c>
      <c r="AF51" s="36" t="str">
        <f ca="1">IFERROR(+IF(AF$27=ProposalToGnatt[[#This Row],[Start Date]],Milestone_Marker,IF(AND(AF$27&gt;ProposalToGnatt[[#This Row],[Start Date]],AF$27&lt;ProposalToGnatt[[#This Row],[Start Date]]+ProposalToGnatt[[#This Row],[Days]]),$G$5,"")),"")</f>
        <v/>
      </c>
      <c r="AG51" s="36" t="str">
        <f ca="1">IFERROR(+IF(AG$27=ProposalToGnatt[[#This Row],[Start Date]],Milestone_Marker,IF(AND(AG$27&gt;ProposalToGnatt[[#This Row],[Start Date]],AG$27&lt;ProposalToGnatt[[#This Row],[Start Date]]+ProposalToGnatt[[#This Row],[Days]]),$G$5,"")),"")</f>
        <v/>
      </c>
      <c r="AH51" s="36" t="str">
        <f ca="1">IFERROR(+IF(AH$27=ProposalToGnatt[[#This Row],[Start Date]],Milestone_Marker,IF(AND(AH$27&gt;ProposalToGnatt[[#This Row],[Start Date]],AH$27&lt;ProposalToGnatt[[#This Row],[Start Date]]+ProposalToGnatt[[#This Row],[Days]]),$G$5,"")),"")</f>
        <v/>
      </c>
      <c r="AI51" s="36" t="str">
        <f ca="1">IFERROR(+IF(AI$27=ProposalToGnatt[[#This Row],[Start Date]],Milestone_Marker,IF(AND(AI$27&gt;ProposalToGnatt[[#This Row],[Start Date]],AI$27&lt;ProposalToGnatt[[#This Row],[Start Date]]+ProposalToGnatt[[#This Row],[Days]]),$G$5,"")),"")</f>
        <v/>
      </c>
      <c r="AJ51" s="36" t="str">
        <f ca="1">IFERROR(+IF(AJ$27=ProposalToGnatt[[#This Row],[Start Date]],Milestone_Marker,IF(AND(AJ$27&gt;ProposalToGnatt[[#This Row],[Start Date]],AJ$27&lt;ProposalToGnatt[[#This Row],[Start Date]]+ProposalToGnatt[[#This Row],[Days]]),$G$5,"")),"")</f>
        <v/>
      </c>
      <c r="AK51" s="36" t="str">
        <f ca="1">IFERROR(+IF(AK$27=ProposalToGnatt[[#This Row],[Start Date]],Milestone_Marker,IF(AND(AK$27&gt;ProposalToGnatt[[#This Row],[Start Date]],AK$27&lt;ProposalToGnatt[[#This Row],[Start Date]]+ProposalToGnatt[[#This Row],[Days]]),$G$5,"")),"")</f>
        <v/>
      </c>
      <c r="AL51" s="36" t="str">
        <f ca="1">IFERROR(+IF(AL$27=ProposalToGnatt[[#This Row],[Start Date]],Milestone_Marker,IF(AND(AL$27&gt;ProposalToGnatt[[#This Row],[Start Date]],AL$27&lt;ProposalToGnatt[[#This Row],[Start Date]]+ProposalToGnatt[[#This Row],[Days]]),$G$5,"")),"")</f>
        <v/>
      </c>
      <c r="AM51" s="36" t="str">
        <f ca="1">IFERROR(+IF(AM$27=ProposalToGnatt[[#This Row],[Start Date]],Milestone_Marker,IF(AND(AM$27&gt;ProposalToGnatt[[#This Row],[Start Date]],AM$27&lt;ProposalToGnatt[[#This Row],[Start Date]]+ProposalToGnatt[[#This Row],[Days]]),$G$5,"")),"")</f>
        <v/>
      </c>
      <c r="AN51" s="36" t="str">
        <f ca="1">IFERROR(+IF(AN$27=ProposalToGnatt[[#This Row],[Start Date]],Milestone_Marker,IF(AND(AN$27&gt;ProposalToGnatt[[#This Row],[Start Date]],AN$27&lt;ProposalToGnatt[[#This Row],[Start Date]]+ProposalToGnatt[[#This Row],[Days]]),$G$5,"")),"")</f>
        <v/>
      </c>
      <c r="AO51" s="36" t="str">
        <f ca="1">IFERROR(+IF(AO$27=ProposalToGnatt[[#This Row],[Start Date]],Milestone_Marker,IF(AND(AO$27&gt;ProposalToGnatt[[#This Row],[Start Date]],AO$27&lt;ProposalToGnatt[[#This Row],[Start Date]]+ProposalToGnatt[[#This Row],[Days]]),$G$5,"")),"")</f>
        <v/>
      </c>
      <c r="AP51" s="36" t="str">
        <f ca="1">IFERROR(+IF(AP$27=ProposalToGnatt[[#This Row],[Start Date]],Milestone_Marker,IF(AND(AP$27&gt;ProposalToGnatt[[#This Row],[Start Date]],AP$27&lt;ProposalToGnatt[[#This Row],[Start Date]]+ProposalToGnatt[[#This Row],[Days]]),$G$5,"")),"")</f>
        <v/>
      </c>
      <c r="AQ51" s="36" t="str">
        <f ca="1">IFERROR(+IF(AQ$27=ProposalToGnatt[[#This Row],[Start Date]],Milestone_Marker,IF(AND(AQ$27&gt;ProposalToGnatt[[#This Row],[Start Date]],AQ$27&lt;ProposalToGnatt[[#This Row],[Start Date]]+ProposalToGnatt[[#This Row],[Days]]),$G$5,"")),"")</f>
        <v/>
      </c>
      <c r="AR51" s="36" t="str">
        <f ca="1">IFERROR(+IF(AR$27=ProposalToGnatt[[#This Row],[Start Date]],Milestone_Marker,IF(AND(AR$27&gt;ProposalToGnatt[[#This Row],[Start Date]],AR$27&lt;ProposalToGnatt[[#This Row],[Start Date]]+ProposalToGnatt[[#This Row],[Days]]),$G$5,"")),"")</f>
        <v/>
      </c>
      <c r="AS51" s="36" t="str">
        <f ca="1">IFERROR(+IF(AS$27=ProposalToGnatt[[#This Row],[Start Date]],Milestone_Marker,IF(AND(AS$27&gt;ProposalToGnatt[[#This Row],[Start Date]],AS$27&lt;ProposalToGnatt[[#This Row],[Start Date]]+ProposalToGnatt[[#This Row],[Days]]),$G$5,"")),"")</f>
        <v/>
      </c>
      <c r="AT51" s="36" t="str">
        <f ca="1">IFERROR(+IF(AT$27=ProposalToGnatt[[#This Row],[Start Date]],Milestone_Marker,IF(AND(AT$27&gt;ProposalToGnatt[[#This Row],[Start Date]],AT$27&lt;ProposalToGnatt[[#This Row],[Start Date]]+ProposalToGnatt[[#This Row],[Days]]),$G$5,"")),"")</f>
        <v/>
      </c>
      <c r="AU51" s="36" t="str">
        <f ca="1">IFERROR(+IF(AU$27=ProposalToGnatt[[#This Row],[Start Date]],Milestone_Marker,IF(AND(AU$27&gt;ProposalToGnatt[[#This Row],[Start Date]],AU$27&lt;ProposalToGnatt[[#This Row],[Start Date]]+ProposalToGnatt[[#This Row],[Days]]),$G$5,"")),"")</f>
        <v/>
      </c>
      <c r="AV51" s="36" t="str">
        <f ca="1">IFERROR(+IF(AV$27=ProposalToGnatt[[#This Row],[Start Date]],Milestone_Marker,IF(AND(AV$27&gt;ProposalToGnatt[[#This Row],[Start Date]],AV$27&lt;ProposalToGnatt[[#This Row],[Start Date]]+ProposalToGnatt[[#This Row],[Days]]),$G$5,"")),"")</f>
        <v/>
      </c>
      <c r="AW51" s="36" t="str">
        <f ca="1">IFERROR(+IF(AW$27=ProposalToGnatt[[#This Row],[Start Date]],Milestone_Marker,IF(AND(AW$27&gt;ProposalToGnatt[[#This Row],[Start Date]],AW$27&lt;ProposalToGnatt[[#This Row],[Start Date]]+ProposalToGnatt[[#This Row],[Days]]),$G$5,"")),"")</f>
        <v/>
      </c>
      <c r="AX51" s="36" t="str">
        <f ca="1">IFERROR(+IF(AX$27=ProposalToGnatt[[#This Row],[Start Date]],Milestone_Marker,IF(AND(AX$27&gt;ProposalToGnatt[[#This Row],[Start Date]],AX$27&lt;ProposalToGnatt[[#This Row],[Start Date]]+ProposalToGnatt[[#This Row],[Days]]),$G$5,"")),"")</f>
        <v/>
      </c>
      <c r="AY51" s="36" t="str">
        <f ca="1">IFERROR(+IF(AY$27=ProposalToGnatt[[#This Row],[Start Date]],Milestone_Marker,IF(AND(AY$27&gt;ProposalToGnatt[[#This Row],[Start Date]],AY$27&lt;ProposalToGnatt[[#This Row],[Start Date]]+ProposalToGnatt[[#This Row],[Days]]),$G$5,"")),"")</f>
        <v/>
      </c>
      <c r="AZ51" s="36" t="str">
        <f ca="1">IFERROR(+IF(AZ$27=ProposalToGnatt[[#This Row],[Start Date]],Milestone_Marker,IF(AND(AZ$27&gt;ProposalToGnatt[[#This Row],[Start Date]],AZ$27&lt;ProposalToGnatt[[#This Row],[Start Date]]+ProposalToGnatt[[#This Row],[Days]]),$G$5,"")),"")</f>
        <v/>
      </c>
      <c r="BA51" s="36" t="str">
        <f ca="1">IFERROR(+IF(BA$27=ProposalToGnatt[[#This Row],[Start Date]],Milestone_Marker,IF(AND(BA$27&gt;ProposalToGnatt[[#This Row],[Start Date]],BA$27&lt;ProposalToGnatt[[#This Row],[Start Date]]+ProposalToGnatt[[#This Row],[Days]]),$G$5,"")),"")</f>
        <v/>
      </c>
      <c r="BB51" s="36" t="str">
        <f ca="1">IFERROR(+IF(BB$27=ProposalToGnatt[[#This Row],[Start Date]],Milestone_Marker,IF(AND(BB$27&gt;ProposalToGnatt[[#This Row],[Start Date]],BB$27&lt;ProposalToGnatt[[#This Row],[Start Date]]+ProposalToGnatt[[#This Row],[Days]]),$G$5,"")),"")</f>
        <v/>
      </c>
      <c r="BC51" s="36" t="str">
        <f ca="1">IFERROR(+IF(BC$27=ProposalToGnatt[[#This Row],[Start Date]],Milestone_Marker,IF(AND(BC$27&gt;ProposalToGnatt[[#This Row],[Start Date]],BC$27&lt;ProposalToGnatt[[#This Row],[Start Date]]+ProposalToGnatt[[#This Row],[Days]]),$G$5,"")),"")</f>
        <v/>
      </c>
      <c r="BD51" s="36" t="str">
        <f ca="1">IFERROR(+IF(BD$27=ProposalToGnatt[[#This Row],[Start Date]],Milestone_Marker,IF(AND(BD$27&gt;ProposalToGnatt[[#This Row],[Start Date]],BD$27&lt;ProposalToGnatt[[#This Row],[Start Date]]+ProposalToGnatt[[#This Row],[Days]]),$G$5,"")),"")</f>
        <v/>
      </c>
      <c r="BE51" s="36" t="str">
        <f ca="1">IFERROR(+IF(BE$27=ProposalToGnatt[[#This Row],[Start Date]],Milestone_Marker,IF(AND(BE$27&gt;ProposalToGnatt[[#This Row],[Start Date]],BE$27&lt;ProposalToGnatt[[#This Row],[Start Date]]+ProposalToGnatt[[#This Row],[Days]]),$G$5,"")),"")</f>
        <v/>
      </c>
      <c r="BF51" s="36" t="str">
        <f ca="1">IFERROR(+IF(BF$27=ProposalToGnatt[[#This Row],[Start Date]],Milestone_Marker,IF(AND(BF$27&gt;ProposalToGnatt[[#This Row],[Start Date]],BF$27&lt;ProposalToGnatt[[#This Row],[Start Date]]+ProposalToGnatt[[#This Row],[Days]]),$G$5,"")),"")</f>
        <v/>
      </c>
      <c r="BG51" s="36" t="str">
        <f ca="1">IFERROR(+IF(BG$27=ProposalToGnatt[[#This Row],[Start Date]],Milestone_Marker,IF(AND(BG$27&gt;ProposalToGnatt[[#This Row],[Start Date]],BG$27&lt;ProposalToGnatt[[#This Row],[Start Date]]+ProposalToGnatt[[#This Row],[Days]]),$G$5,"")),"")</f>
        <v/>
      </c>
      <c r="BH51" s="36" t="str">
        <f ca="1">IFERROR(+IF(BH$27=ProposalToGnatt[[#This Row],[Start Date]],Milestone_Marker,IF(AND(BH$27&gt;ProposalToGnatt[[#This Row],[Start Date]],BH$27&lt;ProposalToGnatt[[#This Row],[Start Date]]+ProposalToGnatt[[#This Row],[Days]]),$G$5,"")),"")</f>
        <v/>
      </c>
      <c r="BI51" s="36" t="str">
        <f ca="1">IFERROR(+IF(BI$27=ProposalToGnatt[[#This Row],[Start Date]],Milestone_Marker,IF(AND(BI$27&gt;ProposalToGnatt[[#This Row],[Start Date]],BI$27&lt;ProposalToGnatt[[#This Row],[Start Date]]+ProposalToGnatt[[#This Row],[Days]]),$G$5,"")),"")</f>
        <v/>
      </c>
      <c r="BJ51" s="36" t="str">
        <f ca="1">IFERROR(+IF(BJ$27=ProposalToGnatt[[#This Row],[Start Date]],Milestone_Marker,IF(AND(BJ$27&gt;ProposalToGnatt[[#This Row],[Start Date]],BJ$27&lt;ProposalToGnatt[[#This Row],[Start Date]]+ProposalToGnatt[[#This Row],[Days]]),$G$5,"")),"")</f>
        <v/>
      </c>
      <c r="BK51" s="36" t="str">
        <f ca="1">IFERROR(+IF(BK$27=ProposalToGnatt[[#This Row],[Start Date]],Milestone_Marker,IF(AND(BK$27&gt;ProposalToGnatt[[#This Row],[Start Date]],BK$27&lt;ProposalToGnatt[[#This Row],[Start Date]]+ProposalToGnatt[[#This Row],[Days]]),$G$5,"")),"")</f>
        <v/>
      </c>
      <c r="BL51" s="36" t="str">
        <f ca="1">IFERROR(+IF(BL$27=ProposalToGnatt[[#This Row],[Start Date]],Milestone_Marker,IF(AND(BL$27&gt;ProposalToGnatt[[#This Row],[Start Date]],BL$27&lt;ProposalToGnatt[[#This Row],[Start Date]]+ProposalToGnatt[[#This Row],[Days]]),$G$5,"")),"")</f>
        <v/>
      </c>
      <c r="BM51" s="36" t="str">
        <f ca="1">IFERROR(+IF(BM$27=ProposalToGnatt[[#This Row],[Start Date]],Milestone_Marker,IF(AND(BM$27&gt;ProposalToGnatt[[#This Row],[Start Date]],BM$27&lt;ProposalToGnatt[[#This Row],[Start Date]]+ProposalToGnatt[[#This Row],[Days]]),$G$5,"")),"")</f>
        <v/>
      </c>
      <c r="BN51" s="36" t="str">
        <f ca="1">IFERROR(+IF(BN$27=ProposalToGnatt[[#This Row],[Start Date]],Milestone_Marker,IF(AND(BN$27&gt;ProposalToGnatt[[#This Row],[Start Date]],BN$27&lt;ProposalToGnatt[[#This Row],[Start Date]]+ProposalToGnatt[[#This Row],[Days]]),$G$5,"")),"")</f>
        <v/>
      </c>
      <c r="BO51" s="36" t="str">
        <f ca="1">IFERROR(+IF(BO$27=ProposalToGnatt[[#This Row],[Start Date]],Milestone_Marker,IF(AND(BO$27&gt;ProposalToGnatt[[#This Row],[Start Date]],BO$27&lt;ProposalToGnatt[[#This Row],[Start Date]]+ProposalToGnatt[[#This Row],[Days]]),$G$5,"")),"")</f>
        <v/>
      </c>
      <c r="BP51" s="36" t="str">
        <f ca="1">IFERROR(+IF(BP$27=ProposalToGnatt[[#This Row],[Start Date]],Milestone_Marker,IF(AND(BP$27&gt;ProposalToGnatt[[#This Row],[Start Date]],BP$27&lt;ProposalToGnatt[[#This Row],[Start Date]]+ProposalToGnatt[[#This Row],[Days]]),$G$5,"")),"")</f>
        <v/>
      </c>
      <c r="BQ51" s="36" t="str">
        <f ca="1">IFERROR(+IF(BQ$27=ProposalToGnatt[[#This Row],[Start Date]],Milestone_Marker,IF(AND(BQ$27&gt;ProposalToGnatt[[#This Row],[Start Date]],BQ$27&lt;ProposalToGnatt[[#This Row],[Start Date]]+ProposalToGnatt[[#This Row],[Days]]),$G$5,"")),"")</f>
        <v/>
      </c>
      <c r="BR51" s="36" t="str">
        <f ca="1">IFERROR(+IF(BR$27=ProposalToGnatt[[#This Row],[Start Date]],Milestone_Marker,IF(AND(BR$27&gt;ProposalToGnatt[[#This Row],[Start Date]],BR$27&lt;ProposalToGnatt[[#This Row],[Start Date]]+ProposalToGnatt[[#This Row],[Days]]),$G$5,"")),"")</f>
        <v/>
      </c>
      <c r="BS51" s="36" t="str">
        <f ca="1">IFERROR(+IF(BS$27=ProposalToGnatt[[#This Row],[Start Date]],Milestone_Marker,IF(AND(BS$27&gt;ProposalToGnatt[[#This Row],[Start Date]],BS$27&lt;ProposalToGnatt[[#This Row],[Start Date]]+ProposalToGnatt[[#This Row],[Days]]),$G$5,"")),"")</f>
        <v/>
      </c>
      <c r="BT51" s="36" t="str">
        <f ca="1">IFERROR(+IF(BT$27=ProposalToGnatt[[#This Row],[Start Date]],Milestone_Marker,IF(AND(BT$27&gt;ProposalToGnatt[[#This Row],[Start Date]],BT$27&lt;ProposalToGnatt[[#This Row],[Start Date]]+ProposalToGnatt[[#This Row],[Days]]),$G$5,"")),"")</f>
        <v/>
      </c>
      <c r="BU51" s="36" t="str">
        <f ca="1">IFERROR(+IF(BU$27=ProposalToGnatt[[#This Row],[Start Date]],Milestone_Marker,IF(AND(BU$27&gt;ProposalToGnatt[[#This Row],[Start Date]],BU$27&lt;ProposalToGnatt[[#This Row],[Start Date]]+ProposalToGnatt[[#This Row],[Days]]),$G$5,"")),"")</f>
        <v/>
      </c>
      <c r="BV51" s="36" t="str">
        <f ca="1">IFERROR(+IF(BV$27=ProposalToGnatt[[#This Row],[Start Date]],Milestone_Marker,IF(AND(BV$27&gt;ProposalToGnatt[[#This Row],[Start Date]],BV$27&lt;ProposalToGnatt[[#This Row],[Start Date]]+ProposalToGnatt[[#This Row],[Days]]),$G$5,"")),"")</f>
        <v/>
      </c>
      <c r="BW51" s="36" t="str">
        <f ca="1">IFERROR(+IF(BW$27=ProposalToGnatt[[#This Row],[Start Date]],Milestone_Marker,IF(AND(BW$27&gt;ProposalToGnatt[[#This Row],[Start Date]],BW$27&lt;ProposalToGnatt[[#This Row],[Start Date]]+ProposalToGnatt[[#This Row],[Days]]),$G$5,"")),"")</f>
        <v/>
      </c>
      <c r="BX51" s="36" t="str">
        <f ca="1">IFERROR(+IF(BX$27=ProposalToGnatt[[#This Row],[Start Date]],Milestone_Marker,IF(AND(BX$27&gt;ProposalToGnatt[[#This Row],[Start Date]],BX$27&lt;ProposalToGnatt[[#This Row],[Start Date]]+ProposalToGnatt[[#This Row],[Days]]),$G$5,"")),"")</f>
        <v/>
      </c>
      <c r="BY51" s="36" t="str">
        <f ca="1">IFERROR(+IF(BY$27=ProposalToGnatt[[#This Row],[Start Date]],Milestone_Marker,IF(AND(BY$27&gt;ProposalToGnatt[[#This Row],[Start Date]],BY$27&lt;ProposalToGnatt[[#This Row],[Start Date]]+ProposalToGnatt[[#This Row],[Days]]),$G$5,"")),"")</f>
        <v/>
      </c>
      <c r="BZ51" s="36" t="str">
        <f ca="1">IFERROR(+IF(BZ$27=ProposalToGnatt[[#This Row],[Start Date]],Milestone_Marker,IF(AND(BZ$27&gt;ProposalToGnatt[[#This Row],[Start Date]],BZ$27&lt;ProposalToGnatt[[#This Row],[Start Date]]+ProposalToGnatt[[#This Row],[Days]]),$G$5,"")),"")</f>
        <v/>
      </c>
      <c r="CA51" s="36" t="str">
        <f ca="1">IFERROR(+IF(CA$27=ProposalToGnatt[[#This Row],[Start Date]],Milestone_Marker,IF(AND(CA$27&gt;ProposalToGnatt[[#This Row],[Start Date]],CA$27&lt;ProposalToGnatt[[#This Row],[Start Date]]+ProposalToGnatt[[#This Row],[Days]]),$G$5,"")),"")</f>
        <v/>
      </c>
      <c r="CB51" s="36" t="str">
        <f ca="1">IFERROR(+IF(CB$27=ProposalToGnatt[[#This Row],[Start Date]],Milestone_Marker,IF(AND(CB$27&gt;ProposalToGnatt[[#This Row],[Start Date]],CB$27&lt;ProposalToGnatt[[#This Row],[Start Date]]+ProposalToGnatt[[#This Row],[Days]]),$G$5,"")),"")</f>
        <v/>
      </c>
      <c r="CC51" s="36" t="str">
        <f ca="1">IFERROR(+IF(CC$27=ProposalToGnatt[[#This Row],[Start Date]],Milestone_Marker,IF(AND(CC$27&gt;ProposalToGnatt[[#This Row],[Start Date]],CC$27&lt;ProposalToGnatt[[#This Row],[Start Date]]+ProposalToGnatt[[#This Row],[Days]]),$G$5,"")),"")</f>
        <v/>
      </c>
      <c r="CD51" s="36" t="str">
        <f ca="1">IFERROR(+IF(CD$27=ProposalToGnatt[[#This Row],[Start Date]],Milestone_Marker,IF(AND(CD$27&gt;ProposalToGnatt[[#This Row],[Start Date]],CD$27&lt;ProposalToGnatt[[#This Row],[Start Date]]+ProposalToGnatt[[#This Row],[Days]]),$G$5,"")),"")</f>
        <v/>
      </c>
      <c r="CE51" s="36" t="str">
        <f ca="1">IFERROR(+IF(CE$27=ProposalToGnatt[[#This Row],[Start Date]],Milestone_Marker,IF(AND(CE$27&gt;ProposalToGnatt[[#This Row],[Start Date]],CE$27&lt;ProposalToGnatt[[#This Row],[Start Date]]+ProposalToGnatt[[#This Row],[Days]]),$G$5,"")),"")</f>
        <v/>
      </c>
      <c r="CF51" s="36" t="str">
        <f ca="1">IFERROR(+IF(CF$27=ProposalToGnatt[[#This Row],[Start Date]],Milestone_Marker,IF(AND(CF$27&gt;ProposalToGnatt[[#This Row],[Start Date]],CF$27&lt;ProposalToGnatt[[#This Row],[Start Date]]+ProposalToGnatt[[#This Row],[Days]]),$G$5,"")),"")</f>
        <v/>
      </c>
      <c r="CG51" s="36" t="str">
        <f ca="1">IFERROR(+IF(CG$27=ProposalToGnatt[[#This Row],[Start Date]],Milestone_Marker,IF(AND(CG$27&gt;ProposalToGnatt[[#This Row],[Start Date]],CG$27&lt;ProposalToGnatt[[#This Row],[Start Date]]+ProposalToGnatt[[#This Row],[Days]]),$G$5,"")),"")</f>
        <v/>
      </c>
      <c r="CH51" s="36" t="str">
        <f ca="1">IFERROR(+IF(CH$27=ProposalToGnatt[[#This Row],[Start Date]],Milestone_Marker,IF(AND(CH$27&gt;ProposalToGnatt[[#This Row],[Start Date]],CH$27&lt;ProposalToGnatt[[#This Row],[Start Date]]+ProposalToGnatt[[#This Row],[Days]]),$G$5,"")),"")</f>
        <v/>
      </c>
      <c r="CI51" s="36" t="str">
        <f ca="1">IFERROR(+IF(CI$27=ProposalToGnatt[[#This Row],[Start Date]],Milestone_Marker,IF(AND(CI$27&gt;ProposalToGnatt[[#This Row],[Start Date]],CI$27&lt;ProposalToGnatt[[#This Row],[Start Date]]+ProposalToGnatt[[#This Row],[Days]]),$G$5,"")),"")</f>
        <v/>
      </c>
      <c r="CJ51" s="36" t="str">
        <f ca="1">IFERROR(+IF(CJ$27=ProposalToGnatt[[#This Row],[Start Date]],Milestone_Marker,IF(AND(CJ$27&gt;ProposalToGnatt[[#This Row],[Start Date]],CJ$27&lt;ProposalToGnatt[[#This Row],[Start Date]]+ProposalToGnatt[[#This Row],[Days]]),$G$5,"")),"")</f>
        <v/>
      </c>
      <c r="CK51" s="36" t="str">
        <f ca="1">IFERROR(+IF(CK$27=ProposalToGnatt[[#This Row],[Start Date]],Milestone_Marker,IF(AND(CK$27&gt;ProposalToGnatt[[#This Row],[Start Date]],CK$27&lt;ProposalToGnatt[[#This Row],[Start Date]]+ProposalToGnatt[[#This Row],[Days]]),$G$5,"")),"")</f>
        <v/>
      </c>
      <c r="CL51" s="36" t="str">
        <f ca="1">IFERROR(+IF(CL$27=ProposalToGnatt[[#This Row],[Start Date]],Milestone_Marker,IF(AND(CL$27&gt;ProposalToGnatt[[#This Row],[Start Date]],CL$27&lt;ProposalToGnatt[[#This Row],[Start Date]]+ProposalToGnatt[[#This Row],[Days]]),$G$5,"")),"")</f>
        <v/>
      </c>
      <c r="CM51" s="36" t="str">
        <f ca="1">IFERROR(+IF(CM$27=ProposalToGnatt[[#This Row],[Start Date]],Milestone_Marker,IF(AND(CM$27&gt;ProposalToGnatt[[#This Row],[Start Date]],CM$27&lt;ProposalToGnatt[[#This Row],[Start Date]]+ProposalToGnatt[[#This Row],[Days]]),$G$5,"")),"")</f>
        <v/>
      </c>
      <c r="CN51" s="36" t="str">
        <f ca="1">IFERROR(+IF(CN$27=ProposalToGnatt[[#This Row],[Start Date]],Milestone_Marker,IF(AND(CN$27&gt;ProposalToGnatt[[#This Row],[Start Date]],CN$27&lt;ProposalToGnatt[[#This Row],[Start Date]]+ProposalToGnatt[[#This Row],[Days]]),$G$5,"")),"")</f>
        <v/>
      </c>
      <c r="CO51" s="36" t="str">
        <f ca="1">IFERROR(+IF(CO$27=ProposalToGnatt[[#This Row],[Start Date]],Milestone_Marker,IF(AND(CO$27&gt;ProposalToGnatt[[#This Row],[Start Date]],CO$27&lt;ProposalToGnatt[[#This Row],[Start Date]]+ProposalToGnatt[[#This Row],[Days]]),$G$5,"")),"")</f>
        <v/>
      </c>
      <c r="CP51" s="36" t="str">
        <f ca="1">IFERROR(+IF(CP$27=ProposalToGnatt[[#This Row],[Start Date]],Milestone_Marker,IF(AND(CP$27&gt;ProposalToGnatt[[#This Row],[Start Date]],CP$27&lt;ProposalToGnatt[[#This Row],[Start Date]]+ProposalToGnatt[[#This Row],[Days]]),$G$5,"")),"")</f>
        <v/>
      </c>
      <c r="CQ51" s="36" t="str">
        <f ca="1">IFERROR(+IF(CQ$27=ProposalToGnatt[[#This Row],[Start Date]],Milestone_Marker,IF(AND(CQ$27&gt;ProposalToGnatt[[#This Row],[Start Date]],CQ$27&lt;ProposalToGnatt[[#This Row],[Start Date]]+ProposalToGnatt[[#This Row],[Days]]),$G$5,"")),"")</f>
        <v/>
      </c>
      <c r="CR51" s="36" t="str">
        <f ca="1">IFERROR(+IF(CR$27=ProposalToGnatt[[#This Row],[Start Date]],Milestone_Marker,IF(AND(CR$27&gt;ProposalToGnatt[[#This Row],[Start Date]],CR$27&lt;ProposalToGnatt[[#This Row],[Start Date]]+ProposalToGnatt[[#This Row],[Days]]),$G$5,"")),"")</f>
        <v/>
      </c>
      <c r="CS51" s="36" t="str">
        <f ca="1">IFERROR(+IF(CS$27=ProposalToGnatt[[#This Row],[Start Date]],Milestone_Marker,IF(AND(CS$27&gt;ProposalToGnatt[[#This Row],[Start Date]],CS$27&lt;ProposalToGnatt[[#This Row],[Start Date]]+ProposalToGnatt[[#This Row],[Days]]),$G$5,"")),"")</f>
        <v/>
      </c>
      <c r="CT51" s="36" t="str">
        <f ca="1">IFERROR(+IF(CT$27=ProposalToGnatt[[#This Row],[Start Date]],Milestone_Marker,IF(AND(CT$27&gt;ProposalToGnatt[[#This Row],[Start Date]],CT$27&lt;ProposalToGnatt[[#This Row],[Start Date]]+ProposalToGnatt[[#This Row],[Days]]),$G$5,"")),"")</f>
        <v/>
      </c>
      <c r="CU51" s="36" t="str">
        <f ca="1">IFERROR(+IF(CU$27=ProposalToGnatt[[#This Row],[Start Date]],Milestone_Marker,IF(AND(CU$27&gt;ProposalToGnatt[[#This Row],[Start Date]],CU$27&lt;ProposalToGnatt[[#This Row],[Start Date]]+ProposalToGnatt[[#This Row],[Days]]),$G$5,"")),"")</f>
        <v/>
      </c>
      <c r="CV51" s="36"/>
      <c r="CW51" s="36"/>
      <c r="CX51" s="36"/>
      <c r="CY51" s="36"/>
      <c r="CZ51" s="36"/>
      <c r="DA51" s="36"/>
      <c r="DB51" s="36"/>
      <c r="DC51" s="36"/>
      <c r="DD51" s="36"/>
      <c r="DE51" s="36"/>
      <c r="DF51" s="36"/>
      <c r="DG51" s="36"/>
      <c r="DH51" s="36"/>
      <c r="DI51" s="36"/>
      <c r="DJ51" s="36"/>
      <c r="DK51" s="36"/>
      <c r="DL51" s="36"/>
      <c r="DM51" s="36"/>
      <c r="DN51" s="36"/>
      <c r="DO51" s="36"/>
      <c r="DP51" s="36"/>
      <c r="DQ51" s="36"/>
      <c r="DR51" s="36"/>
      <c r="DS51" s="36"/>
      <c r="DT51" s="36"/>
      <c r="DU51" s="36"/>
    </row>
    <row r="52" spans="1:125" s="41" customFormat="1" ht="15" x14ac:dyDescent="0.25">
      <c r="A52"/>
      <c r="B52"/>
      <c r="C52"/>
      <c r="D52"/>
      <c r="E52"/>
      <c r="F52"/>
      <c r="G52" s="14"/>
      <c r="H52" s="14"/>
      <c r="I52"/>
      <c r="J52"/>
      <c r="K52" s="246"/>
      <c r="L52"/>
      <c r="M52" s="14"/>
      <c r="N52" s="299"/>
      <c r="O52" s="281"/>
      <c r="P52" s="36" t="str">
        <f ca="1">IFERROR(+IF(P$27=ProposalToGnatt[[#This Row],[Start Date]],Milestone_Marker,IF(AND(P$27&gt;ProposalToGnatt[[#This Row],[Start Date]],P$27&lt;ProposalToGnatt[[#This Row],[Start Date]]+ProposalToGnatt[[#This Row],[Days]]),$G$5,"")),"")</f>
        <v/>
      </c>
      <c r="Q52" s="36" t="str">
        <f ca="1">IFERROR(+IF(Q$27=ProposalToGnatt[[#This Row],[Start Date]],Milestone_Marker,IF(AND(Q$27&gt;ProposalToGnatt[[#This Row],[Start Date]],Q$27&lt;ProposalToGnatt[[#This Row],[Start Date]]+ProposalToGnatt[[#This Row],[Days]]),$G$5,"")),"")</f>
        <v/>
      </c>
      <c r="R52" s="36" t="str">
        <f ca="1">IFERROR(+IF(R$27=ProposalToGnatt[[#This Row],[Start Date]],Milestone_Marker,IF(AND(R$27&gt;ProposalToGnatt[[#This Row],[Start Date]],R$27&lt;ProposalToGnatt[[#This Row],[Start Date]]+ProposalToGnatt[[#This Row],[Days]]),$G$5,"")),"")</f>
        <v/>
      </c>
      <c r="S52" s="36" t="str">
        <f ca="1">IFERROR(+IF(S$27=ProposalToGnatt[[#This Row],[Start Date]],Milestone_Marker,IF(AND(S$27&gt;ProposalToGnatt[[#This Row],[Start Date]],S$27&lt;ProposalToGnatt[[#This Row],[Start Date]]+ProposalToGnatt[[#This Row],[Days]]),$G$5,"")),"")</f>
        <v/>
      </c>
      <c r="T52" s="36" t="str">
        <f ca="1">IFERROR(+IF(T$27=ProposalToGnatt[[#This Row],[Start Date]],Milestone_Marker,IF(AND(T$27&gt;ProposalToGnatt[[#This Row],[Start Date]],T$27&lt;ProposalToGnatt[[#This Row],[Start Date]]+ProposalToGnatt[[#This Row],[Days]]),$G$5,"")),"")</f>
        <v/>
      </c>
      <c r="U52" s="36" t="str">
        <f ca="1">IFERROR(+IF(U$27=ProposalToGnatt[[#This Row],[Start Date]],Milestone_Marker,IF(AND(U$27&gt;ProposalToGnatt[[#This Row],[Start Date]],U$27&lt;ProposalToGnatt[[#This Row],[Start Date]]+ProposalToGnatt[[#This Row],[Days]]),$G$5,"")),"")</f>
        <v/>
      </c>
      <c r="V52" s="36" t="str">
        <f ca="1">IFERROR(+IF(V$27=ProposalToGnatt[[#This Row],[Start Date]],Milestone_Marker,IF(AND(V$27&gt;ProposalToGnatt[[#This Row],[Start Date]],V$27&lt;ProposalToGnatt[[#This Row],[Start Date]]+ProposalToGnatt[[#This Row],[Days]]),$G$5,"")),"")</f>
        <v/>
      </c>
      <c r="W52" s="36" t="str">
        <f ca="1">IFERROR(+IF(W$27=ProposalToGnatt[[#This Row],[Start Date]],Milestone_Marker,IF(AND(W$27&gt;ProposalToGnatt[[#This Row],[Start Date]],W$27&lt;ProposalToGnatt[[#This Row],[Start Date]]+ProposalToGnatt[[#This Row],[Days]]),$G$5,"")),"")</f>
        <v/>
      </c>
      <c r="X52" s="36" t="str">
        <f ca="1">IFERROR(+IF(X$27=ProposalToGnatt[[#This Row],[Start Date]],Milestone_Marker,IF(AND(X$27&gt;ProposalToGnatt[[#This Row],[Start Date]],X$27&lt;ProposalToGnatt[[#This Row],[Start Date]]+ProposalToGnatt[[#This Row],[Days]]),$G$5,"")),"")</f>
        <v/>
      </c>
      <c r="Y52" s="36" t="str">
        <f ca="1">IFERROR(+IF(Y$27=ProposalToGnatt[[#This Row],[Start Date]],Milestone_Marker,IF(AND(Y$27&gt;ProposalToGnatt[[#This Row],[Start Date]],Y$27&lt;ProposalToGnatt[[#This Row],[Start Date]]+ProposalToGnatt[[#This Row],[Days]]),$G$5,"")),"")</f>
        <v/>
      </c>
      <c r="Z52" s="36" t="str">
        <f ca="1">IFERROR(+IF(Z$27=ProposalToGnatt[[#This Row],[Start Date]],Milestone_Marker,IF(AND(Z$27&gt;ProposalToGnatt[[#This Row],[Start Date]],Z$27&lt;ProposalToGnatt[[#This Row],[Start Date]]+ProposalToGnatt[[#This Row],[Days]]),$G$5,"")),"")</f>
        <v/>
      </c>
      <c r="AA52" s="36" t="str">
        <f ca="1">IFERROR(+IF(AA$27=ProposalToGnatt[[#This Row],[Start Date]],Milestone_Marker,IF(AND(AA$27&gt;ProposalToGnatt[[#This Row],[Start Date]],AA$27&lt;ProposalToGnatt[[#This Row],[Start Date]]+ProposalToGnatt[[#This Row],[Days]]),$G$5,"")),"")</f>
        <v/>
      </c>
      <c r="AB52" s="36" t="str">
        <f ca="1">IFERROR(+IF(AB$27=ProposalToGnatt[[#This Row],[Start Date]],Milestone_Marker,IF(AND(AB$27&gt;ProposalToGnatt[[#This Row],[Start Date]],AB$27&lt;ProposalToGnatt[[#This Row],[Start Date]]+ProposalToGnatt[[#This Row],[Days]]),$G$5,"")),"")</f>
        <v/>
      </c>
      <c r="AC52" s="36" t="str">
        <f ca="1">IFERROR(+IF(AC$27=ProposalToGnatt[[#This Row],[Start Date]],Milestone_Marker,IF(AND(AC$27&gt;ProposalToGnatt[[#This Row],[Start Date]],AC$27&lt;ProposalToGnatt[[#This Row],[Start Date]]+ProposalToGnatt[[#This Row],[Days]]),$G$5,"")),"")</f>
        <v/>
      </c>
      <c r="AD52" s="36" t="str">
        <f ca="1">IFERROR(+IF(AD$27=ProposalToGnatt[[#This Row],[Start Date]],Milestone_Marker,IF(AND(AD$27&gt;ProposalToGnatt[[#This Row],[Start Date]],AD$27&lt;ProposalToGnatt[[#This Row],[Start Date]]+ProposalToGnatt[[#This Row],[Days]]),$G$5,"")),"")</f>
        <v/>
      </c>
      <c r="AE52" s="36" t="str">
        <f ca="1">IFERROR(+IF(AE$27=ProposalToGnatt[[#This Row],[Start Date]],Milestone_Marker,IF(AND(AE$27&gt;ProposalToGnatt[[#This Row],[Start Date]],AE$27&lt;ProposalToGnatt[[#This Row],[Start Date]]+ProposalToGnatt[[#This Row],[Days]]),$G$5,"")),"")</f>
        <v/>
      </c>
      <c r="AF52" s="36" t="str">
        <f ca="1">IFERROR(+IF(AF$27=ProposalToGnatt[[#This Row],[Start Date]],Milestone_Marker,IF(AND(AF$27&gt;ProposalToGnatt[[#This Row],[Start Date]],AF$27&lt;ProposalToGnatt[[#This Row],[Start Date]]+ProposalToGnatt[[#This Row],[Days]]),$G$5,"")),"")</f>
        <v/>
      </c>
      <c r="AG52" s="36" t="str">
        <f ca="1">IFERROR(+IF(AG$27=ProposalToGnatt[[#This Row],[Start Date]],Milestone_Marker,IF(AND(AG$27&gt;ProposalToGnatt[[#This Row],[Start Date]],AG$27&lt;ProposalToGnatt[[#This Row],[Start Date]]+ProposalToGnatt[[#This Row],[Days]]),$G$5,"")),"")</f>
        <v/>
      </c>
      <c r="AH52" s="36" t="str">
        <f ca="1">IFERROR(+IF(AH$27=ProposalToGnatt[[#This Row],[Start Date]],Milestone_Marker,IF(AND(AH$27&gt;ProposalToGnatt[[#This Row],[Start Date]],AH$27&lt;ProposalToGnatt[[#This Row],[Start Date]]+ProposalToGnatt[[#This Row],[Days]]),$G$5,"")),"")</f>
        <v/>
      </c>
      <c r="AI52" s="36" t="str">
        <f ca="1">IFERROR(+IF(AI$27=ProposalToGnatt[[#This Row],[Start Date]],Milestone_Marker,IF(AND(AI$27&gt;ProposalToGnatt[[#This Row],[Start Date]],AI$27&lt;ProposalToGnatt[[#This Row],[Start Date]]+ProposalToGnatt[[#This Row],[Days]]),$G$5,"")),"")</f>
        <v/>
      </c>
      <c r="AJ52" s="36" t="str">
        <f ca="1">IFERROR(+IF(AJ$27=ProposalToGnatt[[#This Row],[Start Date]],Milestone_Marker,IF(AND(AJ$27&gt;ProposalToGnatt[[#This Row],[Start Date]],AJ$27&lt;ProposalToGnatt[[#This Row],[Start Date]]+ProposalToGnatt[[#This Row],[Days]]),$G$5,"")),"")</f>
        <v/>
      </c>
      <c r="AK52" s="36" t="str">
        <f ca="1">IFERROR(+IF(AK$27=ProposalToGnatt[[#This Row],[Start Date]],Milestone_Marker,IF(AND(AK$27&gt;ProposalToGnatt[[#This Row],[Start Date]],AK$27&lt;ProposalToGnatt[[#This Row],[Start Date]]+ProposalToGnatt[[#This Row],[Days]]),$G$5,"")),"")</f>
        <v/>
      </c>
      <c r="AL52" s="36" t="str">
        <f ca="1">IFERROR(+IF(AL$27=ProposalToGnatt[[#This Row],[Start Date]],Milestone_Marker,IF(AND(AL$27&gt;ProposalToGnatt[[#This Row],[Start Date]],AL$27&lt;ProposalToGnatt[[#This Row],[Start Date]]+ProposalToGnatt[[#This Row],[Days]]),$G$5,"")),"")</f>
        <v/>
      </c>
      <c r="AM52" s="36" t="str">
        <f ca="1">IFERROR(+IF(AM$27=ProposalToGnatt[[#This Row],[Start Date]],Milestone_Marker,IF(AND(AM$27&gt;ProposalToGnatt[[#This Row],[Start Date]],AM$27&lt;ProposalToGnatt[[#This Row],[Start Date]]+ProposalToGnatt[[#This Row],[Days]]),$G$5,"")),"")</f>
        <v/>
      </c>
      <c r="AN52" s="36" t="str">
        <f ca="1">IFERROR(+IF(AN$27=ProposalToGnatt[[#This Row],[Start Date]],Milestone_Marker,IF(AND(AN$27&gt;ProposalToGnatt[[#This Row],[Start Date]],AN$27&lt;ProposalToGnatt[[#This Row],[Start Date]]+ProposalToGnatt[[#This Row],[Days]]),$G$5,"")),"")</f>
        <v/>
      </c>
      <c r="AO52" s="36" t="str">
        <f ca="1">IFERROR(+IF(AO$27=ProposalToGnatt[[#This Row],[Start Date]],Milestone_Marker,IF(AND(AO$27&gt;ProposalToGnatt[[#This Row],[Start Date]],AO$27&lt;ProposalToGnatt[[#This Row],[Start Date]]+ProposalToGnatt[[#This Row],[Days]]),$G$5,"")),"")</f>
        <v/>
      </c>
      <c r="AP52" s="36" t="str">
        <f ca="1">IFERROR(+IF(AP$27=ProposalToGnatt[[#This Row],[Start Date]],Milestone_Marker,IF(AND(AP$27&gt;ProposalToGnatt[[#This Row],[Start Date]],AP$27&lt;ProposalToGnatt[[#This Row],[Start Date]]+ProposalToGnatt[[#This Row],[Days]]),$G$5,"")),"")</f>
        <v/>
      </c>
      <c r="AQ52" s="36" t="str">
        <f ca="1">IFERROR(+IF(AQ$27=ProposalToGnatt[[#This Row],[Start Date]],Milestone_Marker,IF(AND(AQ$27&gt;ProposalToGnatt[[#This Row],[Start Date]],AQ$27&lt;ProposalToGnatt[[#This Row],[Start Date]]+ProposalToGnatt[[#This Row],[Days]]),$G$5,"")),"")</f>
        <v/>
      </c>
      <c r="AR52" s="36" t="str">
        <f ca="1">IFERROR(+IF(AR$27=ProposalToGnatt[[#This Row],[Start Date]],Milestone_Marker,IF(AND(AR$27&gt;ProposalToGnatt[[#This Row],[Start Date]],AR$27&lt;ProposalToGnatt[[#This Row],[Start Date]]+ProposalToGnatt[[#This Row],[Days]]),$G$5,"")),"")</f>
        <v/>
      </c>
      <c r="AS52" s="36" t="str">
        <f ca="1">IFERROR(+IF(AS$27=ProposalToGnatt[[#This Row],[Start Date]],Milestone_Marker,IF(AND(AS$27&gt;ProposalToGnatt[[#This Row],[Start Date]],AS$27&lt;ProposalToGnatt[[#This Row],[Start Date]]+ProposalToGnatt[[#This Row],[Days]]),$G$5,"")),"")</f>
        <v/>
      </c>
      <c r="AT52" s="36" t="str">
        <f ca="1">IFERROR(+IF(AT$27=ProposalToGnatt[[#This Row],[Start Date]],Milestone_Marker,IF(AND(AT$27&gt;ProposalToGnatt[[#This Row],[Start Date]],AT$27&lt;ProposalToGnatt[[#This Row],[Start Date]]+ProposalToGnatt[[#This Row],[Days]]),$G$5,"")),"")</f>
        <v/>
      </c>
      <c r="AU52" s="36" t="str">
        <f ca="1">IFERROR(+IF(AU$27=ProposalToGnatt[[#This Row],[Start Date]],Milestone_Marker,IF(AND(AU$27&gt;ProposalToGnatt[[#This Row],[Start Date]],AU$27&lt;ProposalToGnatt[[#This Row],[Start Date]]+ProposalToGnatt[[#This Row],[Days]]),$G$5,"")),"")</f>
        <v/>
      </c>
      <c r="AV52" s="36" t="str">
        <f ca="1">IFERROR(+IF(AV$27=ProposalToGnatt[[#This Row],[Start Date]],Milestone_Marker,IF(AND(AV$27&gt;ProposalToGnatt[[#This Row],[Start Date]],AV$27&lt;ProposalToGnatt[[#This Row],[Start Date]]+ProposalToGnatt[[#This Row],[Days]]),$G$5,"")),"")</f>
        <v/>
      </c>
      <c r="AW52" s="36" t="str">
        <f ca="1">IFERROR(+IF(AW$27=ProposalToGnatt[[#This Row],[Start Date]],Milestone_Marker,IF(AND(AW$27&gt;ProposalToGnatt[[#This Row],[Start Date]],AW$27&lt;ProposalToGnatt[[#This Row],[Start Date]]+ProposalToGnatt[[#This Row],[Days]]),$G$5,"")),"")</f>
        <v/>
      </c>
      <c r="AX52" s="36" t="str">
        <f ca="1">IFERROR(+IF(AX$27=ProposalToGnatt[[#This Row],[Start Date]],Milestone_Marker,IF(AND(AX$27&gt;ProposalToGnatt[[#This Row],[Start Date]],AX$27&lt;ProposalToGnatt[[#This Row],[Start Date]]+ProposalToGnatt[[#This Row],[Days]]),$G$5,"")),"")</f>
        <v/>
      </c>
      <c r="AY52" s="36" t="str">
        <f ca="1">IFERROR(+IF(AY$27=ProposalToGnatt[[#This Row],[Start Date]],Milestone_Marker,IF(AND(AY$27&gt;ProposalToGnatt[[#This Row],[Start Date]],AY$27&lt;ProposalToGnatt[[#This Row],[Start Date]]+ProposalToGnatt[[#This Row],[Days]]),$G$5,"")),"")</f>
        <v/>
      </c>
      <c r="AZ52" s="36" t="str">
        <f ca="1">IFERROR(+IF(AZ$27=ProposalToGnatt[[#This Row],[Start Date]],Milestone_Marker,IF(AND(AZ$27&gt;ProposalToGnatt[[#This Row],[Start Date]],AZ$27&lt;ProposalToGnatt[[#This Row],[Start Date]]+ProposalToGnatt[[#This Row],[Days]]),$G$5,"")),"")</f>
        <v/>
      </c>
      <c r="BA52" s="36" t="str">
        <f ca="1">IFERROR(+IF(BA$27=ProposalToGnatt[[#This Row],[Start Date]],Milestone_Marker,IF(AND(BA$27&gt;ProposalToGnatt[[#This Row],[Start Date]],BA$27&lt;ProposalToGnatt[[#This Row],[Start Date]]+ProposalToGnatt[[#This Row],[Days]]),$G$5,"")),"")</f>
        <v/>
      </c>
      <c r="BB52" s="36" t="str">
        <f ca="1">IFERROR(+IF(BB$27=ProposalToGnatt[[#This Row],[Start Date]],Milestone_Marker,IF(AND(BB$27&gt;ProposalToGnatt[[#This Row],[Start Date]],BB$27&lt;ProposalToGnatt[[#This Row],[Start Date]]+ProposalToGnatt[[#This Row],[Days]]),$G$5,"")),"")</f>
        <v/>
      </c>
      <c r="BC52" s="36" t="str">
        <f ca="1">IFERROR(+IF(BC$27=ProposalToGnatt[[#This Row],[Start Date]],Milestone_Marker,IF(AND(BC$27&gt;ProposalToGnatt[[#This Row],[Start Date]],BC$27&lt;ProposalToGnatt[[#This Row],[Start Date]]+ProposalToGnatt[[#This Row],[Days]]),$G$5,"")),"")</f>
        <v/>
      </c>
      <c r="BD52" s="36" t="str">
        <f ca="1">IFERROR(+IF(BD$27=ProposalToGnatt[[#This Row],[Start Date]],Milestone_Marker,IF(AND(BD$27&gt;ProposalToGnatt[[#This Row],[Start Date]],BD$27&lt;ProposalToGnatt[[#This Row],[Start Date]]+ProposalToGnatt[[#This Row],[Days]]),$G$5,"")),"")</f>
        <v/>
      </c>
      <c r="BE52" s="36" t="str">
        <f ca="1">IFERROR(+IF(BE$27=ProposalToGnatt[[#This Row],[Start Date]],Milestone_Marker,IF(AND(BE$27&gt;ProposalToGnatt[[#This Row],[Start Date]],BE$27&lt;ProposalToGnatt[[#This Row],[Start Date]]+ProposalToGnatt[[#This Row],[Days]]),$G$5,"")),"")</f>
        <v/>
      </c>
      <c r="BF52" s="36" t="str">
        <f ca="1">IFERROR(+IF(BF$27=ProposalToGnatt[[#This Row],[Start Date]],Milestone_Marker,IF(AND(BF$27&gt;ProposalToGnatt[[#This Row],[Start Date]],BF$27&lt;ProposalToGnatt[[#This Row],[Start Date]]+ProposalToGnatt[[#This Row],[Days]]),$G$5,"")),"")</f>
        <v/>
      </c>
      <c r="BG52" s="36" t="str">
        <f ca="1">IFERROR(+IF(BG$27=ProposalToGnatt[[#This Row],[Start Date]],Milestone_Marker,IF(AND(BG$27&gt;ProposalToGnatt[[#This Row],[Start Date]],BG$27&lt;ProposalToGnatt[[#This Row],[Start Date]]+ProposalToGnatt[[#This Row],[Days]]),$G$5,"")),"")</f>
        <v/>
      </c>
      <c r="BH52" s="36" t="str">
        <f ca="1">IFERROR(+IF(BH$27=ProposalToGnatt[[#This Row],[Start Date]],Milestone_Marker,IF(AND(BH$27&gt;ProposalToGnatt[[#This Row],[Start Date]],BH$27&lt;ProposalToGnatt[[#This Row],[Start Date]]+ProposalToGnatt[[#This Row],[Days]]),$G$5,"")),"")</f>
        <v/>
      </c>
      <c r="BI52" s="36" t="str">
        <f ca="1">IFERROR(+IF(BI$27=ProposalToGnatt[[#This Row],[Start Date]],Milestone_Marker,IF(AND(BI$27&gt;ProposalToGnatt[[#This Row],[Start Date]],BI$27&lt;ProposalToGnatt[[#This Row],[Start Date]]+ProposalToGnatt[[#This Row],[Days]]),$G$5,"")),"")</f>
        <v/>
      </c>
      <c r="BJ52" s="36" t="str">
        <f ca="1">IFERROR(+IF(BJ$27=ProposalToGnatt[[#This Row],[Start Date]],Milestone_Marker,IF(AND(BJ$27&gt;ProposalToGnatt[[#This Row],[Start Date]],BJ$27&lt;ProposalToGnatt[[#This Row],[Start Date]]+ProposalToGnatt[[#This Row],[Days]]),$G$5,"")),"")</f>
        <v/>
      </c>
      <c r="BK52" s="36" t="str">
        <f ca="1">IFERROR(+IF(BK$27=ProposalToGnatt[[#This Row],[Start Date]],Milestone_Marker,IF(AND(BK$27&gt;ProposalToGnatt[[#This Row],[Start Date]],BK$27&lt;ProposalToGnatt[[#This Row],[Start Date]]+ProposalToGnatt[[#This Row],[Days]]),$G$5,"")),"")</f>
        <v/>
      </c>
      <c r="BL52" s="36" t="str">
        <f ca="1">IFERROR(+IF(BL$27=ProposalToGnatt[[#This Row],[Start Date]],Milestone_Marker,IF(AND(BL$27&gt;ProposalToGnatt[[#This Row],[Start Date]],BL$27&lt;ProposalToGnatt[[#This Row],[Start Date]]+ProposalToGnatt[[#This Row],[Days]]),$G$5,"")),"")</f>
        <v/>
      </c>
      <c r="BM52" s="36" t="str">
        <f ca="1">IFERROR(+IF(BM$27=ProposalToGnatt[[#This Row],[Start Date]],Milestone_Marker,IF(AND(BM$27&gt;ProposalToGnatt[[#This Row],[Start Date]],BM$27&lt;ProposalToGnatt[[#This Row],[Start Date]]+ProposalToGnatt[[#This Row],[Days]]),$G$5,"")),"")</f>
        <v/>
      </c>
      <c r="BN52" s="36" t="str">
        <f ca="1">IFERROR(+IF(BN$27=ProposalToGnatt[[#This Row],[Start Date]],Milestone_Marker,IF(AND(BN$27&gt;ProposalToGnatt[[#This Row],[Start Date]],BN$27&lt;ProposalToGnatt[[#This Row],[Start Date]]+ProposalToGnatt[[#This Row],[Days]]),$G$5,"")),"")</f>
        <v/>
      </c>
      <c r="BO52" s="36" t="str">
        <f ca="1">IFERROR(+IF(BO$27=ProposalToGnatt[[#This Row],[Start Date]],Milestone_Marker,IF(AND(BO$27&gt;ProposalToGnatt[[#This Row],[Start Date]],BO$27&lt;ProposalToGnatt[[#This Row],[Start Date]]+ProposalToGnatt[[#This Row],[Days]]),$G$5,"")),"")</f>
        <v/>
      </c>
      <c r="BP52" s="36" t="str">
        <f ca="1">IFERROR(+IF(BP$27=ProposalToGnatt[[#This Row],[Start Date]],Milestone_Marker,IF(AND(BP$27&gt;ProposalToGnatt[[#This Row],[Start Date]],BP$27&lt;ProposalToGnatt[[#This Row],[Start Date]]+ProposalToGnatt[[#This Row],[Days]]),$G$5,"")),"")</f>
        <v/>
      </c>
      <c r="BQ52" s="36" t="str">
        <f ca="1">IFERROR(+IF(BQ$27=ProposalToGnatt[[#This Row],[Start Date]],Milestone_Marker,IF(AND(BQ$27&gt;ProposalToGnatt[[#This Row],[Start Date]],BQ$27&lt;ProposalToGnatt[[#This Row],[Start Date]]+ProposalToGnatt[[#This Row],[Days]]),$G$5,"")),"")</f>
        <v/>
      </c>
      <c r="BR52" s="36" t="str">
        <f ca="1">IFERROR(+IF(BR$27=ProposalToGnatt[[#This Row],[Start Date]],Milestone_Marker,IF(AND(BR$27&gt;ProposalToGnatt[[#This Row],[Start Date]],BR$27&lt;ProposalToGnatt[[#This Row],[Start Date]]+ProposalToGnatt[[#This Row],[Days]]),$G$5,"")),"")</f>
        <v/>
      </c>
      <c r="BS52" s="36" t="str">
        <f ca="1">IFERROR(+IF(BS$27=ProposalToGnatt[[#This Row],[Start Date]],Milestone_Marker,IF(AND(BS$27&gt;ProposalToGnatt[[#This Row],[Start Date]],BS$27&lt;ProposalToGnatt[[#This Row],[Start Date]]+ProposalToGnatt[[#This Row],[Days]]),$G$5,"")),"")</f>
        <v/>
      </c>
      <c r="BT52" s="36" t="str">
        <f ca="1">IFERROR(+IF(BT$27=ProposalToGnatt[[#This Row],[Start Date]],Milestone_Marker,IF(AND(BT$27&gt;ProposalToGnatt[[#This Row],[Start Date]],BT$27&lt;ProposalToGnatt[[#This Row],[Start Date]]+ProposalToGnatt[[#This Row],[Days]]),$G$5,"")),"")</f>
        <v/>
      </c>
      <c r="BU52" s="36" t="str">
        <f ca="1">IFERROR(+IF(BU$27=ProposalToGnatt[[#This Row],[Start Date]],Milestone_Marker,IF(AND(BU$27&gt;ProposalToGnatt[[#This Row],[Start Date]],BU$27&lt;ProposalToGnatt[[#This Row],[Start Date]]+ProposalToGnatt[[#This Row],[Days]]),$G$5,"")),"")</f>
        <v/>
      </c>
      <c r="BV52" s="36" t="str">
        <f ca="1">IFERROR(+IF(BV$27=ProposalToGnatt[[#This Row],[Start Date]],Milestone_Marker,IF(AND(BV$27&gt;ProposalToGnatt[[#This Row],[Start Date]],BV$27&lt;ProposalToGnatt[[#This Row],[Start Date]]+ProposalToGnatt[[#This Row],[Days]]),$G$5,"")),"")</f>
        <v/>
      </c>
      <c r="BW52" s="36" t="str">
        <f ca="1">IFERROR(+IF(BW$27=ProposalToGnatt[[#This Row],[Start Date]],Milestone_Marker,IF(AND(BW$27&gt;ProposalToGnatt[[#This Row],[Start Date]],BW$27&lt;ProposalToGnatt[[#This Row],[Start Date]]+ProposalToGnatt[[#This Row],[Days]]),$G$5,"")),"")</f>
        <v/>
      </c>
      <c r="BX52" s="36" t="str">
        <f ca="1">IFERROR(+IF(BX$27=ProposalToGnatt[[#This Row],[Start Date]],Milestone_Marker,IF(AND(BX$27&gt;ProposalToGnatt[[#This Row],[Start Date]],BX$27&lt;ProposalToGnatt[[#This Row],[Start Date]]+ProposalToGnatt[[#This Row],[Days]]),$G$5,"")),"")</f>
        <v/>
      </c>
      <c r="BY52" s="36" t="str">
        <f ca="1">IFERROR(+IF(BY$27=ProposalToGnatt[[#This Row],[Start Date]],Milestone_Marker,IF(AND(BY$27&gt;ProposalToGnatt[[#This Row],[Start Date]],BY$27&lt;ProposalToGnatt[[#This Row],[Start Date]]+ProposalToGnatt[[#This Row],[Days]]),$G$5,"")),"")</f>
        <v/>
      </c>
      <c r="BZ52" s="36" t="str">
        <f ca="1">IFERROR(+IF(BZ$27=ProposalToGnatt[[#This Row],[Start Date]],Milestone_Marker,IF(AND(BZ$27&gt;ProposalToGnatt[[#This Row],[Start Date]],BZ$27&lt;ProposalToGnatt[[#This Row],[Start Date]]+ProposalToGnatt[[#This Row],[Days]]),$G$5,"")),"")</f>
        <v/>
      </c>
      <c r="CA52" s="36" t="str">
        <f ca="1">IFERROR(+IF(CA$27=ProposalToGnatt[[#This Row],[Start Date]],Milestone_Marker,IF(AND(CA$27&gt;ProposalToGnatt[[#This Row],[Start Date]],CA$27&lt;ProposalToGnatt[[#This Row],[Start Date]]+ProposalToGnatt[[#This Row],[Days]]),$G$5,"")),"")</f>
        <v/>
      </c>
      <c r="CB52" s="36" t="str">
        <f ca="1">IFERROR(+IF(CB$27=ProposalToGnatt[[#This Row],[Start Date]],Milestone_Marker,IF(AND(CB$27&gt;ProposalToGnatt[[#This Row],[Start Date]],CB$27&lt;ProposalToGnatt[[#This Row],[Start Date]]+ProposalToGnatt[[#This Row],[Days]]),$G$5,"")),"")</f>
        <v/>
      </c>
      <c r="CC52" s="36" t="str">
        <f ca="1">IFERROR(+IF(CC$27=ProposalToGnatt[[#This Row],[Start Date]],Milestone_Marker,IF(AND(CC$27&gt;ProposalToGnatt[[#This Row],[Start Date]],CC$27&lt;ProposalToGnatt[[#This Row],[Start Date]]+ProposalToGnatt[[#This Row],[Days]]),$G$5,"")),"")</f>
        <v/>
      </c>
      <c r="CD52" s="36" t="str">
        <f ca="1">IFERROR(+IF(CD$27=ProposalToGnatt[[#This Row],[Start Date]],Milestone_Marker,IF(AND(CD$27&gt;ProposalToGnatt[[#This Row],[Start Date]],CD$27&lt;ProposalToGnatt[[#This Row],[Start Date]]+ProposalToGnatt[[#This Row],[Days]]),$G$5,"")),"")</f>
        <v/>
      </c>
      <c r="CE52" s="36" t="str">
        <f ca="1">IFERROR(+IF(CE$27=ProposalToGnatt[[#This Row],[Start Date]],Milestone_Marker,IF(AND(CE$27&gt;ProposalToGnatt[[#This Row],[Start Date]],CE$27&lt;ProposalToGnatt[[#This Row],[Start Date]]+ProposalToGnatt[[#This Row],[Days]]),$G$5,"")),"")</f>
        <v/>
      </c>
      <c r="CF52" s="36" t="str">
        <f ca="1">IFERROR(+IF(CF$27=ProposalToGnatt[[#This Row],[Start Date]],Milestone_Marker,IF(AND(CF$27&gt;ProposalToGnatt[[#This Row],[Start Date]],CF$27&lt;ProposalToGnatt[[#This Row],[Start Date]]+ProposalToGnatt[[#This Row],[Days]]),$G$5,"")),"")</f>
        <v/>
      </c>
      <c r="CG52" s="36" t="str">
        <f ca="1">IFERROR(+IF(CG$27=ProposalToGnatt[[#This Row],[Start Date]],Milestone_Marker,IF(AND(CG$27&gt;ProposalToGnatt[[#This Row],[Start Date]],CG$27&lt;ProposalToGnatt[[#This Row],[Start Date]]+ProposalToGnatt[[#This Row],[Days]]),$G$5,"")),"")</f>
        <v/>
      </c>
      <c r="CH52" s="36" t="str">
        <f ca="1">IFERROR(+IF(CH$27=ProposalToGnatt[[#This Row],[Start Date]],Milestone_Marker,IF(AND(CH$27&gt;ProposalToGnatt[[#This Row],[Start Date]],CH$27&lt;ProposalToGnatt[[#This Row],[Start Date]]+ProposalToGnatt[[#This Row],[Days]]),$G$5,"")),"")</f>
        <v/>
      </c>
      <c r="CI52" s="36" t="str">
        <f ca="1">IFERROR(+IF(CI$27=ProposalToGnatt[[#This Row],[Start Date]],Milestone_Marker,IF(AND(CI$27&gt;ProposalToGnatt[[#This Row],[Start Date]],CI$27&lt;ProposalToGnatt[[#This Row],[Start Date]]+ProposalToGnatt[[#This Row],[Days]]),$G$5,"")),"")</f>
        <v/>
      </c>
      <c r="CJ52" s="36" t="str">
        <f ca="1">IFERROR(+IF(CJ$27=ProposalToGnatt[[#This Row],[Start Date]],Milestone_Marker,IF(AND(CJ$27&gt;ProposalToGnatt[[#This Row],[Start Date]],CJ$27&lt;ProposalToGnatt[[#This Row],[Start Date]]+ProposalToGnatt[[#This Row],[Days]]),$G$5,"")),"")</f>
        <v/>
      </c>
      <c r="CK52" s="36" t="str">
        <f ca="1">IFERROR(+IF(CK$27=ProposalToGnatt[[#This Row],[Start Date]],Milestone_Marker,IF(AND(CK$27&gt;ProposalToGnatt[[#This Row],[Start Date]],CK$27&lt;ProposalToGnatt[[#This Row],[Start Date]]+ProposalToGnatt[[#This Row],[Days]]),$G$5,"")),"")</f>
        <v/>
      </c>
      <c r="CL52" s="36" t="str">
        <f ca="1">IFERROR(+IF(CL$27=ProposalToGnatt[[#This Row],[Start Date]],Milestone_Marker,IF(AND(CL$27&gt;ProposalToGnatt[[#This Row],[Start Date]],CL$27&lt;ProposalToGnatt[[#This Row],[Start Date]]+ProposalToGnatt[[#This Row],[Days]]),$G$5,"")),"")</f>
        <v/>
      </c>
      <c r="CM52" s="36" t="str">
        <f ca="1">IFERROR(+IF(CM$27=ProposalToGnatt[[#This Row],[Start Date]],Milestone_Marker,IF(AND(CM$27&gt;ProposalToGnatt[[#This Row],[Start Date]],CM$27&lt;ProposalToGnatt[[#This Row],[Start Date]]+ProposalToGnatt[[#This Row],[Days]]),$G$5,"")),"")</f>
        <v/>
      </c>
      <c r="CN52" s="36" t="str">
        <f ca="1">IFERROR(+IF(CN$27=ProposalToGnatt[[#This Row],[Start Date]],Milestone_Marker,IF(AND(CN$27&gt;ProposalToGnatt[[#This Row],[Start Date]],CN$27&lt;ProposalToGnatt[[#This Row],[Start Date]]+ProposalToGnatt[[#This Row],[Days]]),$G$5,"")),"")</f>
        <v/>
      </c>
      <c r="CO52" s="36" t="str">
        <f ca="1">IFERROR(+IF(CO$27=ProposalToGnatt[[#This Row],[Start Date]],Milestone_Marker,IF(AND(CO$27&gt;ProposalToGnatt[[#This Row],[Start Date]],CO$27&lt;ProposalToGnatt[[#This Row],[Start Date]]+ProposalToGnatt[[#This Row],[Days]]),$G$5,"")),"")</f>
        <v/>
      </c>
      <c r="CP52" s="36" t="str">
        <f ca="1">IFERROR(+IF(CP$27=ProposalToGnatt[[#This Row],[Start Date]],Milestone_Marker,IF(AND(CP$27&gt;ProposalToGnatt[[#This Row],[Start Date]],CP$27&lt;ProposalToGnatt[[#This Row],[Start Date]]+ProposalToGnatt[[#This Row],[Days]]),$G$5,"")),"")</f>
        <v/>
      </c>
      <c r="CQ52" s="36" t="str">
        <f ca="1">IFERROR(+IF(CQ$27=ProposalToGnatt[[#This Row],[Start Date]],Milestone_Marker,IF(AND(CQ$27&gt;ProposalToGnatt[[#This Row],[Start Date]],CQ$27&lt;ProposalToGnatt[[#This Row],[Start Date]]+ProposalToGnatt[[#This Row],[Days]]),$G$5,"")),"")</f>
        <v/>
      </c>
      <c r="CR52" s="36" t="str">
        <f ca="1">IFERROR(+IF(CR$27=ProposalToGnatt[[#This Row],[Start Date]],Milestone_Marker,IF(AND(CR$27&gt;ProposalToGnatt[[#This Row],[Start Date]],CR$27&lt;ProposalToGnatt[[#This Row],[Start Date]]+ProposalToGnatt[[#This Row],[Days]]),$G$5,"")),"")</f>
        <v/>
      </c>
      <c r="CS52" s="36" t="str">
        <f ca="1">IFERROR(+IF(CS$27=ProposalToGnatt[[#This Row],[Start Date]],Milestone_Marker,IF(AND(CS$27&gt;ProposalToGnatt[[#This Row],[Start Date]],CS$27&lt;ProposalToGnatt[[#This Row],[Start Date]]+ProposalToGnatt[[#This Row],[Days]]),$G$5,"")),"")</f>
        <v/>
      </c>
      <c r="CT52" s="36" t="str">
        <f ca="1">IFERROR(+IF(CT$27=ProposalToGnatt[[#This Row],[Start Date]],Milestone_Marker,IF(AND(CT$27&gt;ProposalToGnatt[[#This Row],[Start Date]],CT$27&lt;ProposalToGnatt[[#This Row],[Start Date]]+ProposalToGnatt[[#This Row],[Days]]),$G$5,"")),"")</f>
        <v/>
      </c>
      <c r="CU52" s="36" t="str">
        <f ca="1">IFERROR(+IF(CU$27=ProposalToGnatt[[#This Row],[Start Date]],Milestone_Marker,IF(AND(CU$27&gt;ProposalToGnatt[[#This Row],[Start Date]],CU$27&lt;ProposalToGnatt[[#This Row],[Start Date]]+ProposalToGnatt[[#This Row],[Days]]),$G$5,"")),"")</f>
        <v/>
      </c>
      <c r="CV52" s="36"/>
      <c r="CW52" s="36"/>
      <c r="CX52" s="36"/>
      <c r="CY52" s="36"/>
      <c r="CZ52" s="36"/>
      <c r="DA52" s="36"/>
      <c r="DB52" s="36"/>
      <c r="DC52" s="36"/>
      <c r="DD52" s="36"/>
      <c r="DE52" s="36"/>
      <c r="DF52" s="36"/>
      <c r="DG52" s="36"/>
      <c r="DH52" s="36"/>
      <c r="DI52" s="36"/>
      <c r="DJ52" s="36"/>
      <c r="DK52" s="36"/>
      <c r="DL52" s="36"/>
      <c r="DM52" s="36"/>
      <c r="DN52" s="36"/>
      <c r="DO52" s="36"/>
      <c r="DP52" s="36"/>
      <c r="DQ52" s="36"/>
      <c r="DR52" s="36"/>
      <c r="DS52" s="36"/>
      <c r="DT52" s="36"/>
      <c r="DU52" s="36"/>
    </row>
    <row r="53" spans="1:125" s="41" customFormat="1" ht="15" x14ac:dyDescent="0.25">
      <c r="A53"/>
      <c r="B53"/>
      <c r="C53"/>
      <c r="D53"/>
      <c r="E53"/>
      <c r="F53"/>
      <c r="G53" s="14"/>
      <c r="H53" s="14"/>
      <c r="I53"/>
      <c r="J53"/>
      <c r="K53" s="246"/>
      <c r="L53"/>
      <c r="M53" s="14"/>
      <c r="N53" s="299"/>
      <c r="O53" s="281"/>
      <c r="P53" s="36" t="str">
        <f ca="1">IFERROR(+IF(P$27=ProposalToGnatt[[#This Row],[Start Date]],Milestone_Marker,IF(AND(P$27&gt;ProposalToGnatt[[#This Row],[Start Date]],P$27&lt;ProposalToGnatt[[#This Row],[Start Date]]+ProposalToGnatt[[#This Row],[Days]]),$G$5,"")),"")</f>
        <v/>
      </c>
      <c r="Q53" s="36" t="str">
        <f ca="1">IFERROR(+IF(Q$27=ProposalToGnatt[[#This Row],[Start Date]],Milestone_Marker,IF(AND(Q$27&gt;ProposalToGnatt[[#This Row],[Start Date]],Q$27&lt;ProposalToGnatt[[#This Row],[Start Date]]+ProposalToGnatt[[#This Row],[Days]]),$G$5,"")),"")</f>
        <v/>
      </c>
      <c r="R53" s="36" t="str">
        <f ca="1">IFERROR(+IF(R$27=ProposalToGnatt[[#This Row],[Start Date]],Milestone_Marker,IF(AND(R$27&gt;ProposalToGnatt[[#This Row],[Start Date]],R$27&lt;ProposalToGnatt[[#This Row],[Start Date]]+ProposalToGnatt[[#This Row],[Days]]),$G$5,"")),"")</f>
        <v/>
      </c>
      <c r="S53" s="36" t="str">
        <f ca="1">IFERROR(+IF(S$27=ProposalToGnatt[[#This Row],[Start Date]],Milestone_Marker,IF(AND(S$27&gt;ProposalToGnatt[[#This Row],[Start Date]],S$27&lt;ProposalToGnatt[[#This Row],[Start Date]]+ProposalToGnatt[[#This Row],[Days]]),$G$5,"")),"")</f>
        <v/>
      </c>
      <c r="T53" s="36" t="str">
        <f ca="1">IFERROR(+IF(T$27=ProposalToGnatt[[#This Row],[Start Date]],Milestone_Marker,IF(AND(T$27&gt;ProposalToGnatt[[#This Row],[Start Date]],T$27&lt;ProposalToGnatt[[#This Row],[Start Date]]+ProposalToGnatt[[#This Row],[Days]]),$G$5,"")),"")</f>
        <v/>
      </c>
      <c r="U53" s="36" t="str">
        <f ca="1">IFERROR(+IF(U$27=ProposalToGnatt[[#This Row],[Start Date]],Milestone_Marker,IF(AND(U$27&gt;ProposalToGnatt[[#This Row],[Start Date]],U$27&lt;ProposalToGnatt[[#This Row],[Start Date]]+ProposalToGnatt[[#This Row],[Days]]),$G$5,"")),"")</f>
        <v/>
      </c>
      <c r="V53" s="36" t="str">
        <f ca="1">IFERROR(+IF(V$27=ProposalToGnatt[[#This Row],[Start Date]],Milestone_Marker,IF(AND(V$27&gt;ProposalToGnatt[[#This Row],[Start Date]],V$27&lt;ProposalToGnatt[[#This Row],[Start Date]]+ProposalToGnatt[[#This Row],[Days]]),$G$5,"")),"")</f>
        <v/>
      </c>
      <c r="W53" s="36" t="str">
        <f ca="1">IFERROR(+IF(W$27=ProposalToGnatt[[#This Row],[Start Date]],Milestone_Marker,IF(AND(W$27&gt;ProposalToGnatt[[#This Row],[Start Date]],W$27&lt;ProposalToGnatt[[#This Row],[Start Date]]+ProposalToGnatt[[#This Row],[Days]]),$G$5,"")),"")</f>
        <v/>
      </c>
      <c r="X53" s="36" t="str">
        <f ca="1">IFERROR(+IF(X$27=ProposalToGnatt[[#This Row],[Start Date]],Milestone_Marker,IF(AND(X$27&gt;ProposalToGnatt[[#This Row],[Start Date]],X$27&lt;ProposalToGnatt[[#This Row],[Start Date]]+ProposalToGnatt[[#This Row],[Days]]),$G$5,"")),"")</f>
        <v/>
      </c>
      <c r="Y53" s="36" t="str">
        <f ca="1">IFERROR(+IF(Y$27=ProposalToGnatt[[#This Row],[Start Date]],Milestone_Marker,IF(AND(Y$27&gt;ProposalToGnatt[[#This Row],[Start Date]],Y$27&lt;ProposalToGnatt[[#This Row],[Start Date]]+ProposalToGnatt[[#This Row],[Days]]),$G$5,"")),"")</f>
        <v/>
      </c>
      <c r="Z53" s="36" t="str">
        <f ca="1">IFERROR(+IF(Z$27=ProposalToGnatt[[#This Row],[Start Date]],Milestone_Marker,IF(AND(Z$27&gt;ProposalToGnatt[[#This Row],[Start Date]],Z$27&lt;ProposalToGnatt[[#This Row],[Start Date]]+ProposalToGnatt[[#This Row],[Days]]),$G$5,"")),"")</f>
        <v/>
      </c>
      <c r="AA53" s="36" t="str">
        <f ca="1">IFERROR(+IF(AA$27=ProposalToGnatt[[#This Row],[Start Date]],Milestone_Marker,IF(AND(AA$27&gt;ProposalToGnatt[[#This Row],[Start Date]],AA$27&lt;ProposalToGnatt[[#This Row],[Start Date]]+ProposalToGnatt[[#This Row],[Days]]),$G$5,"")),"")</f>
        <v/>
      </c>
      <c r="AB53" s="36" t="str">
        <f ca="1">IFERROR(+IF(AB$27=ProposalToGnatt[[#This Row],[Start Date]],Milestone_Marker,IF(AND(AB$27&gt;ProposalToGnatt[[#This Row],[Start Date]],AB$27&lt;ProposalToGnatt[[#This Row],[Start Date]]+ProposalToGnatt[[#This Row],[Days]]),$G$5,"")),"")</f>
        <v/>
      </c>
      <c r="AC53" s="36" t="str">
        <f ca="1">IFERROR(+IF(AC$27=ProposalToGnatt[[#This Row],[Start Date]],Milestone_Marker,IF(AND(AC$27&gt;ProposalToGnatt[[#This Row],[Start Date]],AC$27&lt;ProposalToGnatt[[#This Row],[Start Date]]+ProposalToGnatt[[#This Row],[Days]]),$G$5,"")),"")</f>
        <v/>
      </c>
      <c r="AD53" s="36" t="str">
        <f ca="1">IFERROR(+IF(AD$27=ProposalToGnatt[[#This Row],[Start Date]],Milestone_Marker,IF(AND(AD$27&gt;ProposalToGnatt[[#This Row],[Start Date]],AD$27&lt;ProposalToGnatt[[#This Row],[Start Date]]+ProposalToGnatt[[#This Row],[Days]]),$G$5,"")),"")</f>
        <v/>
      </c>
      <c r="AE53" s="36" t="str">
        <f ca="1">IFERROR(+IF(AE$27=ProposalToGnatt[[#This Row],[Start Date]],Milestone_Marker,IF(AND(AE$27&gt;ProposalToGnatt[[#This Row],[Start Date]],AE$27&lt;ProposalToGnatt[[#This Row],[Start Date]]+ProposalToGnatt[[#This Row],[Days]]),$G$5,"")),"")</f>
        <v/>
      </c>
      <c r="AF53" s="36" t="str">
        <f ca="1">IFERROR(+IF(AF$27=ProposalToGnatt[[#This Row],[Start Date]],Milestone_Marker,IF(AND(AF$27&gt;ProposalToGnatt[[#This Row],[Start Date]],AF$27&lt;ProposalToGnatt[[#This Row],[Start Date]]+ProposalToGnatt[[#This Row],[Days]]),$G$5,"")),"")</f>
        <v/>
      </c>
      <c r="AG53" s="36" t="str">
        <f ca="1">IFERROR(+IF(AG$27=ProposalToGnatt[[#This Row],[Start Date]],Milestone_Marker,IF(AND(AG$27&gt;ProposalToGnatt[[#This Row],[Start Date]],AG$27&lt;ProposalToGnatt[[#This Row],[Start Date]]+ProposalToGnatt[[#This Row],[Days]]),$G$5,"")),"")</f>
        <v/>
      </c>
      <c r="AH53" s="36" t="str">
        <f ca="1">IFERROR(+IF(AH$27=ProposalToGnatt[[#This Row],[Start Date]],Milestone_Marker,IF(AND(AH$27&gt;ProposalToGnatt[[#This Row],[Start Date]],AH$27&lt;ProposalToGnatt[[#This Row],[Start Date]]+ProposalToGnatt[[#This Row],[Days]]),$G$5,"")),"")</f>
        <v/>
      </c>
      <c r="AI53" s="36" t="str">
        <f ca="1">IFERROR(+IF(AI$27=ProposalToGnatt[[#This Row],[Start Date]],Milestone_Marker,IF(AND(AI$27&gt;ProposalToGnatt[[#This Row],[Start Date]],AI$27&lt;ProposalToGnatt[[#This Row],[Start Date]]+ProposalToGnatt[[#This Row],[Days]]),$G$5,"")),"")</f>
        <v/>
      </c>
      <c r="AJ53" s="36" t="str">
        <f ca="1">IFERROR(+IF(AJ$27=ProposalToGnatt[[#This Row],[Start Date]],Milestone_Marker,IF(AND(AJ$27&gt;ProposalToGnatt[[#This Row],[Start Date]],AJ$27&lt;ProposalToGnatt[[#This Row],[Start Date]]+ProposalToGnatt[[#This Row],[Days]]),$G$5,"")),"")</f>
        <v/>
      </c>
      <c r="AK53" s="36" t="str">
        <f ca="1">IFERROR(+IF(AK$27=ProposalToGnatt[[#This Row],[Start Date]],Milestone_Marker,IF(AND(AK$27&gt;ProposalToGnatt[[#This Row],[Start Date]],AK$27&lt;ProposalToGnatt[[#This Row],[Start Date]]+ProposalToGnatt[[#This Row],[Days]]),$G$5,"")),"")</f>
        <v/>
      </c>
      <c r="AL53" s="36" t="str">
        <f ca="1">IFERROR(+IF(AL$27=ProposalToGnatt[[#This Row],[Start Date]],Milestone_Marker,IF(AND(AL$27&gt;ProposalToGnatt[[#This Row],[Start Date]],AL$27&lt;ProposalToGnatt[[#This Row],[Start Date]]+ProposalToGnatt[[#This Row],[Days]]),$G$5,"")),"")</f>
        <v/>
      </c>
      <c r="AM53" s="36" t="str">
        <f ca="1">IFERROR(+IF(AM$27=ProposalToGnatt[[#This Row],[Start Date]],Milestone_Marker,IF(AND(AM$27&gt;ProposalToGnatt[[#This Row],[Start Date]],AM$27&lt;ProposalToGnatt[[#This Row],[Start Date]]+ProposalToGnatt[[#This Row],[Days]]),$G$5,"")),"")</f>
        <v/>
      </c>
      <c r="AN53" s="36" t="str">
        <f ca="1">IFERROR(+IF(AN$27=ProposalToGnatt[[#This Row],[Start Date]],Milestone_Marker,IF(AND(AN$27&gt;ProposalToGnatt[[#This Row],[Start Date]],AN$27&lt;ProposalToGnatt[[#This Row],[Start Date]]+ProposalToGnatt[[#This Row],[Days]]),$G$5,"")),"")</f>
        <v/>
      </c>
      <c r="AO53" s="36" t="str">
        <f ca="1">IFERROR(+IF(AO$27=ProposalToGnatt[[#This Row],[Start Date]],Milestone_Marker,IF(AND(AO$27&gt;ProposalToGnatt[[#This Row],[Start Date]],AO$27&lt;ProposalToGnatt[[#This Row],[Start Date]]+ProposalToGnatt[[#This Row],[Days]]),$G$5,"")),"")</f>
        <v/>
      </c>
      <c r="AP53" s="36" t="str">
        <f ca="1">IFERROR(+IF(AP$27=ProposalToGnatt[[#This Row],[Start Date]],Milestone_Marker,IF(AND(AP$27&gt;ProposalToGnatt[[#This Row],[Start Date]],AP$27&lt;ProposalToGnatt[[#This Row],[Start Date]]+ProposalToGnatt[[#This Row],[Days]]),$G$5,"")),"")</f>
        <v/>
      </c>
      <c r="AQ53" s="36" t="str">
        <f ca="1">IFERROR(+IF(AQ$27=ProposalToGnatt[[#This Row],[Start Date]],Milestone_Marker,IF(AND(AQ$27&gt;ProposalToGnatt[[#This Row],[Start Date]],AQ$27&lt;ProposalToGnatt[[#This Row],[Start Date]]+ProposalToGnatt[[#This Row],[Days]]),$G$5,"")),"")</f>
        <v/>
      </c>
      <c r="AR53" s="36" t="str">
        <f ca="1">IFERROR(+IF(AR$27=ProposalToGnatt[[#This Row],[Start Date]],Milestone_Marker,IF(AND(AR$27&gt;ProposalToGnatt[[#This Row],[Start Date]],AR$27&lt;ProposalToGnatt[[#This Row],[Start Date]]+ProposalToGnatt[[#This Row],[Days]]),$G$5,"")),"")</f>
        <v/>
      </c>
      <c r="AS53" s="36" t="str">
        <f ca="1">IFERROR(+IF(AS$27=ProposalToGnatt[[#This Row],[Start Date]],Milestone_Marker,IF(AND(AS$27&gt;ProposalToGnatt[[#This Row],[Start Date]],AS$27&lt;ProposalToGnatt[[#This Row],[Start Date]]+ProposalToGnatt[[#This Row],[Days]]),$G$5,"")),"")</f>
        <v/>
      </c>
      <c r="AT53" s="36" t="str">
        <f ca="1">IFERROR(+IF(AT$27=ProposalToGnatt[[#This Row],[Start Date]],Milestone_Marker,IF(AND(AT$27&gt;ProposalToGnatt[[#This Row],[Start Date]],AT$27&lt;ProposalToGnatt[[#This Row],[Start Date]]+ProposalToGnatt[[#This Row],[Days]]),$G$5,"")),"")</f>
        <v/>
      </c>
      <c r="AU53" s="36" t="str">
        <f ca="1">IFERROR(+IF(AU$27=ProposalToGnatt[[#This Row],[Start Date]],Milestone_Marker,IF(AND(AU$27&gt;ProposalToGnatt[[#This Row],[Start Date]],AU$27&lt;ProposalToGnatt[[#This Row],[Start Date]]+ProposalToGnatt[[#This Row],[Days]]),$G$5,"")),"")</f>
        <v/>
      </c>
      <c r="AV53" s="36" t="str">
        <f ca="1">IFERROR(+IF(AV$27=ProposalToGnatt[[#This Row],[Start Date]],Milestone_Marker,IF(AND(AV$27&gt;ProposalToGnatt[[#This Row],[Start Date]],AV$27&lt;ProposalToGnatt[[#This Row],[Start Date]]+ProposalToGnatt[[#This Row],[Days]]),$G$5,"")),"")</f>
        <v/>
      </c>
      <c r="AW53" s="36" t="str">
        <f ca="1">IFERROR(+IF(AW$27=ProposalToGnatt[[#This Row],[Start Date]],Milestone_Marker,IF(AND(AW$27&gt;ProposalToGnatt[[#This Row],[Start Date]],AW$27&lt;ProposalToGnatt[[#This Row],[Start Date]]+ProposalToGnatt[[#This Row],[Days]]),$G$5,"")),"")</f>
        <v/>
      </c>
      <c r="AX53" s="36" t="str">
        <f ca="1">IFERROR(+IF(AX$27=ProposalToGnatt[[#This Row],[Start Date]],Milestone_Marker,IF(AND(AX$27&gt;ProposalToGnatt[[#This Row],[Start Date]],AX$27&lt;ProposalToGnatt[[#This Row],[Start Date]]+ProposalToGnatt[[#This Row],[Days]]),$G$5,"")),"")</f>
        <v/>
      </c>
      <c r="AY53" s="36" t="str">
        <f ca="1">IFERROR(+IF(AY$27=ProposalToGnatt[[#This Row],[Start Date]],Milestone_Marker,IF(AND(AY$27&gt;ProposalToGnatt[[#This Row],[Start Date]],AY$27&lt;ProposalToGnatt[[#This Row],[Start Date]]+ProposalToGnatt[[#This Row],[Days]]),$G$5,"")),"")</f>
        <v/>
      </c>
      <c r="AZ53" s="36" t="str">
        <f ca="1">IFERROR(+IF(AZ$27=ProposalToGnatt[[#This Row],[Start Date]],Milestone_Marker,IF(AND(AZ$27&gt;ProposalToGnatt[[#This Row],[Start Date]],AZ$27&lt;ProposalToGnatt[[#This Row],[Start Date]]+ProposalToGnatt[[#This Row],[Days]]),$G$5,"")),"")</f>
        <v/>
      </c>
      <c r="BA53" s="36" t="str">
        <f ca="1">IFERROR(+IF(BA$27=ProposalToGnatt[[#This Row],[Start Date]],Milestone_Marker,IF(AND(BA$27&gt;ProposalToGnatt[[#This Row],[Start Date]],BA$27&lt;ProposalToGnatt[[#This Row],[Start Date]]+ProposalToGnatt[[#This Row],[Days]]),$G$5,"")),"")</f>
        <v/>
      </c>
      <c r="BB53" s="36" t="str">
        <f ca="1">IFERROR(+IF(BB$27=ProposalToGnatt[[#This Row],[Start Date]],Milestone_Marker,IF(AND(BB$27&gt;ProposalToGnatt[[#This Row],[Start Date]],BB$27&lt;ProposalToGnatt[[#This Row],[Start Date]]+ProposalToGnatt[[#This Row],[Days]]),$G$5,"")),"")</f>
        <v/>
      </c>
      <c r="BC53" s="36" t="str">
        <f ca="1">IFERROR(+IF(BC$27=ProposalToGnatt[[#This Row],[Start Date]],Milestone_Marker,IF(AND(BC$27&gt;ProposalToGnatt[[#This Row],[Start Date]],BC$27&lt;ProposalToGnatt[[#This Row],[Start Date]]+ProposalToGnatt[[#This Row],[Days]]),$G$5,"")),"")</f>
        <v/>
      </c>
      <c r="BD53" s="36" t="str">
        <f ca="1">IFERROR(+IF(BD$27=ProposalToGnatt[[#This Row],[Start Date]],Milestone_Marker,IF(AND(BD$27&gt;ProposalToGnatt[[#This Row],[Start Date]],BD$27&lt;ProposalToGnatt[[#This Row],[Start Date]]+ProposalToGnatt[[#This Row],[Days]]),$G$5,"")),"")</f>
        <v/>
      </c>
      <c r="BE53" s="36" t="str">
        <f ca="1">IFERROR(+IF(BE$27=ProposalToGnatt[[#This Row],[Start Date]],Milestone_Marker,IF(AND(BE$27&gt;ProposalToGnatt[[#This Row],[Start Date]],BE$27&lt;ProposalToGnatt[[#This Row],[Start Date]]+ProposalToGnatt[[#This Row],[Days]]),$G$5,"")),"")</f>
        <v/>
      </c>
      <c r="BF53" s="36" t="str">
        <f ca="1">IFERROR(+IF(BF$27=ProposalToGnatt[[#This Row],[Start Date]],Milestone_Marker,IF(AND(BF$27&gt;ProposalToGnatt[[#This Row],[Start Date]],BF$27&lt;ProposalToGnatt[[#This Row],[Start Date]]+ProposalToGnatt[[#This Row],[Days]]),$G$5,"")),"")</f>
        <v/>
      </c>
      <c r="BG53" s="36" t="str">
        <f ca="1">IFERROR(+IF(BG$27=ProposalToGnatt[[#This Row],[Start Date]],Milestone_Marker,IF(AND(BG$27&gt;ProposalToGnatt[[#This Row],[Start Date]],BG$27&lt;ProposalToGnatt[[#This Row],[Start Date]]+ProposalToGnatt[[#This Row],[Days]]),$G$5,"")),"")</f>
        <v/>
      </c>
      <c r="BH53" s="36" t="str">
        <f ca="1">IFERROR(+IF(BH$27=ProposalToGnatt[[#This Row],[Start Date]],Milestone_Marker,IF(AND(BH$27&gt;ProposalToGnatt[[#This Row],[Start Date]],BH$27&lt;ProposalToGnatt[[#This Row],[Start Date]]+ProposalToGnatt[[#This Row],[Days]]),$G$5,"")),"")</f>
        <v/>
      </c>
      <c r="BI53" s="36" t="str">
        <f ca="1">IFERROR(+IF(BI$27=ProposalToGnatt[[#This Row],[Start Date]],Milestone_Marker,IF(AND(BI$27&gt;ProposalToGnatt[[#This Row],[Start Date]],BI$27&lt;ProposalToGnatt[[#This Row],[Start Date]]+ProposalToGnatt[[#This Row],[Days]]),$G$5,"")),"")</f>
        <v/>
      </c>
      <c r="BJ53" s="36" t="str">
        <f ca="1">IFERROR(+IF(BJ$27=ProposalToGnatt[[#This Row],[Start Date]],Milestone_Marker,IF(AND(BJ$27&gt;ProposalToGnatt[[#This Row],[Start Date]],BJ$27&lt;ProposalToGnatt[[#This Row],[Start Date]]+ProposalToGnatt[[#This Row],[Days]]),$G$5,"")),"")</f>
        <v/>
      </c>
      <c r="BK53" s="36" t="str">
        <f ca="1">IFERROR(+IF(BK$27=ProposalToGnatt[[#This Row],[Start Date]],Milestone_Marker,IF(AND(BK$27&gt;ProposalToGnatt[[#This Row],[Start Date]],BK$27&lt;ProposalToGnatt[[#This Row],[Start Date]]+ProposalToGnatt[[#This Row],[Days]]),$G$5,"")),"")</f>
        <v/>
      </c>
      <c r="BL53" s="36" t="str">
        <f ca="1">IFERROR(+IF(BL$27=ProposalToGnatt[[#This Row],[Start Date]],Milestone_Marker,IF(AND(BL$27&gt;ProposalToGnatt[[#This Row],[Start Date]],BL$27&lt;ProposalToGnatt[[#This Row],[Start Date]]+ProposalToGnatt[[#This Row],[Days]]),$G$5,"")),"")</f>
        <v/>
      </c>
      <c r="BM53" s="36" t="str">
        <f ca="1">IFERROR(+IF(BM$27=ProposalToGnatt[[#This Row],[Start Date]],Milestone_Marker,IF(AND(BM$27&gt;ProposalToGnatt[[#This Row],[Start Date]],BM$27&lt;ProposalToGnatt[[#This Row],[Start Date]]+ProposalToGnatt[[#This Row],[Days]]),$G$5,"")),"")</f>
        <v/>
      </c>
      <c r="BN53" s="36" t="str">
        <f ca="1">IFERROR(+IF(BN$27=ProposalToGnatt[[#This Row],[Start Date]],Milestone_Marker,IF(AND(BN$27&gt;ProposalToGnatt[[#This Row],[Start Date]],BN$27&lt;ProposalToGnatt[[#This Row],[Start Date]]+ProposalToGnatt[[#This Row],[Days]]),$G$5,"")),"")</f>
        <v/>
      </c>
      <c r="BO53" s="36" t="str">
        <f ca="1">IFERROR(+IF(BO$27=ProposalToGnatt[[#This Row],[Start Date]],Milestone_Marker,IF(AND(BO$27&gt;ProposalToGnatt[[#This Row],[Start Date]],BO$27&lt;ProposalToGnatt[[#This Row],[Start Date]]+ProposalToGnatt[[#This Row],[Days]]),$G$5,"")),"")</f>
        <v/>
      </c>
      <c r="BP53" s="36" t="str">
        <f ca="1">IFERROR(+IF(BP$27=ProposalToGnatt[[#This Row],[Start Date]],Milestone_Marker,IF(AND(BP$27&gt;ProposalToGnatt[[#This Row],[Start Date]],BP$27&lt;ProposalToGnatt[[#This Row],[Start Date]]+ProposalToGnatt[[#This Row],[Days]]),$G$5,"")),"")</f>
        <v/>
      </c>
      <c r="BQ53" s="36" t="str">
        <f ca="1">IFERROR(+IF(BQ$27=ProposalToGnatt[[#This Row],[Start Date]],Milestone_Marker,IF(AND(BQ$27&gt;ProposalToGnatt[[#This Row],[Start Date]],BQ$27&lt;ProposalToGnatt[[#This Row],[Start Date]]+ProposalToGnatt[[#This Row],[Days]]),$G$5,"")),"")</f>
        <v/>
      </c>
      <c r="BR53" s="36" t="str">
        <f ca="1">IFERROR(+IF(BR$27=ProposalToGnatt[[#This Row],[Start Date]],Milestone_Marker,IF(AND(BR$27&gt;ProposalToGnatt[[#This Row],[Start Date]],BR$27&lt;ProposalToGnatt[[#This Row],[Start Date]]+ProposalToGnatt[[#This Row],[Days]]),$G$5,"")),"")</f>
        <v/>
      </c>
      <c r="BS53" s="36" t="str">
        <f ca="1">IFERROR(+IF(BS$27=ProposalToGnatt[[#This Row],[Start Date]],Milestone_Marker,IF(AND(BS$27&gt;ProposalToGnatt[[#This Row],[Start Date]],BS$27&lt;ProposalToGnatt[[#This Row],[Start Date]]+ProposalToGnatt[[#This Row],[Days]]),$G$5,"")),"")</f>
        <v/>
      </c>
      <c r="BT53" s="36" t="str">
        <f ca="1">IFERROR(+IF(BT$27=ProposalToGnatt[[#This Row],[Start Date]],Milestone_Marker,IF(AND(BT$27&gt;ProposalToGnatt[[#This Row],[Start Date]],BT$27&lt;ProposalToGnatt[[#This Row],[Start Date]]+ProposalToGnatt[[#This Row],[Days]]),$G$5,"")),"")</f>
        <v/>
      </c>
      <c r="BU53" s="36" t="str">
        <f ca="1">IFERROR(+IF(BU$27=ProposalToGnatt[[#This Row],[Start Date]],Milestone_Marker,IF(AND(BU$27&gt;ProposalToGnatt[[#This Row],[Start Date]],BU$27&lt;ProposalToGnatt[[#This Row],[Start Date]]+ProposalToGnatt[[#This Row],[Days]]),$G$5,"")),"")</f>
        <v/>
      </c>
      <c r="BV53" s="36" t="str">
        <f ca="1">IFERROR(+IF(BV$27=ProposalToGnatt[[#This Row],[Start Date]],Milestone_Marker,IF(AND(BV$27&gt;ProposalToGnatt[[#This Row],[Start Date]],BV$27&lt;ProposalToGnatt[[#This Row],[Start Date]]+ProposalToGnatt[[#This Row],[Days]]),$G$5,"")),"")</f>
        <v/>
      </c>
      <c r="BW53" s="36" t="str">
        <f ca="1">IFERROR(+IF(BW$27=ProposalToGnatt[[#This Row],[Start Date]],Milestone_Marker,IF(AND(BW$27&gt;ProposalToGnatt[[#This Row],[Start Date]],BW$27&lt;ProposalToGnatt[[#This Row],[Start Date]]+ProposalToGnatt[[#This Row],[Days]]),$G$5,"")),"")</f>
        <v/>
      </c>
      <c r="BX53" s="36" t="str">
        <f ca="1">IFERROR(+IF(BX$27=ProposalToGnatt[[#This Row],[Start Date]],Milestone_Marker,IF(AND(BX$27&gt;ProposalToGnatt[[#This Row],[Start Date]],BX$27&lt;ProposalToGnatt[[#This Row],[Start Date]]+ProposalToGnatt[[#This Row],[Days]]),$G$5,"")),"")</f>
        <v/>
      </c>
      <c r="BY53" s="36" t="str">
        <f ca="1">IFERROR(+IF(BY$27=ProposalToGnatt[[#This Row],[Start Date]],Milestone_Marker,IF(AND(BY$27&gt;ProposalToGnatt[[#This Row],[Start Date]],BY$27&lt;ProposalToGnatt[[#This Row],[Start Date]]+ProposalToGnatt[[#This Row],[Days]]),$G$5,"")),"")</f>
        <v/>
      </c>
      <c r="BZ53" s="36" t="str">
        <f ca="1">IFERROR(+IF(BZ$27=ProposalToGnatt[[#This Row],[Start Date]],Milestone_Marker,IF(AND(BZ$27&gt;ProposalToGnatt[[#This Row],[Start Date]],BZ$27&lt;ProposalToGnatt[[#This Row],[Start Date]]+ProposalToGnatt[[#This Row],[Days]]),$G$5,"")),"")</f>
        <v/>
      </c>
      <c r="CA53" s="36" t="str">
        <f ca="1">IFERROR(+IF(CA$27=ProposalToGnatt[[#This Row],[Start Date]],Milestone_Marker,IF(AND(CA$27&gt;ProposalToGnatt[[#This Row],[Start Date]],CA$27&lt;ProposalToGnatt[[#This Row],[Start Date]]+ProposalToGnatt[[#This Row],[Days]]),$G$5,"")),"")</f>
        <v/>
      </c>
      <c r="CB53" s="36" t="str">
        <f ca="1">IFERROR(+IF(CB$27=ProposalToGnatt[[#This Row],[Start Date]],Milestone_Marker,IF(AND(CB$27&gt;ProposalToGnatt[[#This Row],[Start Date]],CB$27&lt;ProposalToGnatt[[#This Row],[Start Date]]+ProposalToGnatt[[#This Row],[Days]]),$G$5,"")),"")</f>
        <v/>
      </c>
      <c r="CC53" s="36" t="str">
        <f ca="1">IFERROR(+IF(CC$27=ProposalToGnatt[[#This Row],[Start Date]],Milestone_Marker,IF(AND(CC$27&gt;ProposalToGnatt[[#This Row],[Start Date]],CC$27&lt;ProposalToGnatt[[#This Row],[Start Date]]+ProposalToGnatt[[#This Row],[Days]]),$G$5,"")),"")</f>
        <v/>
      </c>
      <c r="CD53" s="36" t="str">
        <f ca="1">IFERROR(+IF(CD$27=ProposalToGnatt[[#This Row],[Start Date]],Milestone_Marker,IF(AND(CD$27&gt;ProposalToGnatt[[#This Row],[Start Date]],CD$27&lt;ProposalToGnatt[[#This Row],[Start Date]]+ProposalToGnatt[[#This Row],[Days]]),$G$5,"")),"")</f>
        <v/>
      </c>
      <c r="CE53" s="36" t="str">
        <f ca="1">IFERROR(+IF(CE$27=ProposalToGnatt[[#This Row],[Start Date]],Milestone_Marker,IF(AND(CE$27&gt;ProposalToGnatt[[#This Row],[Start Date]],CE$27&lt;ProposalToGnatt[[#This Row],[Start Date]]+ProposalToGnatt[[#This Row],[Days]]),$G$5,"")),"")</f>
        <v/>
      </c>
      <c r="CF53" s="36" t="str">
        <f ca="1">IFERROR(+IF(CF$27=ProposalToGnatt[[#This Row],[Start Date]],Milestone_Marker,IF(AND(CF$27&gt;ProposalToGnatt[[#This Row],[Start Date]],CF$27&lt;ProposalToGnatt[[#This Row],[Start Date]]+ProposalToGnatt[[#This Row],[Days]]),$G$5,"")),"")</f>
        <v/>
      </c>
      <c r="CG53" s="36" t="str">
        <f ca="1">IFERROR(+IF(CG$27=ProposalToGnatt[[#This Row],[Start Date]],Milestone_Marker,IF(AND(CG$27&gt;ProposalToGnatt[[#This Row],[Start Date]],CG$27&lt;ProposalToGnatt[[#This Row],[Start Date]]+ProposalToGnatt[[#This Row],[Days]]),$G$5,"")),"")</f>
        <v/>
      </c>
      <c r="CH53" s="36" t="str">
        <f ca="1">IFERROR(+IF(CH$27=ProposalToGnatt[[#This Row],[Start Date]],Milestone_Marker,IF(AND(CH$27&gt;ProposalToGnatt[[#This Row],[Start Date]],CH$27&lt;ProposalToGnatt[[#This Row],[Start Date]]+ProposalToGnatt[[#This Row],[Days]]),$G$5,"")),"")</f>
        <v/>
      </c>
      <c r="CI53" s="36" t="str">
        <f ca="1">IFERROR(+IF(CI$27=ProposalToGnatt[[#This Row],[Start Date]],Milestone_Marker,IF(AND(CI$27&gt;ProposalToGnatt[[#This Row],[Start Date]],CI$27&lt;ProposalToGnatt[[#This Row],[Start Date]]+ProposalToGnatt[[#This Row],[Days]]),$G$5,"")),"")</f>
        <v/>
      </c>
      <c r="CJ53" s="36" t="str">
        <f ca="1">IFERROR(+IF(CJ$27=ProposalToGnatt[[#This Row],[Start Date]],Milestone_Marker,IF(AND(CJ$27&gt;ProposalToGnatt[[#This Row],[Start Date]],CJ$27&lt;ProposalToGnatt[[#This Row],[Start Date]]+ProposalToGnatt[[#This Row],[Days]]),$G$5,"")),"")</f>
        <v/>
      </c>
      <c r="CK53" s="36" t="str">
        <f ca="1">IFERROR(+IF(CK$27=ProposalToGnatt[[#This Row],[Start Date]],Milestone_Marker,IF(AND(CK$27&gt;ProposalToGnatt[[#This Row],[Start Date]],CK$27&lt;ProposalToGnatt[[#This Row],[Start Date]]+ProposalToGnatt[[#This Row],[Days]]),$G$5,"")),"")</f>
        <v/>
      </c>
      <c r="CL53" s="36" t="str">
        <f ca="1">IFERROR(+IF(CL$27=ProposalToGnatt[[#This Row],[Start Date]],Milestone_Marker,IF(AND(CL$27&gt;ProposalToGnatt[[#This Row],[Start Date]],CL$27&lt;ProposalToGnatt[[#This Row],[Start Date]]+ProposalToGnatt[[#This Row],[Days]]),$G$5,"")),"")</f>
        <v/>
      </c>
      <c r="CM53" s="36" t="str">
        <f ca="1">IFERROR(+IF(CM$27=ProposalToGnatt[[#This Row],[Start Date]],Milestone_Marker,IF(AND(CM$27&gt;ProposalToGnatt[[#This Row],[Start Date]],CM$27&lt;ProposalToGnatt[[#This Row],[Start Date]]+ProposalToGnatt[[#This Row],[Days]]),$G$5,"")),"")</f>
        <v/>
      </c>
      <c r="CN53" s="36" t="str">
        <f ca="1">IFERROR(+IF(CN$27=ProposalToGnatt[[#This Row],[Start Date]],Milestone_Marker,IF(AND(CN$27&gt;ProposalToGnatt[[#This Row],[Start Date]],CN$27&lt;ProposalToGnatt[[#This Row],[Start Date]]+ProposalToGnatt[[#This Row],[Days]]),$G$5,"")),"")</f>
        <v/>
      </c>
      <c r="CO53" s="36" t="str">
        <f ca="1">IFERROR(+IF(CO$27=ProposalToGnatt[[#This Row],[Start Date]],Milestone_Marker,IF(AND(CO$27&gt;ProposalToGnatt[[#This Row],[Start Date]],CO$27&lt;ProposalToGnatt[[#This Row],[Start Date]]+ProposalToGnatt[[#This Row],[Days]]),$G$5,"")),"")</f>
        <v/>
      </c>
      <c r="CP53" s="36" t="str">
        <f ca="1">IFERROR(+IF(CP$27=ProposalToGnatt[[#This Row],[Start Date]],Milestone_Marker,IF(AND(CP$27&gt;ProposalToGnatt[[#This Row],[Start Date]],CP$27&lt;ProposalToGnatt[[#This Row],[Start Date]]+ProposalToGnatt[[#This Row],[Days]]),$G$5,"")),"")</f>
        <v/>
      </c>
      <c r="CQ53" s="36" t="str">
        <f ca="1">IFERROR(+IF(CQ$27=ProposalToGnatt[[#This Row],[Start Date]],Milestone_Marker,IF(AND(CQ$27&gt;ProposalToGnatt[[#This Row],[Start Date]],CQ$27&lt;ProposalToGnatt[[#This Row],[Start Date]]+ProposalToGnatt[[#This Row],[Days]]),$G$5,"")),"")</f>
        <v/>
      </c>
      <c r="CR53" s="36" t="str">
        <f ca="1">IFERROR(+IF(CR$27=ProposalToGnatt[[#This Row],[Start Date]],Milestone_Marker,IF(AND(CR$27&gt;ProposalToGnatt[[#This Row],[Start Date]],CR$27&lt;ProposalToGnatt[[#This Row],[Start Date]]+ProposalToGnatt[[#This Row],[Days]]),$G$5,"")),"")</f>
        <v/>
      </c>
      <c r="CS53" s="36" t="str">
        <f ca="1">IFERROR(+IF(CS$27=ProposalToGnatt[[#This Row],[Start Date]],Milestone_Marker,IF(AND(CS$27&gt;ProposalToGnatt[[#This Row],[Start Date]],CS$27&lt;ProposalToGnatt[[#This Row],[Start Date]]+ProposalToGnatt[[#This Row],[Days]]),$G$5,"")),"")</f>
        <v/>
      </c>
      <c r="CT53" s="36" t="str">
        <f ca="1">IFERROR(+IF(CT$27=ProposalToGnatt[[#This Row],[Start Date]],Milestone_Marker,IF(AND(CT$27&gt;ProposalToGnatt[[#This Row],[Start Date]],CT$27&lt;ProposalToGnatt[[#This Row],[Start Date]]+ProposalToGnatt[[#This Row],[Days]]),$G$5,"")),"")</f>
        <v/>
      </c>
      <c r="CU53" s="36" t="str">
        <f ca="1">IFERROR(+IF(CU$27=ProposalToGnatt[[#This Row],[Start Date]],Milestone_Marker,IF(AND(CU$27&gt;ProposalToGnatt[[#This Row],[Start Date]],CU$27&lt;ProposalToGnatt[[#This Row],[Start Date]]+ProposalToGnatt[[#This Row],[Days]]),$G$5,"")),"")</f>
        <v/>
      </c>
      <c r="CV53" s="36"/>
      <c r="CW53" s="36"/>
      <c r="CX53" s="36"/>
      <c r="CY53" s="36"/>
      <c r="CZ53" s="36"/>
      <c r="DA53" s="36"/>
      <c r="DB53" s="36"/>
      <c r="DC53" s="36"/>
      <c r="DD53" s="36"/>
      <c r="DE53" s="36"/>
      <c r="DF53" s="36"/>
      <c r="DG53" s="36"/>
      <c r="DH53" s="36"/>
      <c r="DI53" s="36"/>
      <c r="DJ53" s="36"/>
      <c r="DK53" s="36"/>
      <c r="DL53" s="36"/>
      <c r="DM53" s="36"/>
      <c r="DN53" s="36"/>
      <c r="DO53" s="36"/>
      <c r="DP53" s="36"/>
      <c r="DQ53" s="36"/>
      <c r="DR53" s="36"/>
      <c r="DS53" s="36"/>
      <c r="DT53" s="36"/>
      <c r="DU53" s="36"/>
    </row>
    <row r="54" spans="1:125" s="41" customFormat="1" ht="15" x14ac:dyDescent="0.25">
      <c r="A54"/>
      <c r="B54"/>
      <c r="C54"/>
      <c r="D54"/>
      <c r="E54"/>
      <c r="F54"/>
      <c r="G54" s="14"/>
      <c r="H54" s="14"/>
      <c r="I54"/>
      <c r="J54"/>
      <c r="K54" s="246"/>
      <c r="L54"/>
      <c r="M54" s="14"/>
      <c r="N54" s="299"/>
      <c r="O54" s="281"/>
      <c r="P54" s="36" t="str">
        <f ca="1">IFERROR(+IF(P$27=ProposalToGnatt[[#This Row],[Start Date]],Milestone_Marker,IF(AND(P$27&gt;ProposalToGnatt[[#This Row],[Start Date]],P$27&lt;ProposalToGnatt[[#This Row],[Start Date]]+ProposalToGnatt[[#This Row],[Days]]),$G$5,"")),"")</f>
        <v/>
      </c>
      <c r="Q54" s="36" t="str">
        <f ca="1">IFERROR(+IF(Q$27=ProposalToGnatt[[#This Row],[Start Date]],Milestone_Marker,IF(AND(Q$27&gt;ProposalToGnatt[[#This Row],[Start Date]],Q$27&lt;ProposalToGnatt[[#This Row],[Start Date]]+ProposalToGnatt[[#This Row],[Days]]),$G$5,"")),"")</f>
        <v/>
      </c>
      <c r="R54" s="36" t="str">
        <f ca="1">IFERROR(+IF(R$27=ProposalToGnatt[[#This Row],[Start Date]],Milestone_Marker,IF(AND(R$27&gt;ProposalToGnatt[[#This Row],[Start Date]],R$27&lt;ProposalToGnatt[[#This Row],[Start Date]]+ProposalToGnatt[[#This Row],[Days]]),$G$5,"")),"")</f>
        <v/>
      </c>
      <c r="S54" s="36" t="str">
        <f ca="1">IFERROR(+IF(S$27=ProposalToGnatt[[#This Row],[Start Date]],Milestone_Marker,IF(AND(S$27&gt;ProposalToGnatt[[#This Row],[Start Date]],S$27&lt;ProposalToGnatt[[#This Row],[Start Date]]+ProposalToGnatt[[#This Row],[Days]]),$G$5,"")),"")</f>
        <v/>
      </c>
      <c r="T54" s="36" t="str">
        <f ca="1">IFERROR(+IF(T$27=ProposalToGnatt[[#This Row],[Start Date]],Milestone_Marker,IF(AND(T$27&gt;ProposalToGnatt[[#This Row],[Start Date]],T$27&lt;ProposalToGnatt[[#This Row],[Start Date]]+ProposalToGnatt[[#This Row],[Days]]),$G$5,"")),"")</f>
        <v/>
      </c>
      <c r="U54" s="36" t="str">
        <f ca="1">IFERROR(+IF(U$27=ProposalToGnatt[[#This Row],[Start Date]],Milestone_Marker,IF(AND(U$27&gt;ProposalToGnatt[[#This Row],[Start Date]],U$27&lt;ProposalToGnatt[[#This Row],[Start Date]]+ProposalToGnatt[[#This Row],[Days]]),$G$5,"")),"")</f>
        <v/>
      </c>
      <c r="V54" s="36" t="str">
        <f ca="1">IFERROR(+IF(V$27=ProposalToGnatt[[#This Row],[Start Date]],Milestone_Marker,IF(AND(V$27&gt;ProposalToGnatt[[#This Row],[Start Date]],V$27&lt;ProposalToGnatt[[#This Row],[Start Date]]+ProposalToGnatt[[#This Row],[Days]]),$G$5,"")),"")</f>
        <v/>
      </c>
      <c r="W54" s="36" t="str">
        <f ca="1">IFERROR(+IF(W$27=ProposalToGnatt[[#This Row],[Start Date]],Milestone_Marker,IF(AND(W$27&gt;ProposalToGnatt[[#This Row],[Start Date]],W$27&lt;ProposalToGnatt[[#This Row],[Start Date]]+ProposalToGnatt[[#This Row],[Days]]),$G$5,"")),"")</f>
        <v/>
      </c>
      <c r="X54" s="36" t="str">
        <f ca="1">IFERROR(+IF(X$27=ProposalToGnatt[[#This Row],[Start Date]],Milestone_Marker,IF(AND(X$27&gt;ProposalToGnatt[[#This Row],[Start Date]],X$27&lt;ProposalToGnatt[[#This Row],[Start Date]]+ProposalToGnatt[[#This Row],[Days]]),$G$5,"")),"")</f>
        <v/>
      </c>
      <c r="Y54" s="36" t="str">
        <f ca="1">IFERROR(+IF(Y$27=ProposalToGnatt[[#This Row],[Start Date]],Milestone_Marker,IF(AND(Y$27&gt;ProposalToGnatt[[#This Row],[Start Date]],Y$27&lt;ProposalToGnatt[[#This Row],[Start Date]]+ProposalToGnatt[[#This Row],[Days]]),$G$5,"")),"")</f>
        <v/>
      </c>
      <c r="Z54" s="36" t="str">
        <f ca="1">IFERROR(+IF(Z$27=ProposalToGnatt[[#This Row],[Start Date]],Milestone_Marker,IF(AND(Z$27&gt;ProposalToGnatt[[#This Row],[Start Date]],Z$27&lt;ProposalToGnatt[[#This Row],[Start Date]]+ProposalToGnatt[[#This Row],[Days]]),$G$5,"")),"")</f>
        <v/>
      </c>
      <c r="AA54" s="36" t="str">
        <f ca="1">IFERROR(+IF(AA$27=ProposalToGnatt[[#This Row],[Start Date]],Milestone_Marker,IF(AND(AA$27&gt;ProposalToGnatt[[#This Row],[Start Date]],AA$27&lt;ProposalToGnatt[[#This Row],[Start Date]]+ProposalToGnatt[[#This Row],[Days]]),$G$5,"")),"")</f>
        <v/>
      </c>
      <c r="AB54" s="36" t="str">
        <f ca="1">IFERROR(+IF(AB$27=ProposalToGnatt[[#This Row],[Start Date]],Milestone_Marker,IF(AND(AB$27&gt;ProposalToGnatt[[#This Row],[Start Date]],AB$27&lt;ProposalToGnatt[[#This Row],[Start Date]]+ProposalToGnatt[[#This Row],[Days]]),$G$5,"")),"")</f>
        <v/>
      </c>
      <c r="AC54" s="36" t="str">
        <f ca="1">IFERROR(+IF(AC$27=ProposalToGnatt[[#This Row],[Start Date]],Milestone_Marker,IF(AND(AC$27&gt;ProposalToGnatt[[#This Row],[Start Date]],AC$27&lt;ProposalToGnatt[[#This Row],[Start Date]]+ProposalToGnatt[[#This Row],[Days]]),$G$5,"")),"")</f>
        <v/>
      </c>
      <c r="AD54" s="36" t="str">
        <f ca="1">IFERROR(+IF(AD$27=ProposalToGnatt[[#This Row],[Start Date]],Milestone_Marker,IF(AND(AD$27&gt;ProposalToGnatt[[#This Row],[Start Date]],AD$27&lt;ProposalToGnatt[[#This Row],[Start Date]]+ProposalToGnatt[[#This Row],[Days]]),$G$5,"")),"")</f>
        <v/>
      </c>
      <c r="AE54" s="36" t="str">
        <f ca="1">IFERROR(+IF(AE$27=ProposalToGnatt[[#This Row],[Start Date]],Milestone_Marker,IF(AND(AE$27&gt;ProposalToGnatt[[#This Row],[Start Date]],AE$27&lt;ProposalToGnatt[[#This Row],[Start Date]]+ProposalToGnatt[[#This Row],[Days]]),$G$5,"")),"")</f>
        <v/>
      </c>
      <c r="AF54" s="36" t="str">
        <f ca="1">IFERROR(+IF(AF$27=ProposalToGnatt[[#This Row],[Start Date]],Milestone_Marker,IF(AND(AF$27&gt;ProposalToGnatt[[#This Row],[Start Date]],AF$27&lt;ProposalToGnatt[[#This Row],[Start Date]]+ProposalToGnatt[[#This Row],[Days]]),$G$5,"")),"")</f>
        <v/>
      </c>
      <c r="AG54" s="36" t="str">
        <f ca="1">IFERROR(+IF(AG$27=ProposalToGnatt[[#This Row],[Start Date]],Milestone_Marker,IF(AND(AG$27&gt;ProposalToGnatt[[#This Row],[Start Date]],AG$27&lt;ProposalToGnatt[[#This Row],[Start Date]]+ProposalToGnatt[[#This Row],[Days]]),$G$5,"")),"")</f>
        <v/>
      </c>
      <c r="AH54" s="36" t="str">
        <f ca="1">IFERROR(+IF(AH$27=ProposalToGnatt[[#This Row],[Start Date]],Milestone_Marker,IF(AND(AH$27&gt;ProposalToGnatt[[#This Row],[Start Date]],AH$27&lt;ProposalToGnatt[[#This Row],[Start Date]]+ProposalToGnatt[[#This Row],[Days]]),$G$5,"")),"")</f>
        <v/>
      </c>
      <c r="AI54" s="36" t="str">
        <f ca="1">IFERROR(+IF(AI$27=ProposalToGnatt[[#This Row],[Start Date]],Milestone_Marker,IF(AND(AI$27&gt;ProposalToGnatt[[#This Row],[Start Date]],AI$27&lt;ProposalToGnatt[[#This Row],[Start Date]]+ProposalToGnatt[[#This Row],[Days]]),$G$5,"")),"")</f>
        <v/>
      </c>
      <c r="AJ54" s="36" t="str">
        <f ca="1">IFERROR(+IF(AJ$27=ProposalToGnatt[[#This Row],[Start Date]],Milestone_Marker,IF(AND(AJ$27&gt;ProposalToGnatt[[#This Row],[Start Date]],AJ$27&lt;ProposalToGnatt[[#This Row],[Start Date]]+ProposalToGnatt[[#This Row],[Days]]),$G$5,"")),"")</f>
        <v/>
      </c>
      <c r="AK54" s="36" t="str">
        <f ca="1">IFERROR(+IF(AK$27=ProposalToGnatt[[#This Row],[Start Date]],Milestone_Marker,IF(AND(AK$27&gt;ProposalToGnatt[[#This Row],[Start Date]],AK$27&lt;ProposalToGnatt[[#This Row],[Start Date]]+ProposalToGnatt[[#This Row],[Days]]),$G$5,"")),"")</f>
        <v/>
      </c>
      <c r="AL54" s="36" t="str">
        <f ca="1">IFERROR(+IF(AL$27=ProposalToGnatt[[#This Row],[Start Date]],Milestone_Marker,IF(AND(AL$27&gt;ProposalToGnatt[[#This Row],[Start Date]],AL$27&lt;ProposalToGnatt[[#This Row],[Start Date]]+ProposalToGnatt[[#This Row],[Days]]),$G$5,"")),"")</f>
        <v/>
      </c>
      <c r="AM54" s="36" t="str">
        <f ca="1">IFERROR(+IF(AM$27=ProposalToGnatt[[#This Row],[Start Date]],Milestone_Marker,IF(AND(AM$27&gt;ProposalToGnatt[[#This Row],[Start Date]],AM$27&lt;ProposalToGnatt[[#This Row],[Start Date]]+ProposalToGnatt[[#This Row],[Days]]),$G$5,"")),"")</f>
        <v/>
      </c>
      <c r="AN54" s="36" t="str">
        <f ca="1">IFERROR(+IF(AN$27=ProposalToGnatt[[#This Row],[Start Date]],Milestone_Marker,IF(AND(AN$27&gt;ProposalToGnatt[[#This Row],[Start Date]],AN$27&lt;ProposalToGnatt[[#This Row],[Start Date]]+ProposalToGnatt[[#This Row],[Days]]),$G$5,"")),"")</f>
        <v/>
      </c>
      <c r="AO54" s="36" t="str">
        <f ca="1">IFERROR(+IF(AO$27=ProposalToGnatt[[#This Row],[Start Date]],Milestone_Marker,IF(AND(AO$27&gt;ProposalToGnatt[[#This Row],[Start Date]],AO$27&lt;ProposalToGnatt[[#This Row],[Start Date]]+ProposalToGnatt[[#This Row],[Days]]),$G$5,"")),"")</f>
        <v/>
      </c>
      <c r="AP54" s="36" t="str">
        <f ca="1">IFERROR(+IF(AP$27=ProposalToGnatt[[#This Row],[Start Date]],Milestone_Marker,IF(AND(AP$27&gt;ProposalToGnatt[[#This Row],[Start Date]],AP$27&lt;ProposalToGnatt[[#This Row],[Start Date]]+ProposalToGnatt[[#This Row],[Days]]),$G$5,"")),"")</f>
        <v/>
      </c>
      <c r="AQ54" s="36" t="str">
        <f ca="1">IFERROR(+IF(AQ$27=ProposalToGnatt[[#This Row],[Start Date]],Milestone_Marker,IF(AND(AQ$27&gt;ProposalToGnatt[[#This Row],[Start Date]],AQ$27&lt;ProposalToGnatt[[#This Row],[Start Date]]+ProposalToGnatt[[#This Row],[Days]]),$G$5,"")),"")</f>
        <v/>
      </c>
      <c r="AR54" s="36" t="str">
        <f ca="1">IFERROR(+IF(AR$27=ProposalToGnatt[[#This Row],[Start Date]],Milestone_Marker,IF(AND(AR$27&gt;ProposalToGnatt[[#This Row],[Start Date]],AR$27&lt;ProposalToGnatt[[#This Row],[Start Date]]+ProposalToGnatt[[#This Row],[Days]]),$G$5,"")),"")</f>
        <v/>
      </c>
      <c r="AS54" s="36" t="str">
        <f ca="1">IFERROR(+IF(AS$27=ProposalToGnatt[[#This Row],[Start Date]],Milestone_Marker,IF(AND(AS$27&gt;ProposalToGnatt[[#This Row],[Start Date]],AS$27&lt;ProposalToGnatt[[#This Row],[Start Date]]+ProposalToGnatt[[#This Row],[Days]]),$G$5,"")),"")</f>
        <v/>
      </c>
      <c r="AT54" s="36" t="str">
        <f ca="1">IFERROR(+IF(AT$27=ProposalToGnatt[[#This Row],[Start Date]],Milestone_Marker,IF(AND(AT$27&gt;ProposalToGnatt[[#This Row],[Start Date]],AT$27&lt;ProposalToGnatt[[#This Row],[Start Date]]+ProposalToGnatt[[#This Row],[Days]]),$G$5,"")),"")</f>
        <v/>
      </c>
      <c r="AU54" s="36" t="str">
        <f ca="1">IFERROR(+IF(AU$27=ProposalToGnatt[[#This Row],[Start Date]],Milestone_Marker,IF(AND(AU$27&gt;ProposalToGnatt[[#This Row],[Start Date]],AU$27&lt;ProposalToGnatt[[#This Row],[Start Date]]+ProposalToGnatt[[#This Row],[Days]]),$G$5,"")),"")</f>
        <v/>
      </c>
      <c r="AV54" s="36" t="str">
        <f ca="1">IFERROR(+IF(AV$27=ProposalToGnatt[[#This Row],[Start Date]],Milestone_Marker,IF(AND(AV$27&gt;ProposalToGnatt[[#This Row],[Start Date]],AV$27&lt;ProposalToGnatt[[#This Row],[Start Date]]+ProposalToGnatt[[#This Row],[Days]]),$G$5,"")),"")</f>
        <v/>
      </c>
      <c r="AW54" s="36" t="str">
        <f ca="1">IFERROR(+IF(AW$27=ProposalToGnatt[[#This Row],[Start Date]],Milestone_Marker,IF(AND(AW$27&gt;ProposalToGnatt[[#This Row],[Start Date]],AW$27&lt;ProposalToGnatt[[#This Row],[Start Date]]+ProposalToGnatt[[#This Row],[Days]]),$G$5,"")),"")</f>
        <v/>
      </c>
      <c r="AX54" s="36" t="str">
        <f ca="1">IFERROR(+IF(AX$27=ProposalToGnatt[[#This Row],[Start Date]],Milestone_Marker,IF(AND(AX$27&gt;ProposalToGnatt[[#This Row],[Start Date]],AX$27&lt;ProposalToGnatt[[#This Row],[Start Date]]+ProposalToGnatt[[#This Row],[Days]]),$G$5,"")),"")</f>
        <v/>
      </c>
      <c r="AY54" s="36" t="str">
        <f ca="1">IFERROR(+IF(AY$27=ProposalToGnatt[[#This Row],[Start Date]],Milestone_Marker,IF(AND(AY$27&gt;ProposalToGnatt[[#This Row],[Start Date]],AY$27&lt;ProposalToGnatt[[#This Row],[Start Date]]+ProposalToGnatt[[#This Row],[Days]]),$G$5,"")),"")</f>
        <v/>
      </c>
      <c r="AZ54" s="36" t="str">
        <f ca="1">IFERROR(+IF(AZ$27=ProposalToGnatt[[#This Row],[Start Date]],Milestone_Marker,IF(AND(AZ$27&gt;ProposalToGnatt[[#This Row],[Start Date]],AZ$27&lt;ProposalToGnatt[[#This Row],[Start Date]]+ProposalToGnatt[[#This Row],[Days]]),$G$5,"")),"")</f>
        <v/>
      </c>
      <c r="BA54" s="36" t="str">
        <f ca="1">IFERROR(+IF(BA$27=ProposalToGnatt[[#This Row],[Start Date]],Milestone_Marker,IF(AND(BA$27&gt;ProposalToGnatt[[#This Row],[Start Date]],BA$27&lt;ProposalToGnatt[[#This Row],[Start Date]]+ProposalToGnatt[[#This Row],[Days]]),$G$5,"")),"")</f>
        <v/>
      </c>
      <c r="BB54" s="36" t="str">
        <f ca="1">IFERROR(+IF(BB$27=ProposalToGnatt[[#This Row],[Start Date]],Milestone_Marker,IF(AND(BB$27&gt;ProposalToGnatt[[#This Row],[Start Date]],BB$27&lt;ProposalToGnatt[[#This Row],[Start Date]]+ProposalToGnatt[[#This Row],[Days]]),$G$5,"")),"")</f>
        <v/>
      </c>
      <c r="BC54" s="36" t="str">
        <f ca="1">IFERROR(+IF(BC$27=ProposalToGnatt[[#This Row],[Start Date]],Milestone_Marker,IF(AND(BC$27&gt;ProposalToGnatt[[#This Row],[Start Date]],BC$27&lt;ProposalToGnatt[[#This Row],[Start Date]]+ProposalToGnatt[[#This Row],[Days]]),$G$5,"")),"")</f>
        <v/>
      </c>
      <c r="BD54" s="36" t="str">
        <f ca="1">IFERROR(+IF(BD$27=ProposalToGnatt[[#This Row],[Start Date]],Milestone_Marker,IF(AND(BD$27&gt;ProposalToGnatt[[#This Row],[Start Date]],BD$27&lt;ProposalToGnatt[[#This Row],[Start Date]]+ProposalToGnatt[[#This Row],[Days]]),$G$5,"")),"")</f>
        <v/>
      </c>
      <c r="BE54" s="36" t="str">
        <f ca="1">IFERROR(+IF(BE$27=ProposalToGnatt[[#This Row],[Start Date]],Milestone_Marker,IF(AND(BE$27&gt;ProposalToGnatt[[#This Row],[Start Date]],BE$27&lt;ProposalToGnatt[[#This Row],[Start Date]]+ProposalToGnatt[[#This Row],[Days]]),$G$5,"")),"")</f>
        <v/>
      </c>
      <c r="BF54" s="36" t="str">
        <f ca="1">IFERROR(+IF(BF$27=ProposalToGnatt[[#This Row],[Start Date]],Milestone_Marker,IF(AND(BF$27&gt;ProposalToGnatt[[#This Row],[Start Date]],BF$27&lt;ProposalToGnatt[[#This Row],[Start Date]]+ProposalToGnatt[[#This Row],[Days]]),$G$5,"")),"")</f>
        <v/>
      </c>
      <c r="BG54" s="36" t="str">
        <f ca="1">IFERROR(+IF(BG$27=ProposalToGnatt[[#This Row],[Start Date]],Milestone_Marker,IF(AND(BG$27&gt;ProposalToGnatt[[#This Row],[Start Date]],BG$27&lt;ProposalToGnatt[[#This Row],[Start Date]]+ProposalToGnatt[[#This Row],[Days]]),$G$5,"")),"")</f>
        <v/>
      </c>
      <c r="BH54" s="36" t="str">
        <f ca="1">IFERROR(+IF(BH$27=ProposalToGnatt[[#This Row],[Start Date]],Milestone_Marker,IF(AND(BH$27&gt;ProposalToGnatt[[#This Row],[Start Date]],BH$27&lt;ProposalToGnatt[[#This Row],[Start Date]]+ProposalToGnatt[[#This Row],[Days]]),$G$5,"")),"")</f>
        <v/>
      </c>
      <c r="BI54" s="36" t="str">
        <f ca="1">IFERROR(+IF(BI$27=ProposalToGnatt[[#This Row],[Start Date]],Milestone_Marker,IF(AND(BI$27&gt;ProposalToGnatt[[#This Row],[Start Date]],BI$27&lt;ProposalToGnatt[[#This Row],[Start Date]]+ProposalToGnatt[[#This Row],[Days]]),$G$5,"")),"")</f>
        <v/>
      </c>
      <c r="BJ54" s="36" t="str">
        <f ca="1">IFERROR(+IF(BJ$27=ProposalToGnatt[[#This Row],[Start Date]],Milestone_Marker,IF(AND(BJ$27&gt;ProposalToGnatt[[#This Row],[Start Date]],BJ$27&lt;ProposalToGnatt[[#This Row],[Start Date]]+ProposalToGnatt[[#This Row],[Days]]),$G$5,"")),"")</f>
        <v/>
      </c>
      <c r="BK54" s="36" t="str">
        <f ca="1">IFERROR(+IF(BK$27=ProposalToGnatt[[#This Row],[Start Date]],Milestone_Marker,IF(AND(BK$27&gt;ProposalToGnatt[[#This Row],[Start Date]],BK$27&lt;ProposalToGnatt[[#This Row],[Start Date]]+ProposalToGnatt[[#This Row],[Days]]),$G$5,"")),"")</f>
        <v/>
      </c>
      <c r="BL54" s="36" t="str">
        <f ca="1">IFERROR(+IF(BL$27=ProposalToGnatt[[#This Row],[Start Date]],Milestone_Marker,IF(AND(BL$27&gt;ProposalToGnatt[[#This Row],[Start Date]],BL$27&lt;ProposalToGnatt[[#This Row],[Start Date]]+ProposalToGnatt[[#This Row],[Days]]),$G$5,"")),"")</f>
        <v/>
      </c>
      <c r="BM54" s="36" t="str">
        <f ca="1">IFERROR(+IF(BM$27=ProposalToGnatt[[#This Row],[Start Date]],Milestone_Marker,IF(AND(BM$27&gt;ProposalToGnatt[[#This Row],[Start Date]],BM$27&lt;ProposalToGnatt[[#This Row],[Start Date]]+ProposalToGnatt[[#This Row],[Days]]),$G$5,"")),"")</f>
        <v/>
      </c>
      <c r="BN54" s="36" t="str">
        <f ca="1">IFERROR(+IF(BN$27=ProposalToGnatt[[#This Row],[Start Date]],Milestone_Marker,IF(AND(BN$27&gt;ProposalToGnatt[[#This Row],[Start Date]],BN$27&lt;ProposalToGnatt[[#This Row],[Start Date]]+ProposalToGnatt[[#This Row],[Days]]),$G$5,"")),"")</f>
        <v/>
      </c>
      <c r="BO54" s="36" t="str">
        <f ca="1">IFERROR(+IF(BO$27=ProposalToGnatt[[#This Row],[Start Date]],Milestone_Marker,IF(AND(BO$27&gt;ProposalToGnatt[[#This Row],[Start Date]],BO$27&lt;ProposalToGnatt[[#This Row],[Start Date]]+ProposalToGnatt[[#This Row],[Days]]),$G$5,"")),"")</f>
        <v/>
      </c>
      <c r="BP54" s="36" t="str">
        <f ca="1">IFERROR(+IF(BP$27=ProposalToGnatt[[#This Row],[Start Date]],Milestone_Marker,IF(AND(BP$27&gt;ProposalToGnatt[[#This Row],[Start Date]],BP$27&lt;ProposalToGnatt[[#This Row],[Start Date]]+ProposalToGnatt[[#This Row],[Days]]),$G$5,"")),"")</f>
        <v/>
      </c>
      <c r="BQ54" s="36" t="str">
        <f ca="1">IFERROR(+IF(BQ$27=ProposalToGnatt[[#This Row],[Start Date]],Milestone_Marker,IF(AND(BQ$27&gt;ProposalToGnatt[[#This Row],[Start Date]],BQ$27&lt;ProposalToGnatt[[#This Row],[Start Date]]+ProposalToGnatt[[#This Row],[Days]]),$G$5,"")),"")</f>
        <v/>
      </c>
      <c r="BR54" s="36" t="str">
        <f ca="1">IFERROR(+IF(BR$27=ProposalToGnatt[[#This Row],[Start Date]],Milestone_Marker,IF(AND(BR$27&gt;ProposalToGnatt[[#This Row],[Start Date]],BR$27&lt;ProposalToGnatt[[#This Row],[Start Date]]+ProposalToGnatt[[#This Row],[Days]]),$G$5,"")),"")</f>
        <v/>
      </c>
      <c r="BS54" s="36" t="str">
        <f ca="1">IFERROR(+IF(BS$27=ProposalToGnatt[[#This Row],[Start Date]],Milestone_Marker,IF(AND(BS$27&gt;ProposalToGnatt[[#This Row],[Start Date]],BS$27&lt;ProposalToGnatt[[#This Row],[Start Date]]+ProposalToGnatt[[#This Row],[Days]]),$G$5,"")),"")</f>
        <v/>
      </c>
      <c r="BT54" s="36" t="str">
        <f ca="1">IFERROR(+IF(BT$27=ProposalToGnatt[[#This Row],[Start Date]],Milestone_Marker,IF(AND(BT$27&gt;ProposalToGnatt[[#This Row],[Start Date]],BT$27&lt;ProposalToGnatt[[#This Row],[Start Date]]+ProposalToGnatt[[#This Row],[Days]]),$G$5,"")),"")</f>
        <v/>
      </c>
      <c r="BU54" s="36" t="str">
        <f ca="1">IFERROR(+IF(BU$27=ProposalToGnatt[[#This Row],[Start Date]],Milestone_Marker,IF(AND(BU$27&gt;ProposalToGnatt[[#This Row],[Start Date]],BU$27&lt;ProposalToGnatt[[#This Row],[Start Date]]+ProposalToGnatt[[#This Row],[Days]]),$G$5,"")),"")</f>
        <v/>
      </c>
      <c r="BV54" s="36" t="str">
        <f ca="1">IFERROR(+IF(BV$27=ProposalToGnatt[[#This Row],[Start Date]],Milestone_Marker,IF(AND(BV$27&gt;ProposalToGnatt[[#This Row],[Start Date]],BV$27&lt;ProposalToGnatt[[#This Row],[Start Date]]+ProposalToGnatt[[#This Row],[Days]]),$G$5,"")),"")</f>
        <v/>
      </c>
      <c r="BW54" s="36" t="str">
        <f ca="1">IFERROR(+IF(BW$27=ProposalToGnatt[[#This Row],[Start Date]],Milestone_Marker,IF(AND(BW$27&gt;ProposalToGnatt[[#This Row],[Start Date]],BW$27&lt;ProposalToGnatt[[#This Row],[Start Date]]+ProposalToGnatt[[#This Row],[Days]]),$G$5,"")),"")</f>
        <v/>
      </c>
      <c r="BX54" s="36" t="str">
        <f ca="1">IFERROR(+IF(BX$27=ProposalToGnatt[[#This Row],[Start Date]],Milestone_Marker,IF(AND(BX$27&gt;ProposalToGnatt[[#This Row],[Start Date]],BX$27&lt;ProposalToGnatt[[#This Row],[Start Date]]+ProposalToGnatt[[#This Row],[Days]]),$G$5,"")),"")</f>
        <v/>
      </c>
      <c r="BY54" s="36" t="str">
        <f ca="1">IFERROR(+IF(BY$27=ProposalToGnatt[[#This Row],[Start Date]],Milestone_Marker,IF(AND(BY$27&gt;ProposalToGnatt[[#This Row],[Start Date]],BY$27&lt;ProposalToGnatt[[#This Row],[Start Date]]+ProposalToGnatt[[#This Row],[Days]]),$G$5,"")),"")</f>
        <v/>
      </c>
      <c r="BZ54" s="36" t="str">
        <f ca="1">IFERROR(+IF(BZ$27=ProposalToGnatt[[#This Row],[Start Date]],Milestone_Marker,IF(AND(BZ$27&gt;ProposalToGnatt[[#This Row],[Start Date]],BZ$27&lt;ProposalToGnatt[[#This Row],[Start Date]]+ProposalToGnatt[[#This Row],[Days]]),$G$5,"")),"")</f>
        <v/>
      </c>
      <c r="CA54" s="36" t="str">
        <f ca="1">IFERROR(+IF(CA$27=ProposalToGnatt[[#This Row],[Start Date]],Milestone_Marker,IF(AND(CA$27&gt;ProposalToGnatt[[#This Row],[Start Date]],CA$27&lt;ProposalToGnatt[[#This Row],[Start Date]]+ProposalToGnatt[[#This Row],[Days]]),$G$5,"")),"")</f>
        <v/>
      </c>
      <c r="CB54" s="36" t="str">
        <f ca="1">IFERROR(+IF(CB$27=ProposalToGnatt[[#This Row],[Start Date]],Milestone_Marker,IF(AND(CB$27&gt;ProposalToGnatt[[#This Row],[Start Date]],CB$27&lt;ProposalToGnatt[[#This Row],[Start Date]]+ProposalToGnatt[[#This Row],[Days]]),$G$5,"")),"")</f>
        <v/>
      </c>
      <c r="CC54" s="36" t="str">
        <f ca="1">IFERROR(+IF(CC$27=ProposalToGnatt[[#This Row],[Start Date]],Milestone_Marker,IF(AND(CC$27&gt;ProposalToGnatt[[#This Row],[Start Date]],CC$27&lt;ProposalToGnatt[[#This Row],[Start Date]]+ProposalToGnatt[[#This Row],[Days]]),$G$5,"")),"")</f>
        <v/>
      </c>
      <c r="CD54" s="36" t="str">
        <f ca="1">IFERROR(+IF(CD$27=ProposalToGnatt[[#This Row],[Start Date]],Milestone_Marker,IF(AND(CD$27&gt;ProposalToGnatt[[#This Row],[Start Date]],CD$27&lt;ProposalToGnatt[[#This Row],[Start Date]]+ProposalToGnatt[[#This Row],[Days]]),$G$5,"")),"")</f>
        <v/>
      </c>
      <c r="CE54" s="36" t="str">
        <f ca="1">IFERROR(+IF(CE$27=ProposalToGnatt[[#This Row],[Start Date]],Milestone_Marker,IF(AND(CE$27&gt;ProposalToGnatt[[#This Row],[Start Date]],CE$27&lt;ProposalToGnatt[[#This Row],[Start Date]]+ProposalToGnatt[[#This Row],[Days]]),$G$5,"")),"")</f>
        <v/>
      </c>
      <c r="CF54" s="36" t="str">
        <f ca="1">IFERROR(+IF(CF$27=ProposalToGnatt[[#This Row],[Start Date]],Milestone_Marker,IF(AND(CF$27&gt;ProposalToGnatt[[#This Row],[Start Date]],CF$27&lt;ProposalToGnatt[[#This Row],[Start Date]]+ProposalToGnatt[[#This Row],[Days]]),$G$5,"")),"")</f>
        <v/>
      </c>
      <c r="CG54" s="36" t="str">
        <f ca="1">IFERROR(+IF(CG$27=ProposalToGnatt[[#This Row],[Start Date]],Milestone_Marker,IF(AND(CG$27&gt;ProposalToGnatt[[#This Row],[Start Date]],CG$27&lt;ProposalToGnatt[[#This Row],[Start Date]]+ProposalToGnatt[[#This Row],[Days]]),$G$5,"")),"")</f>
        <v/>
      </c>
      <c r="CH54" s="36" t="str">
        <f ca="1">IFERROR(+IF(CH$27=ProposalToGnatt[[#This Row],[Start Date]],Milestone_Marker,IF(AND(CH$27&gt;ProposalToGnatt[[#This Row],[Start Date]],CH$27&lt;ProposalToGnatt[[#This Row],[Start Date]]+ProposalToGnatt[[#This Row],[Days]]),$G$5,"")),"")</f>
        <v/>
      </c>
      <c r="CI54" s="36" t="str">
        <f ca="1">IFERROR(+IF(CI$27=ProposalToGnatt[[#This Row],[Start Date]],Milestone_Marker,IF(AND(CI$27&gt;ProposalToGnatt[[#This Row],[Start Date]],CI$27&lt;ProposalToGnatt[[#This Row],[Start Date]]+ProposalToGnatt[[#This Row],[Days]]),$G$5,"")),"")</f>
        <v/>
      </c>
      <c r="CJ54" s="36" t="str">
        <f ca="1">IFERROR(+IF(CJ$27=ProposalToGnatt[[#This Row],[Start Date]],Milestone_Marker,IF(AND(CJ$27&gt;ProposalToGnatt[[#This Row],[Start Date]],CJ$27&lt;ProposalToGnatt[[#This Row],[Start Date]]+ProposalToGnatt[[#This Row],[Days]]),$G$5,"")),"")</f>
        <v/>
      </c>
      <c r="CK54" s="36" t="str">
        <f ca="1">IFERROR(+IF(CK$27=ProposalToGnatt[[#This Row],[Start Date]],Milestone_Marker,IF(AND(CK$27&gt;ProposalToGnatt[[#This Row],[Start Date]],CK$27&lt;ProposalToGnatt[[#This Row],[Start Date]]+ProposalToGnatt[[#This Row],[Days]]),$G$5,"")),"")</f>
        <v/>
      </c>
      <c r="CL54" s="36" t="str">
        <f ca="1">IFERROR(+IF(CL$27=ProposalToGnatt[[#This Row],[Start Date]],Milestone_Marker,IF(AND(CL$27&gt;ProposalToGnatt[[#This Row],[Start Date]],CL$27&lt;ProposalToGnatt[[#This Row],[Start Date]]+ProposalToGnatt[[#This Row],[Days]]),$G$5,"")),"")</f>
        <v/>
      </c>
      <c r="CM54" s="36" t="str">
        <f ca="1">IFERROR(+IF(CM$27=ProposalToGnatt[[#This Row],[Start Date]],Milestone_Marker,IF(AND(CM$27&gt;ProposalToGnatt[[#This Row],[Start Date]],CM$27&lt;ProposalToGnatt[[#This Row],[Start Date]]+ProposalToGnatt[[#This Row],[Days]]),$G$5,"")),"")</f>
        <v/>
      </c>
      <c r="CN54" s="36" t="str">
        <f ca="1">IFERROR(+IF(CN$27=ProposalToGnatt[[#This Row],[Start Date]],Milestone_Marker,IF(AND(CN$27&gt;ProposalToGnatt[[#This Row],[Start Date]],CN$27&lt;ProposalToGnatt[[#This Row],[Start Date]]+ProposalToGnatt[[#This Row],[Days]]),$G$5,"")),"")</f>
        <v/>
      </c>
      <c r="CO54" s="36" t="str">
        <f ca="1">IFERROR(+IF(CO$27=ProposalToGnatt[[#This Row],[Start Date]],Milestone_Marker,IF(AND(CO$27&gt;ProposalToGnatt[[#This Row],[Start Date]],CO$27&lt;ProposalToGnatt[[#This Row],[Start Date]]+ProposalToGnatt[[#This Row],[Days]]),$G$5,"")),"")</f>
        <v/>
      </c>
      <c r="CP54" s="36" t="str">
        <f ca="1">IFERROR(+IF(CP$27=ProposalToGnatt[[#This Row],[Start Date]],Milestone_Marker,IF(AND(CP$27&gt;ProposalToGnatt[[#This Row],[Start Date]],CP$27&lt;ProposalToGnatt[[#This Row],[Start Date]]+ProposalToGnatt[[#This Row],[Days]]),$G$5,"")),"")</f>
        <v/>
      </c>
      <c r="CQ54" s="36" t="str">
        <f ca="1">IFERROR(+IF(CQ$27=ProposalToGnatt[[#This Row],[Start Date]],Milestone_Marker,IF(AND(CQ$27&gt;ProposalToGnatt[[#This Row],[Start Date]],CQ$27&lt;ProposalToGnatt[[#This Row],[Start Date]]+ProposalToGnatt[[#This Row],[Days]]),$G$5,"")),"")</f>
        <v/>
      </c>
      <c r="CR54" s="36" t="str">
        <f ca="1">IFERROR(+IF(CR$27=ProposalToGnatt[[#This Row],[Start Date]],Milestone_Marker,IF(AND(CR$27&gt;ProposalToGnatt[[#This Row],[Start Date]],CR$27&lt;ProposalToGnatt[[#This Row],[Start Date]]+ProposalToGnatt[[#This Row],[Days]]),$G$5,"")),"")</f>
        <v/>
      </c>
      <c r="CS54" s="36" t="str">
        <f ca="1">IFERROR(+IF(CS$27=ProposalToGnatt[[#This Row],[Start Date]],Milestone_Marker,IF(AND(CS$27&gt;ProposalToGnatt[[#This Row],[Start Date]],CS$27&lt;ProposalToGnatt[[#This Row],[Start Date]]+ProposalToGnatt[[#This Row],[Days]]),$G$5,"")),"")</f>
        <v/>
      </c>
      <c r="CT54" s="36" t="str">
        <f ca="1">IFERROR(+IF(CT$27=ProposalToGnatt[[#This Row],[Start Date]],Milestone_Marker,IF(AND(CT$27&gt;ProposalToGnatt[[#This Row],[Start Date]],CT$27&lt;ProposalToGnatt[[#This Row],[Start Date]]+ProposalToGnatt[[#This Row],[Days]]),$G$5,"")),"")</f>
        <v/>
      </c>
      <c r="CU54" s="36" t="str">
        <f ca="1">IFERROR(+IF(CU$27=ProposalToGnatt[[#This Row],[Start Date]],Milestone_Marker,IF(AND(CU$27&gt;ProposalToGnatt[[#This Row],[Start Date]],CU$27&lt;ProposalToGnatt[[#This Row],[Start Date]]+ProposalToGnatt[[#This Row],[Days]]),$G$5,"")),"")</f>
        <v/>
      </c>
      <c r="CV54" s="36"/>
      <c r="CW54" s="36"/>
      <c r="CX54" s="36"/>
      <c r="CY54" s="36"/>
      <c r="CZ54" s="36"/>
      <c r="DA54" s="36"/>
      <c r="DB54" s="36"/>
      <c r="DC54" s="36"/>
      <c r="DD54" s="36"/>
      <c r="DE54" s="36"/>
      <c r="DF54" s="36"/>
      <c r="DG54" s="36"/>
      <c r="DH54" s="36"/>
      <c r="DI54" s="36"/>
      <c r="DJ54" s="36"/>
      <c r="DK54" s="36"/>
      <c r="DL54" s="36"/>
      <c r="DM54" s="36"/>
      <c r="DN54" s="36"/>
      <c r="DO54" s="36"/>
      <c r="DP54" s="36"/>
      <c r="DQ54" s="36"/>
      <c r="DR54" s="36"/>
      <c r="DS54" s="36"/>
      <c r="DT54" s="36"/>
      <c r="DU54" s="36"/>
    </row>
    <row r="55" spans="1:125" s="41" customFormat="1" ht="15" x14ac:dyDescent="0.25">
      <c r="A55"/>
      <c r="B55"/>
      <c r="C55"/>
      <c r="D55"/>
      <c r="E55"/>
      <c r="F55"/>
      <c r="G55" s="14"/>
      <c r="H55" s="14"/>
      <c r="I55"/>
      <c r="J55"/>
      <c r="K55" s="246"/>
      <c r="L55"/>
      <c r="M55" s="14"/>
      <c r="N55" s="299"/>
      <c r="O55" s="281"/>
      <c r="P55" s="36" t="str">
        <f ca="1">IFERROR(+IF(P$27=ProposalToGnatt[[#This Row],[Start Date]],Milestone_Marker,IF(AND(P$27&gt;ProposalToGnatt[[#This Row],[Start Date]],P$27&lt;ProposalToGnatt[[#This Row],[Start Date]]+ProposalToGnatt[[#This Row],[Days]]),$G$5,"")),"")</f>
        <v/>
      </c>
      <c r="Q55" s="36" t="str">
        <f ca="1">IFERROR(+IF(Q$27=ProposalToGnatt[[#This Row],[Start Date]],Milestone_Marker,IF(AND(Q$27&gt;ProposalToGnatt[[#This Row],[Start Date]],Q$27&lt;ProposalToGnatt[[#This Row],[Start Date]]+ProposalToGnatt[[#This Row],[Days]]),$G$5,"")),"")</f>
        <v/>
      </c>
      <c r="R55" s="36" t="str">
        <f ca="1">IFERROR(+IF(R$27=ProposalToGnatt[[#This Row],[Start Date]],Milestone_Marker,IF(AND(R$27&gt;ProposalToGnatt[[#This Row],[Start Date]],R$27&lt;ProposalToGnatt[[#This Row],[Start Date]]+ProposalToGnatt[[#This Row],[Days]]),$G$5,"")),"")</f>
        <v/>
      </c>
      <c r="S55" s="36" t="str">
        <f ca="1">IFERROR(+IF(S$27=ProposalToGnatt[[#This Row],[Start Date]],Milestone_Marker,IF(AND(S$27&gt;ProposalToGnatt[[#This Row],[Start Date]],S$27&lt;ProposalToGnatt[[#This Row],[Start Date]]+ProposalToGnatt[[#This Row],[Days]]),$G$5,"")),"")</f>
        <v/>
      </c>
      <c r="T55" s="36" t="str">
        <f ca="1">IFERROR(+IF(T$27=ProposalToGnatt[[#This Row],[Start Date]],Milestone_Marker,IF(AND(T$27&gt;ProposalToGnatt[[#This Row],[Start Date]],T$27&lt;ProposalToGnatt[[#This Row],[Start Date]]+ProposalToGnatt[[#This Row],[Days]]),$G$5,"")),"")</f>
        <v/>
      </c>
      <c r="U55" s="36" t="str">
        <f ca="1">IFERROR(+IF(U$27=ProposalToGnatt[[#This Row],[Start Date]],Milestone_Marker,IF(AND(U$27&gt;ProposalToGnatt[[#This Row],[Start Date]],U$27&lt;ProposalToGnatt[[#This Row],[Start Date]]+ProposalToGnatt[[#This Row],[Days]]),$G$5,"")),"")</f>
        <v/>
      </c>
      <c r="V55" s="36" t="str">
        <f ca="1">IFERROR(+IF(V$27=ProposalToGnatt[[#This Row],[Start Date]],Milestone_Marker,IF(AND(V$27&gt;ProposalToGnatt[[#This Row],[Start Date]],V$27&lt;ProposalToGnatt[[#This Row],[Start Date]]+ProposalToGnatt[[#This Row],[Days]]),$G$5,"")),"")</f>
        <v/>
      </c>
      <c r="W55" s="36" t="str">
        <f ca="1">IFERROR(+IF(W$27=ProposalToGnatt[[#This Row],[Start Date]],Milestone_Marker,IF(AND(W$27&gt;ProposalToGnatt[[#This Row],[Start Date]],W$27&lt;ProposalToGnatt[[#This Row],[Start Date]]+ProposalToGnatt[[#This Row],[Days]]),$G$5,"")),"")</f>
        <v/>
      </c>
      <c r="X55" s="36" t="str">
        <f ca="1">IFERROR(+IF(X$27=ProposalToGnatt[[#This Row],[Start Date]],Milestone_Marker,IF(AND(X$27&gt;ProposalToGnatt[[#This Row],[Start Date]],X$27&lt;ProposalToGnatt[[#This Row],[Start Date]]+ProposalToGnatt[[#This Row],[Days]]),$G$5,"")),"")</f>
        <v/>
      </c>
      <c r="Y55" s="36" t="str">
        <f ca="1">IFERROR(+IF(Y$27=ProposalToGnatt[[#This Row],[Start Date]],Milestone_Marker,IF(AND(Y$27&gt;ProposalToGnatt[[#This Row],[Start Date]],Y$27&lt;ProposalToGnatt[[#This Row],[Start Date]]+ProposalToGnatt[[#This Row],[Days]]),$G$5,"")),"")</f>
        <v/>
      </c>
      <c r="Z55" s="36" t="str">
        <f ca="1">IFERROR(+IF(Z$27=ProposalToGnatt[[#This Row],[Start Date]],Milestone_Marker,IF(AND(Z$27&gt;ProposalToGnatt[[#This Row],[Start Date]],Z$27&lt;ProposalToGnatt[[#This Row],[Start Date]]+ProposalToGnatt[[#This Row],[Days]]),$G$5,"")),"")</f>
        <v/>
      </c>
      <c r="AA55" s="36" t="str">
        <f ca="1">IFERROR(+IF(AA$27=ProposalToGnatt[[#This Row],[Start Date]],Milestone_Marker,IF(AND(AA$27&gt;ProposalToGnatt[[#This Row],[Start Date]],AA$27&lt;ProposalToGnatt[[#This Row],[Start Date]]+ProposalToGnatt[[#This Row],[Days]]),$G$5,"")),"")</f>
        <v/>
      </c>
      <c r="AB55" s="36" t="str">
        <f ca="1">IFERROR(+IF(AB$27=ProposalToGnatt[[#This Row],[Start Date]],Milestone_Marker,IF(AND(AB$27&gt;ProposalToGnatt[[#This Row],[Start Date]],AB$27&lt;ProposalToGnatt[[#This Row],[Start Date]]+ProposalToGnatt[[#This Row],[Days]]),$G$5,"")),"")</f>
        <v/>
      </c>
      <c r="AC55" s="36" t="str">
        <f ca="1">IFERROR(+IF(AC$27=ProposalToGnatt[[#This Row],[Start Date]],Milestone_Marker,IF(AND(AC$27&gt;ProposalToGnatt[[#This Row],[Start Date]],AC$27&lt;ProposalToGnatt[[#This Row],[Start Date]]+ProposalToGnatt[[#This Row],[Days]]),$G$5,"")),"")</f>
        <v/>
      </c>
      <c r="AD55" s="36" t="str">
        <f ca="1">IFERROR(+IF(AD$27=ProposalToGnatt[[#This Row],[Start Date]],Milestone_Marker,IF(AND(AD$27&gt;ProposalToGnatt[[#This Row],[Start Date]],AD$27&lt;ProposalToGnatt[[#This Row],[Start Date]]+ProposalToGnatt[[#This Row],[Days]]),$G$5,"")),"")</f>
        <v/>
      </c>
      <c r="AE55" s="36" t="str">
        <f ca="1">IFERROR(+IF(AE$27=ProposalToGnatt[[#This Row],[Start Date]],Milestone_Marker,IF(AND(AE$27&gt;ProposalToGnatt[[#This Row],[Start Date]],AE$27&lt;ProposalToGnatt[[#This Row],[Start Date]]+ProposalToGnatt[[#This Row],[Days]]),$G$5,"")),"")</f>
        <v/>
      </c>
      <c r="AF55" s="36" t="str">
        <f ca="1">IFERROR(+IF(AF$27=ProposalToGnatt[[#This Row],[Start Date]],Milestone_Marker,IF(AND(AF$27&gt;ProposalToGnatt[[#This Row],[Start Date]],AF$27&lt;ProposalToGnatt[[#This Row],[Start Date]]+ProposalToGnatt[[#This Row],[Days]]),$G$5,"")),"")</f>
        <v/>
      </c>
      <c r="AG55" s="36" t="str">
        <f ca="1">IFERROR(+IF(AG$27=ProposalToGnatt[[#This Row],[Start Date]],Milestone_Marker,IF(AND(AG$27&gt;ProposalToGnatt[[#This Row],[Start Date]],AG$27&lt;ProposalToGnatt[[#This Row],[Start Date]]+ProposalToGnatt[[#This Row],[Days]]),$G$5,"")),"")</f>
        <v/>
      </c>
      <c r="AH55" s="36" t="str">
        <f ca="1">IFERROR(+IF(AH$27=ProposalToGnatt[[#This Row],[Start Date]],Milestone_Marker,IF(AND(AH$27&gt;ProposalToGnatt[[#This Row],[Start Date]],AH$27&lt;ProposalToGnatt[[#This Row],[Start Date]]+ProposalToGnatt[[#This Row],[Days]]),$G$5,"")),"")</f>
        <v/>
      </c>
      <c r="AI55" s="36" t="str">
        <f ca="1">IFERROR(+IF(AI$27=ProposalToGnatt[[#This Row],[Start Date]],Milestone_Marker,IF(AND(AI$27&gt;ProposalToGnatt[[#This Row],[Start Date]],AI$27&lt;ProposalToGnatt[[#This Row],[Start Date]]+ProposalToGnatt[[#This Row],[Days]]),$G$5,"")),"")</f>
        <v/>
      </c>
      <c r="AJ55" s="36" t="str">
        <f ca="1">IFERROR(+IF(AJ$27=ProposalToGnatt[[#This Row],[Start Date]],Milestone_Marker,IF(AND(AJ$27&gt;ProposalToGnatt[[#This Row],[Start Date]],AJ$27&lt;ProposalToGnatt[[#This Row],[Start Date]]+ProposalToGnatt[[#This Row],[Days]]),$G$5,"")),"")</f>
        <v/>
      </c>
      <c r="AK55" s="36" t="str">
        <f ca="1">IFERROR(+IF(AK$27=ProposalToGnatt[[#This Row],[Start Date]],Milestone_Marker,IF(AND(AK$27&gt;ProposalToGnatt[[#This Row],[Start Date]],AK$27&lt;ProposalToGnatt[[#This Row],[Start Date]]+ProposalToGnatt[[#This Row],[Days]]),$G$5,"")),"")</f>
        <v/>
      </c>
      <c r="AL55" s="36" t="str">
        <f ca="1">IFERROR(+IF(AL$27=ProposalToGnatt[[#This Row],[Start Date]],Milestone_Marker,IF(AND(AL$27&gt;ProposalToGnatt[[#This Row],[Start Date]],AL$27&lt;ProposalToGnatt[[#This Row],[Start Date]]+ProposalToGnatt[[#This Row],[Days]]),$G$5,"")),"")</f>
        <v/>
      </c>
      <c r="AM55" s="36" t="str">
        <f ca="1">IFERROR(+IF(AM$27=ProposalToGnatt[[#This Row],[Start Date]],Milestone_Marker,IF(AND(AM$27&gt;ProposalToGnatt[[#This Row],[Start Date]],AM$27&lt;ProposalToGnatt[[#This Row],[Start Date]]+ProposalToGnatt[[#This Row],[Days]]),$G$5,"")),"")</f>
        <v/>
      </c>
      <c r="AN55" s="36" t="str">
        <f ca="1">IFERROR(+IF(AN$27=ProposalToGnatt[[#This Row],[Start Date]],Milestone_Marker,IF(AND(AN$27&gt;ProposalToGnatt[[#This Row],[Start Date]],AN$27&lt;ProposalToGnatt[[#This Row],[Start Date]]+ProposalToGnatt[[#This Row],[Days]]),$G$5,"")),"")</f>
        <v/>
      </c>
      <c r="AO55" s="36" t="str">
        <f ca="1">IFERROR(+IF(AO$27=ProposalToGnatt[[#This Row],[Start Date]],Milestone_Marker,IF(AND(AO$27&gt;ProposalToGnatt[[#This Row],[Start Date]],AO$27&lt;ProposalToGnatt[[#This Row],[Start Date]]+ProposalToGnatt[[#This Row],[Days]]),$G$5,"")),"")</f>
        <v/>
      </c>
      <c r="AP55" s="36" t="str">
        <f ca="1">IFERROR(+IF(AP$27=ProposalToGnatt[[#This Row],[Start Date]],Milestone_Marker,IF(AND(AP$27&gt;ProposalToGnatt[[#This Row],[Start Date]],AP$27&lt;ProposalToGnatt[[#This Row],[Start Date]]+ProposalToGnatt[[#This Row],[Days]]),$G$5,"")),"")</f>
        <v/>
      </c>
      <c r="AQ55" s="36" t="str">
        <f ca="1">IFERROR(+IF(AQ$27=ProposalToGnatt[[#This Row],[Start Date]],Milestone_Marker,IF(AND(AQ$27&gt;ProposalToGnatt[[#This Row],[Start Date]],AQ$27&lt;ProposalToGnatt[[#This Row],[Start Date]]+ProposalToGnatt[[#This Row],[Days]]),$G$5,"")),"")</f>
        <v/>
      </c>
      <c r="AR55" s="36" t="str">
        <f ca="1">IFERROR(+IF(AR$27=ProposalToGnatt[[#This Row],[Start Date]],Milestone_Marker,IF(AND(AR$27&gt;ProposalToGnatt[[#This Row],[Start Date]],AR$27&lt;ProposalToGnatt[[#This Row],[Start Date]]+ProposalToGnatt[[#This Row],[Days]]),$G$5,"")),"")</f>
        <v/>
      </c>
      <c r="AS55" s="36" t="str">
        <f ca="1">IFERROR(+IF(AS$27=ProposalToGnatt[[#This Row],[Start Date]],Milestone_Marker,IF(AND(AS$27&gt;ProposalToGnatt[[#This Row],[Start Date]],AS$27&lt;ProposalToGnatt[[#This Row],[Start Date]]+ProposalToGnatt[[#This Row],[Days]]),$G$5,"")),"")</f>
        <v/>
      </c>
      <c r="AT55" s="36" t="str">
        <f ca="1">IFERROR(+IF(AT$27=ProposalToGnatt[[#This Row],[Start Date]],Milestone_Marker,IF(AND(AT$27&gt;ProposalToGnatt[[#This Row],[Start Date]],AT$27&lt;ProposalToGnatt[[#This Row],[Start Date]]+ProposalToGnatt[[#This Row],[Days]]),$G$5,"")),"")</f>
        <v/>
      </c>
      <c r="AU55" s="36" t="str">
        <f ca="1">IFERROR(+IF(AU$27=ProposalToGnatt[[#This Row],[Start Date]],Milestone_Marker,IF(AND(AU$27&gt;ProposalToGnatt[[#This Row],[Start Date]],AU$27&lt;ProposalToGnatt[[#This Row],[Start Date]]+ProposalToGnatt[[#This Row],[Days]]),$G$5,"")),"")</f>
        <v/>
      </c>
      <c r="AV55" s="36" t="str">
        <f ca="1">IFERROR(+IF(AV$27=ProposalToGnatt[[#This Row],[Start Date]],Milestone_Marker,IF(AND(AV$27&gt;ProposalToGnatt[[#This Row],[Start Date]],AV$27&lt;ProposalToGnatt[[#This Row],[Start Date]]+ProposalToGnatt[[#This Row],[Days]]),$G$5,"")),"")</f>
        <v/>
      </c>
      <c r="AW55" s="36" t="str">
        <f ca="1">IFERROR(+IF(AW$27=ProposalToGnatt[[#This Row],[Start Date]],Milestone_Marker,IF(AND(AW$27&gt;ProposalToGnatt[[#This Row],[Start Date]],AW$27&lt;ProposalToGnatt[[#This Row],[Start Date]]+ProposalToGnatt[[#This Row],[Days]]),$G$5,"")),"")</f>
        <v/>
      </c>
      <c r="AX55" s="36" t="str">
        <f ca="1">IFERROR(+IF(AX$27=ProposalToGnatt[[#This Row],[Start Date]],Milestone_Marker,IF(AND(AX$27&gt;ProposalToGnatt[[#This Row],[Start Date]],AX$27&lt;ProposalToGnatt[[#This Row],[Start Date]]+ProposalToGnatt[[#This Row],[Days]]),$G$5,"")),"")</f>
        <v/>
      </c>
      <c r="AY55" s="36" t="str">
        <f ca="1">IFERROR(+IF(AY$27=ProposalToGnatt[[#This Row],[Start Date]],Milestone_Marker,IF(AND(AY$27&gt;ProposalToGnatt[[#This Row],[Start Date]],AY$27&lt;ProposalToGnatt[[#This Row],[Start Date]]+ProposalToGnatt[[#This Row],[Days]]),$G$5,"")),"")</f>
        <v/>
      </c>
      <c r="AZ55" s="36" t="str">
        <f ca="1">IFERROR(+IF(AZ$27=ProposalToGnatt[[#This Row],[Start Date]],Milestone_Marker,IF(AND(AZ$27&gt;ProposalToGnatt[[#This Row],[Start Date]],AZ$27&lt;ProposalToGnatt[[#This Row],[Start Date]]+ProposalToGnatt[[#This Row],[Days]]),$G$5,"")),"")</f>
        <v/>
      </c>
      <c r="BA55" s="36" t="str">
        <f ca="1">IFERROR(+IF(BA$27=ProposalToGnatt[[#This Row],[Start Date]],Milestone_Marker,IF(AND(BA$27&gt;ProposalToGnatt[[#This Row],[Start Date]],BA$27&lt;ProposalToGnatt[[#This Row],[Start Date]]+ProposalToGnatt[[#This Row],[Days]]),$G$5,"")),"")</f>
        <v/>
      </c>
      <c r="BB55" s="36" t="str">
        <f ca="1">IFERROR(+IF(BB$27=ProposalToGnatt[[#This Row],[Start Date]],Milestone_Marker,IF(AND(BB$27&gt;ProposalToGnatt[[#This Row],[Start Date]],BB$27&lt;ProposalToGnatt[[#This Row],[Start Date]]+ProposalToGnatt[[#This Row],[Days]]),$G$5,"")),"")</f>
        <v/>
      </c>
      <c r="BC55" s="36" t="str">
        <f ca="1">IFERROR(+IF(BC$27=ProposalToGnatt[[#This Row],[Start Date]],Milestone_Marker,IF(AND(BC$27&gt;ProposalToGnatt[[#This Row],[Start Date]],BC$27&lt;ProposalToGnatt[[#This Row],[Start Date]]+ProposalToGnatt[[#This Row],[Days]]),$G$5,"")),"")</f>
        <v/>
      </c>
      <c r="BD55" s="36" t="str">
        <f ca="1">IFERROR(+IF(BD$27=ProposalToGnatt[[#This Row],[Start Date]],Milestone_Marker,IF(AND(BD$27&gt;ProposalToGnatt[[#This Row],[Start Date]],BD$27&lt;ProposalToGnatt[[#This Row],[Start Date]]+ProposalToGnatt[[#This Row],[Days]]),$G$5,"")),"")</f>
        <v/>
      </c>
      <c r="BE55" s="36" t="str">
        <f ca="1">IFERROR(+IF(BE$27=ProposalToGnatt[[#This Row],[Start Date]],Milestone_Marker,IF(AND(BE$27&gt;ProposalToGnatt[[#This Row],[Start Date]],BE$27&lt;ProposalToGnatt[[#This Row],[Start Date]]+ProposalToGnatt[[#This Row],[Days]]),$G$5,"")),"")</f>
        <v/>
      </c>
      <c r="BF55" s="36" t="str">
        <f ca="1">IFERROR(+IF(BF$27=ProposalToGnatt[[#This Row],[Start Date]],Milestone_Marker,IF(AND(BF$27&gt;ProposalToGnatt[[#This Row],[Start Date]],BF$27&lt;ProposalToGnatt[[#This Row],[Start Date]]+ProposalToGnatt[[#This Row],[Days]]),$G$5,"")),"")</f>
        <v/>
      </c>
      <c r="BG55" s="36" t="str">
        <f ca="1">IFERROR(+IF(BG$27=ProposalToGnatt[[#This Row],[Start Date]],Milestone_Marker,IF(AND(BG$27&gt;ProposalToGnatt[[#This Row],[Start Date]],BG$27&lt;ProposalToGnatt[[#This Row],[Start Date]]+ProposalToGnatt[[#This Row],[Days]]),$G$5,"")),"")</f>
        <v/>
      </c>
      <c r="BH55" s="36" t="str">
        <f ca="1">IFERROR(+IF(BH$27=ProposalToGnatt[[#This Row],[Start Date]],Milestone_Marker,IF(AND(BH$27&gt;ProposalToGnatt[[#This Row],[Start Date]],BH$27&lt;ProposalToGnatt[[#This Row],[Start Date]]+ProposalToGnatt[[#This Row],[Days]]),$G$5,"")),"")</f>
        <v/>
      </c>
      <c r="BI55" s="36" t="str">
        <f ca="1">IFERROR(+IF(BI$27=ProposalToGnatt[[#This Row],[Start Date]],Milestone_Marker,IF(AND(BI$27&gt;ProposalToGnatt[[#This Row],[Start Date]],BI$27&lt;ProposalToGnatt[[#This Row],[Start Date]]+ProposalToGnatt[[#This Row],[Days]]),$G$5,"")),"")</f>
        <v/>
      </c>
      <c r="BJ55" s="36" t="str">
        <f ca="1">IFERROR(+IF(BJ$27=ProposalToGnatt[[#This Row],[Start Date]],Milestone_Marker,IF(AND(BJ$27&gt;ProposalToGnatt[[#This Row],[Start Date]],BJ$27&lt;ProposalToGnatt[[#This Row],[Start Date]]+ProposalToGnatt[[#This Row],[Days]]),$G$5,"")),"")</f>
        <v/>
      </c>
      <c r="BK55" s="36" t="str">
        <f ca="1">IFERROR(+IF(BK$27=ProposalToGnatt[[#This Row],[Start Date]],Milestone_Marker,IF(AND(BK$27&gt;ProposalToGnatt[[#This Row],[Start Date]],BK$27&lt;ProposalToGnatt[[#This Row],[Start Date]]+ProposalToGnatt[[#This Row],[Days]]),$G$5,"")),"")</f>
        <v/>
      </c>
      <c r="BL55" s="36" t="str">
        <f ca="1">IFERROR(+IF(BL$27=ProposalToGnatt[[#This Row],[Start Date]],Milestone_Marker,IF(AND(BL$27&gt;ProposalToGnatt[[#This Row],[Start Date]],BL$27&lt;ProposalToGnatt[[#This Row],[Start Date]]+ProposalToGnatt[[#This Row],[Days]]),$G$5,"")),"")</f>
        <v/>
      </c>
      <c r="BM55" s="36" t="str">
        <f ca="1">IFERROR(+IF(BM$27=ProposalToGnatt[[#This Row],[Start Date]],Milestone_Marker,IF(AND(BM$27&gt;ProposalToGnatt[[#This Row],[Start Date]],BM$27&lt;ProposalToGnatt[[#This Row],[Start Date]]+ProposalToGnatt[[#This Row],[Days]]),$G$5,"")),"")</f>
        <v/>
      </c>
      <c r="BN55" s="36" t="str">
        <f ca="1">IFERROR(+IF(BN$27=ProposalToGnatt[[#This Row],[Start Date]],Milestone_Marker,IF(AND(BN$27&gt;ProposalToGnatt[[#This Row],[Start Date]],BN$27&lt;ProposalToGnatt[[#This Row],[Start Date]]+ProposalToGnatt[[#This Row],[Days]]),$G$5,"")),"")</f>
        <v/>
      </c>
      <c r="BO55" s="36" t="str">
        <f ca="1">IFERROR(+IF(BO$27=ProposalToGnatt[[#This Row],[Start Date]],Milestone_Marker,IF(AND(BO$27&gt;ProposalToGnatt[[#This Row],[Start Date]],BO$27&lt;ProposalToGnatt[[#This Row],[Start Date]]+ProposalToGnatt[[#This Row],[Days]]),$G$5,"")),"")</f>
        <v/>
      </c>
      <c r="BP55" s="36" t="str">
        <f ca="1">IFERROR(+IF(BP$27=ProposalToGnatt[[#This Row],[Start Date]],Milestone_Marker,IF(AND(BP$27&gt;ProposalToGnatt[[#This Row],[Start Date]],BP$27&lt;ProposalToGnatt[[#This Row],[Start Date]]+ProposalToGnatt[[#This Row],[Days]]),$G$5,"")),"")</f>
        <v/>
      </c>
      <c r="BQ55" s="36" t="str">
        <f ca="1">IFERROR(+IF(BQ$27=ProposalToGnatt[[#This Row],[Start Date]],Milestone_Marker,IF(AND(BQ$27&gt;ProposalToGnatt[[#This Row],[Start Date]],BQ$27&lt;ProposalToGnatt[[#This Row],[Start Date]]+ProposalToGnatt[[#This Row],[Days]]),$G$5,"")),"")</f>
        <v/>
      </c>
      <c r="BR55" s="36" t="str">
        <f ca="1">IFERROR(+IF(BR$27=ProposalToGnatt[[#This Row],[Start Date]],Milestone_Marker,IF(AND(BR$27&gt;ProposalToGnatt[[#This Row],[Start Date]],BR$27&lt;ProposalToGnatt[[#This Row],[Start Date]]+ProposalToGnatt[[#This Row],[Days]]),$G$5,"")),"")</f>
        <v/>
      </c>
      <c r="BS55" s="36" t="str">
        <f ca="1">IFERROR(+IF(BS$27=ProposalToGnatt[[#This Row],[Start Date]],Milestone_Marker,IF(AND(BS$27&gt;ProposalToGnatt[[#This Row],[Start Date]],BS$27&lt;ProposalToGnatt[[#This Row],[Start Date]]+ProposalToGnatt[[#This Row],[Days]]),$G$5,"")),"")</f>
        <v/>
      </c>
      <c r="BT55" s="36" t="str">
        <f ca="1">IFERROR(+IF(BT$27=ProposalToGnatt[[#This Row],[Start Date]],Milestone_Marker,IF(AND(BT$27&gt;ProposalToGnatt[[#This Row],[Start Date]],BT$27&lt;ProposalToGnatt[[#This Row],[Start Date]]+ProposalToGnatt[[#This Row],[Days]]),$G$5,"")),"")</f>
        <v/>
      </c>
      <c r="BU55" s="36" t="str">
        <f ca="1">IFERROR(+IF(BU$27=ProposalToGnatt[[#This Row],[Start Date]],Milestone_Marker,IF(AND(BU$27&gt;ProposalToGnatt[[#This Row],[Start Date]],BU$27&lt;ProposalToGnatt[[#This Row],[Start Date]]+ProposalToGnatt[[#This Row],[Days]]),$G$5,"")),"")</f>
        <v/>
      </c>
      <c r="BV55" s="36" t="str">
        <f ca="1">IFERROR(+IF(BV$27=ProposalToGnatt[[#This Row],[Start Date]],Milestone_Marker,IF(AND(BV$27&gt;ProposalToGnatt[[#This Row],[Start Date]],BV$27&lt;ProposalToGnatt[[#This Row],[Start Date]]+ProposalToGnatt[[#This Row],[Days]]),$G$5,"")),"")</f>
        <v/>
      </c>
      <c r="BW55" s="36" t="str">
        <f ca="1">IFERROR(+IF(BW$27=ProposalToGnatt[[#This Row],[Start Date]],Milestone_Marker,IF(AND(BW$27&gt;ProposalToGnatt[[#This Row],[Start Date]],BW$27&lt;ProposalToGnatt[[#This Row],[Start Date]]+ProposalToGnatt[[#This Row],[Days]]),$G$5,"")),"")</f>
        <v/>
      </c>
      <c r="BX55" s="36" t="str">
        <f ca="1">IFERROR(+IF(BX$27=ProposalToGnatt[[#This Row],[Start Date]],Milestone_Marker,IF(AND(BX$27&gt;ProposalToGnatt[[#This Row],[Start Date]],BX$27&lt;ProposalToGnatt[[#This Row],[Start Date]]+ProposalToGnatt[[#This Row],[Days]]),$G$5,"")),"")</f>
        <v/>
      </c>
      <c r="BY55" s="36" t="str">
        <f ca="1">IFERROR(+IF(BY$27=ProposalToGnatt[[#This Row],[Start Date]],Milestone_Marker,IF(AND(BY$27&gt;ProposalToGnatt[[#This Row],[Start Date]],BY$27&lt;ProposalToGnatt[[#This Row],[Start Date]]+ProposalToGnatt[[#This Row],[Days]]),$G$5,"")),"")</f>
        <v/>
      </c>
      <c r="BZ55" s="36" t="str">
        <f ca="1">IFERROR(+IF(BZ$27=ProposalToGnatt[[#This Row],[Start Date]],Milestone_Marker,IF(AND(BZ$27&gt;ProposalToGnatt[[#This Row],[Start Date]],BZ$27&lt;ProposalToGnatt[[#This Row],[Start Date]]+ProposalToGnatt[[#This Row],[Days]]),$G$5,"")),"")</f>
        <v/>
      </c>
      <c r="CA55" s="36" t="str">
        <f ca="1">IFERROR(+IF(CA$27=ProposalToGnatt[[#This Row],[Start Date]],Milestone_Marker,IF(AND(CA$27&gt;ProposalToGnatt[[#This Row],[Start Date]],CA$27&lt;ProposalToGnatt[[#This Row],[Start Date]]+ProposalToGnatt[[#This Row],[Days]]),$G$5,"")),"")</f>
        <v/>
      </c>
      <c r="CB55" s="36" t="str">
        <f ca="1">IFERROR(+IF(CB$27=ProposalToGnatt[[#This Row],[Start Date]],Milestone_Marker,IF(AND(CB$27&gt;ProposalToGnatt[[#This Row],[Start Date]],CB$27&lt;ProposalToGnatt[[#This Row],[Start Date]]+ProposalToGnatt[[#This Row],[Days]]),$G$5,"")),"")</f>
        <v/>
      </c>
      <c r="CC55" s="36" t="str">
        <f ca="1">IFERROR(+IF(CC$27=ProposalToGnatt[[#This Row],[Start Date]],Milestone_Marker,IF(AND(CC$27&gt;ProposalToGnatt[[#This Row],[Start Date]],CC$27&lt;ProposalToGnatt[[#This Row],[Start Date]]+ProposalToGnatt[[#This Row],[Days]]),$G$5,"")),"")</f>
        <v/>
      </c>
      <c r="CD55" s="36" t="str">
        <f ca="1">IFERROR(+IF(CD$27=ProposalToGnatt[[#This Row],[Start Date]],Milestone_Marker,IF(AND(CD$27&gt;ProposalToGnatt[[#This Row],[Start Date]],CD$27&lt;ProposalToGnatt[[#This Row],[Start Date]]+ProposalToGnatt[[#This Row],[Days]]),$G$5,"")),"")</f>
        <v/>
      </c>
      <c r="CE55" s="36" t="str">
        <f ca="1">IFERROR(+IF(CE$27=ProposalToGnatt[[#This Row],[Start Date]],Milestone_Marker,IF(AND(CE$27&gt;ProposalToGnatt[[#This Row],[Start Date]],CE$27&lt;ProposalToGnatt[[#This Row],[Start Date]]+ProposalToGnatt[[#This Row],[Days]]),$G$5,"")),"")</f>
        <v/>
      </c>
      <c r="CF55" s="36" t="str">
        <f ca="1">IFERROR(+IF(CF$27=ProposalToGnatt[[#This Row],[Start Date]],Milestone_Marker,IF(AND(CF$27&gt;ProposalToGnatt[[#This Row],[Start Date]],CF$27&lt;ProposalToGnatt[[#This Row],[Start Date]]+ProposalToGnatt[[#This Row],[Days]]),$G$5,"")),"")</f>
        <v/>
      </c>
      <c r="CG55" s="36" t="str">
        <f ca="1">IFERROR(+IF(CG$27=ProposalToGnatt[[#This Row],[Start Date]],Milestone_Marker,IF(AND(CG$27&gt;ProposalToGnatt[[#This Row],[Start Date]],CG$27&lt;ProposalToGnatt[[#This Row],[Start Date]]+ProposalToGnatt[[#This Row],[Days]]),$G$5,"")),"")</f>
        <v/>
      </c>
      <c r="CH55" s="36" t="str">
        <f ca="1">IFERROR(+IF(CH$27=ProposalToGnatt[[#This Row],[Start Date]],Milestone_Marker,IF(AND(CH$27&gt;ProposalToGnatt[[#This Row],[Start Date]],CH$27&lt;ProposalToGnatt[[#This Row],[Start Date]]+ProposalToGnatt[[#This Row],[Days]]),$G$5,"")),"")</f>
        <v/>
      </c>
      <c r="CI55" s="36" t="str">
        <f ca="1">IFERROR(+IF(CI$27=ProposalToGnatt[[#This Row],[Start Date]],Milestone_Marker,IF(AND(CI$27&gt;ProposalToGnatt[[#This Row],[Start Date]],CI$27&lt;ProposalToGnatt[[#This Row],[Start Date]]+ProposalToGnatt[[#This Row],[Days]]),$G$5,"")),"")</f>
        <v/>
      </c>
      <c r="CJ55" s="36" t="str">
        <f ca="1">IFERROR(+IF(CJ$27=ProposalToGnatt[[#This Row],[Start Date]],Milestone_Marker,IF(AND(CJ$27&gt;ProposalToGnatt[[#This Row],[Start Date]],CJ$27&lt;ProposalToGnatt[[#This Row],[Start Date]]+ProposalToGnatt[[#This Row],[Days]]),$G$5,"")),"")</f>
        <v/>
      </c>
      <c r="CK55" s="36" t="str">
        <f ca="1">IFERROR(+IF(CK$27=ProposalToGnatt[[#This Row],[Start Date]],Milestone_Marker,IF(AND(CK$27&gt;ProposalToGnatt[[#This Row],[Start Date]],CK$27&lt;ProposalToGnatt[[#This Row],[Start Date]]+ProposalToGnatt[[#This Row],[Days]]),$G$5,"")),"")</f>
        <v/>
      </c>
      <c r="CL55" s="36" t="str">
        <f ca="1">IFERROR(+IF(CL$27=ProposalToGnatt[[#This Row],[Start Date]],Milestone_Marker,IF(AND(CL$27&gt;ProposalToGnatt[[#This Row],[Start Date]],CL$27&lt;ProposalToGnatt[[#This Row],[Start Date]]+ProposalToGnatt[[#This Row],[Days]]),$G$5,"")),"")</f>
        <v/>
      </c>
      <c r="CM55" s="36" t="str">
        <f ca="1">IFERROR(+IF(CM$27=ProposalToGnatt[[#This Row],[Start Date]],Milestone_Marker,IF(AND(CM$27&gt;ProposalToGnatt[[#This Row],[Start Date]],CM$27&lt;ProposalToGnatt[[#This Row],[Start Date]]+ProposalToGnatt[[#This Row],[Days]]),$G$5,"")),"")</f>
        <v/>
      </c>
      <c r="CN55" s="36" t="str">
        <f ca="1">IFERROR(+IF(CN$27=ProposalToGnatt[[#This Row],[Start Date]],Milestone_Marker,IF(AND(CN$27&gt;ProposalToGnatt[[#This Row],[Start Date]],CN$27&lt;ProposalToGnatt[[#This Row],[Start Date]]+ProposalToGnatt[[#This Row],[Days]]),$G$5,"")),"")</f>
        <v/>
      </c>
      <c r="CO55" s="36" t="str">
        <f ca="1">IFERROR(+IF(CO$27=ProposalToGnatt[[#This Row],[Start Date]],Milestone_Marker,IF(AND(CO$27&gt;ProposalToGnatt[[#This Row],[Start Date]],CO$27&lt;ProposalToGnatt[[#This Row],[Start Date]]+ProposalToGnatt[[#This Row],[Days]]),$G$5,"")),"")</f>
        <v/>
      </c>
      <c r="CP55" s="36" t="str">
        <f ca="1">IFERROR(+IF(CP$27=ProposalToGnatt[[#This Row],[Start Date]],Milestone_Marker,IF(AND(CP$27&gt;ProposalToGnatt[[#This Row],[Start Date]],CP$27&lt;ProposalToGnatt[[#This Row],[Start Date]]+ProposalToGnatt[[#This Row],[Days]]),$G$5,"")),"")</f>
        <v/>
      </c>
      <c r="CQ55" s="36" t="str">
        <f ca="1">IFERROR(+IF(CQ$27=ProposalToGnatt[[#This Row],[Start Date]],Milestone_Marker,IF(AND(CQ$27&gt;ProposalToGnatt[[#This Row],[Start Date]],CQ$27&lt;ProposalToGnatt[[#This Row],[Start Date]]+ProposalToGnatt[[#This Row],[Days]]),$G$5,"")),"")</f>
        <v/>
      </c>
      <c r="CR55" s="36" t="str">
        <f ca="1">IFERROR(+IF(CR$27=ProposalToGnatt[[#This Row],[Start Date]],Milestone_Marker,IF(AND(CR$27&gt;ProposalToGnatt[[#This Row],[Start Date]],CR$27&lt;ProposalToGnatt[[#This Row],[Start Date]]+ProposalToGnatt[[#This Row],[Days]]),$G$5,"")),"")</f>
        <v/>
      </c>
      <c r="CS55" s="36" t="str">
        <f ca="1">IFERROR(+IF(CS$27=ProposalToGnatt[[#This Row],[Start Date]],Milestone_Marker,IF(AND(CS$27&gt;ProposalToGnatt[[#This Row],[Start Date]],CS$27&lt;ProposalToGnatt[[#This Row],[Start Date]]+ProposalToGnatt[[#This Row],[Days]]),$G$5,"")),"")</f>
        <v/>
      </c>
      <c r="CT55" s="36" t="str">
        <f ca="1">IFERROR(+IF(CT$27=ProposalToGnatt[[#This Row],[Start Date]],Milestone_Marker,IF(AND(CT$27&gt;ProposalToGnatt[[#This Row],[Start Date]],CT$27&lt;ProposalToGnatt[[#This Row],[Start Date]]+ProposalToGnatt[[#This Row],[Days]]),$G$5,"")),"")</f>
        <v/>
      </c>
      <c r="CU55" s="36" t="str">
        <f ca="1">IFERROR(+IF(CU$27=ProposalToGnatt[[#This Row],[Start Date]],Milestone_Marker,IF(AND(CU$27&gt;ProposalToGnatt[[#This Row],[Start Date]],CU$27&lt;ProposalToGnatt[[#This Row],[Start Date]]+ProposalToGnatt[[#This Row],[Days]]),$G$5,"")),"")</f>
        <v/>
      </c>
      <c r="CV55" s="36"/>
      <c r="CW55" s="36"/>
      <c r="CX55" s="36"/>
      <c r="CY55" s="36"/>
      <c r="CZ55" s="36"/>
      <c r="DA55" s="36"/>
      <c r="DB55" s="36"/>
      <c r="DC55" s="36"/>
      <c r="DD55" s="36"/>
      <c r="DE55" s="36"/>
      <c r="DF55" s="36"/>
      <c r="DG55" s="36"/>
      <c r="DH55" s="36"/>
      <c r="DI55" s="36"/>
      <c r="DJ55" s="36"/>
      <c r="DK55" s="36"/>
      <c r="DL55" s="36"/>
      <c r="DM55" s="36"/>
      <c r="DN55" s="36"/>
      <c r="DO55" s="36"/>
      <c r="DP55" s="36"/>
      <c r="DQ55" s="36"/>
      <c r="DR55" s="36"/>
      <c r="DS55" s="36"/>
      <c r="DT55" s="36"/>
      <c r="DU55" s="36"/>
    </row>
    <row r="56" spans="1:125" s="41" customFormat="1" ht="15" x14ac:dyDescent="0.25">
      <c r="A56"/>
      <c r="B56"/>
      <c r="C56"/>
      <c r="D56"/>
      <c r="E56"/>
      <c r="F56"/>
      <c r="G56" s="14"/>
      <c r="H56" s="14"/>
      <c r="I56"/>
      <c r="J56"/>
      <c r="K56" s="246"/>
      <c r="L56"/>
      <c r="M56" s="14"/>
      <c r="N56" s="299"/>
      <c r="O56" s="281"/>
      <c r="P56" s="36" t="str">
        <f ca="1">IFERROR(+IF(P$27=ProposalToGnatt[[#This Row],[Start Date]],Milestone_Marker,IF(AND(P$27&gt;ProposalToGnatt[[#This Row],[Start Date]],P$27&lt;ProposalToGnatt[[#This Row],[Start Date]]+ProposalToGnatt[[#This Row],[Days]]),$G$5,"")),"")</f>
        <v/>
      </c>
      <c r="Q56" s="36" t="str">
        <f ca="1">IFERROR(+IF(Q$27=ProposalToGnatt[[#This Row],[Start Date]],Milestone_Marker,IF(AND(Q$27&gt;ProposalToGnatt[[#This Row],[Start Date]],Q$27&lt;ProposalToGnatt[[#This Row],[Start Date]]+ProposalToGnatt[[#This Row],[Days]]),$G$5,"")),"")</f>
        <v/>
      </c>
      <c r="R56" s="36" t="str">
        <f ca="1">IFERROR(+IF(R$27=ProposalToGnatt[[#This Row],[Start Date]],Milestone_Marker,IF(AND(R$27&gt;ProposalToGnatt[[#This Row],[Start Date]],R$27&lt;ProposalToGnatt[[#This Row],[Start Date]]+ProposalToGnatt[[#This Row],[Days]]),$G$5,"")),"")</f>
        <v/>
      </c>
      <c r="S56" s="36" t="str">
        <f ca="1">IFERROR(+IF(S$27=ProposalToGnatt[[#This Row],[Start Date]],Milestone_Marker,IF(AND(S$27&gt;ProposalToGnatt[[#This Row],[Start Date]],S$27&lt;ProposalToGnatt[[#This Row],[Start Date]]+ProposalToGnatt[[#This Row],[Days]]),$G$5,"")),"")</f>
        <v/>
      </c>
      <c r="T56" s="36" t="str">
        <f ca="1">IFERROR(+IF(T$27=ProposalToGnatt[[#This Row],[Start Date]],Milestone_Marker,IF(AND(T$27&gt;ProposalToGnatt[[#This Row],[Start Date]],T$27&lt;ProposalToGnatt[[#This Row],[Start Date]]+ProposalToGnatt[[#This Row],[Days]]),$G$5,"")),"")</f>
        <v/>
      </c>
      <c r="U56" s="36" t="str">
        <f ca="1">IFERROR(+IF(U$27=ProposalToGnatt[[#This Row],[Start Date]],Milestone_Marker,IF(AND(U$27&gt;ProposalToGnatt[[#This Row],[Start Date]],U$27&lt;ProposalToGnatt[[#This Row],[Start Date]]+ProposalToGnatt[[#This Row],[Days]]),$G$5,"")),"")</f>
        <v/>
      </c>
      <c r="V56" s="36" t="str">
        <f ca="1">IFERROR(+IF(V$27=ProposalToGnatt[[#This Row],[Start Date]],Milestone_Marker,IF(AND(V$27&gt;ProposalToGnatt[[#This Row],[Start Date]],V$27&lt;ProposalToGnatt[[#This Row],[Start Date]]+ProposalToGnatt[[#This Row],[Days]]),$G$5,"")),"")</f>
        <v/>
      </c>
      <c r="W56" s="36" t="str">
        <f ca="1">IFERROR(+IF(W$27=ProposalToGnatt[[#This Row],[Start Date]],Milestone_Marker,IF(AND(W$27&gt;ProposalToGnatt[[#This Row],[Start Date]],W$27&lt;ProposalToGnatt[[#This Row],[Start Date]]+ProposalToGnatt[[#This Row],[Days]]),$G$5,"")),"")</f>
        <v/>
      </c>
      <c r="X56" s="36" t="str">
        <f ca="1">IFERROR(+IF(X$27=ProposalToGnatt[[#This Row],[Start Date]],Milestone_Marker,IF(AND(X$27&gt;ProposalToGnatt[[#This Row],[Start Date]],X$27&lt;ProposalToGnatt[[#This Row],[Start Date]]+ProposalToGnatt[[#This Row],[Days]]),$G$5,"")),"")</f>
        <v/>
      </c>
      <c r="Y56" s="36" t="str">
        <f ca="1">IFERROR(+IF(Y$27=ProposalToGnatt[[#This Row],[Start Date]],Milestone_Marker,IF(AND(Y$27&gt;ProposalToGnatt[[#This Row],[Start Date]],Y$27&lt;ProposalToGnatt[[#This Row],[Start Date]]+ProposalToGnatt[[#This Row],[Days]]),$G$5,"")),"")</f>
        <v/>
      </c>
      <c r="Z56" s="36" t="str">
        <f ca="1">IFERROR(+IF(Z$27=ProposalToGnatt[[#This Row],[Start Date]],Milestone_Marker,IF(AND(Z$27&gt;ProposalToGnatt[[#This Row],[Start Date]],Z$27&lt;ProposalToGnatt[[#This Row],[Start Date]]+ProposalToGnatt[[#This Row],[Days]]),$G$5,"")),"")</f>
        <v/>
      </c>
      <c r="AA56" s="36" t="str">
        <f ca="1">IFERROR(+IF(AA$27=ProposalToGnatt[[#This Row],[Start Date]],Milestone_Marker,IF(AND(AA$27&gt;ProposalToGnatt[[#This Row],[Start Date]],AA$27&lt;ProposalToGnatt[[#This Row],[Start Date]]+ProposalToGnatt[[#This Row],[Days]]),$G$5,"")),"")</f>
        <v/>
      </c>
      <c r="AB56" s="36" t="str">
        <f ca="1">IFERROR(+IF(AB$27=ProposalToGnatt[[#This Row],[Start Date]],Milestone_Marker,IF(AND(AB$27&gt;ProposalToGnatt[[#This Row],[Start Date]],AB$27&lt;ProposalToGnatt[[#This Row],[Start Date]]+ProposalToGnatt[[#This Row],[Days]]),$G$5,"")),"")</f>
        <v/>
      </c>
      <c r="AC56" s="36" t="str">
        <f ca="1">IFERROR(+IF(AC$27=ProposalToGnatt[[#This Row],[Start Date]],Milestone_Marker,IF(AND(AC$27&gt;ProposalToGnatt[[#This Row],[Start Date]],AC$27&lt;ProposalToGnatt[[#This Row],[Start Date]]+ProposalToGnatt[[#This Row],[Days]]),$G$5,"")),"")</f>
        <v/>
      </c>
      <c r="AD56" s="36" t="str">
        <f ca="1">IFERROR(+IF(AD$27=ProposalToGnatt[[#This Row],[Start Date]],Milestone_Marker,IF(AND(AD$27&gt;ProposalToGnatt[[#This Row],[Start Date]],AD$27&lt;ProposalToGnatt[[#This Row],[Start Date]]+ProposalToGnatt[[#This Row],[Days]]),$G$5,"")),"")</f>
        <v/>
      </c>
      <c r="AE56" s="36" t="str">
        <f ca="1">IFERROR(+IF(AE$27=ProposalToGnatt[[#This Row],[Start Date]],Milestone_Marker,IF(AND(AE$27&gt;ProposalToGnatt[[#This Row],[Start Date]],AE$27&lt;ProposalToGnatt[[#This Row],[Start Date]]+ProposalToGnatt[[#This Row],[Days]]),$G$5,"")),"")</f>
        <v/>
      </c>
      <c r="AF56" s="36" t="str">
        <f ca="1">IFERROR(+IF(AF$27=ProposalToGnatt[[#This Row],[Start Date]],Milestone_Marker,IF(AND(AF$27&gt;ProposalToGnatt[[#This Row],[Start Date]],AF$27&lt;ProposalToGnatt[[#This Row],[Start Date]]+ProposalToGnatt[[#This Row],[Days]]),$G$5,"")),"")</f>
        <v/>
      </c>
      <c r="AG56" s="36" t="str">
        <f ca="1">IFERROR(+IF(AG$27=ProposalToGnatt[[#This Row],[Start Date]],Milestone_Marker,IF(AND(AG$27&gt;ProposalToGnatt[[#This Row],[Start Date]],AG$27&lt;ProposalToGnatt[[#This Row],[Start Date]]+ProposalToGnatt[[#This Row],[Days]]),$G$5,"")),"")</f>
        <v/>
      </c>
      <c r="AH56" s="36" t="str">
        <f ca="1">IFERROR(+IF(AH$27=ProposalToGnatt[[#This Row],[Start Date]],Milestone_Marker,IF(AND(AH$27&gt;ProposalToGnatt[[#This Row],[Start Date]],AH$27&lt;ProposalToGnatt[[#This Row],[Start Date]]+ProposalToGnatt[[#This Row],[Days]]),$G$5,"")),"")</f>
        <v/>
      </c>
      <c r="AI56" s="36" t="str">
        <f ca="1">IFERROR(+IF(AI$27=ProposalToGnatt[[#This Row],[Start Date]],Milestone_Marker,IF(AND(AI$27&gt;ProposalToGnatt[[#This Row],[Start Date]],AI$27&lt;ProposalToGnatt[[#This Row],[Start Date]]+ProposalToGnatt[[#This Row],[Days]]),$G$5,"")),"")</f>
        <v/>
      </c>
      <c r="AJ56" s="36" t="str">
        <f ca="1">IFERROR(+IF(AJ$27=ProposalToGnatt[[#This Row],[Start Date]],Milestone_Marker,IF(AND(AJ$27&gt;ProposalToGnatt[[#This Row],[Start Date]],AJ$27&lt;ProposalToGnatt[[#This Row],[Start Date]]+ProposalToGnatt[[#This Row],[Days]]),$G$5,"")),"")</f>
        <v/>
      </c>
      <c r="AK56" s="36" t="str">
        <f ca="1">IFERROR(+IF(AK$27=ProposalToGnatt[[#This Row],[Start Date]],Milestone_Marker,IF(AND(AK$27&gt;ProposalToGnatt[[#This Row],[Start Date]],AK$27&lt;ProposalToGnatt[[#This Row],[Start Date]]+ProposalToGnatt[[#This Row],[Days]]),$G$5,"")),"")</f>
        <v/>
      </c>
      <c r="AL56" s="36" t="str">
        <f ca="1">IFERROR(+IF(AL$27=ProposalToGnatt[[#This Row],[Start Date]],Milestone_Marker,IF(AND(AL$27&gt;ProposalToGnatt[[#This Row],[Start Date]],AL$27&lt;ProposalToGnatt[[#This Row],[Start Date]]+ProposalToGnatt[[#This Row],[Days]]),$G$5,"")),"")</f>
        <v/>
      </c>
      <c r="AM56" s="36" t="str">
        <f ca="1">IFERROR(+IF(AM$27=ProposalToGnatt[[#This Row],[Start Date]],Milestone_Marker,IF(AND(AM$27&gt;ProposalToGnatt[[#This Row],[Start Date]],AM$27&lt;ProposalToGnatt[[#This Row],[Start Date]]+ProposalToGnatt[[#This Row],[Days]]),$G$5,"")),"")</f>
        <v/>
      </c>
      <c r="AN56" s="36" t="str">
        <f ca="1">IFERROR(+IF(AN$27=ProposalToGnatt[[#This Row],[Start Date]],Milestone_Marker,IF(AND(AN$27&gt;ProposalToGnatt[[#This Row],[Start Date]],AN$27&lt;ProposalToGnatt[[#This Row],[Start Date]]+ProposalToGnatt[[#This Row],[Days]]),$G$5,"")),"")</f>
        <v/>
      </c>
      <c r="AO56" s="36" t="str">
        <f ca="1">IFERROR(+IF(AO$27=ProposalToGnatt[[#This Row],[Start Date]],Milestone_Marker,IF(AND(AO$27&gt;ProposalToGnatt[[#This Row],[Start Date]],AO$27&lt;ProposalToGnatt[[#This Row],[Start Date]]+ProposalToGnatt[[#This Row],[Days]]),$G$5,"")),"")</f>
        <v/>
      </c>
      <c r="AP56" s="36" t="str">
        <f ca="1">IFERROR(+IF(AP$27=ProposalToGnatt[[#This Row],[Start Date]],Milestone_Marker,IF(AND(AP$27&gt;ProposalToGnatt[[#This Row],[Start Date]],AP$27&lt;ProposalToGnatt[[#This Row],[Start Date]]+ProposalToGnatt[[#This Row],[Days]]),$G$5,"")),"")</f>
        <v/>
      </c>
      <c r="AQ56" s="36" t="str">
        <f ca="1">IFERROR(+IF(AQ$27=ProposalToGnatt[[#This Row],[Start Date]],Milestone_Marker,IF(AND(AQ$27&gt;ProposalToGnatt[[#This Row],[Start Date]],AQ$27&lt;ProposalToGnatt[[#This Row],[Start Date]]+ProposalToGnatt[[#This Row],[Days]]),$G$5,"")),"")</f>
        <v/>
      </c>
      <c r="AR56" s="36" t="str">
        <f ca="1">IFERROR(+IF(AR$27=ProposalToGnatt[[#This Row],[Start Date]],Milestone_Marker,IF(AND(AR$27&gt;ProposalToGnatt[[#This Row],[Start Date]],AR$27&lt;ProposalToGnatt[[#This Row],[Start Date]]+ProposalToGnatt[[#This Row],[Days]]),$G$5,"")),"")</f>
        <v/>
      </c>
      <c r="AS56" s="36" t="str">
        <f ca="1">IFERROR(+IF(AS$27=ProposalToGnatt[[#This Row],[Start Date]],Milestone_Marker,IF(AND(AS$27&gt;ProposalToGnatt[[#This Row],[Start Date]],AS$27&lt;ProposalToGnatt[[#This Row],[Start Date]]+ProposalToGnatt[[#This Row],[Days]]),$G$5,"")),"")</f>
        <v/>
      </c>
      <c r="AT56" s="36" t="str">
        <f ca="1">IFERROR(+IF(AT$27=ProposalToGnatt[[#This Row],[Start Date]],Milestone_Marker,IF(AND(AT$27&gt;ProposalToGnatt[[#This Row],[Start Date]],AT$27&lt;ProposalToGnatt[[#This Row],[Start Date]]+ProposalToGnatt[[#This Row],[Days]]),$G$5,"")),"")</f>
        <v/>
      </c>
      <c r="AU56" s="36" t="str">
        <f ca="1">IFERROR(+IF(AU$27=ProposalToGnatt[[#This Row],[Start Date]],Milestone_Marker,IF(AND(AU$27&gt;ProposalToGnatt[[#This Row],[Start Date]],AU$27&lt;ProposalToGnatt[[#This Row],[Start Date]]+ProposalToGnatt[[#This Row],[Days]]),$G$5,"")),"")</f>
        <v/>
      </c>
      <c r="AV56" s="36" t="str">
        <f ca="1">IFERROR(+IF(AV$27=ProposalToGnatt[[#This Row],[Start Date]],Milestone_Marker,IF(AND(AV$27&gt;ProposalToGnatt[[#This Row],[Start Date]],AV$27&lt;ProposalToGnatt[[#This Row],[Start Date]]+ProposalToGnatt[[#This Row],[Days]]),$G$5,"")),"")</f>
        <v/>
      </c>
      <c r="AW56" s="36" t="str">
        <f ca="1">IFERROR(+IF(AW$27=ProposalToGnatt[[#This Row],[Start Date]],Milestone_Marker,IF(AND(AW$27&gt;ProposalToGnatt[[#This Row],[Start Date]],AW$27&lt;ProposalToGnatt[[#This Row],[Start Date]]+ProposalToGnatt[[#This Row],[Days]]),$G$5,"")),"")</f>
        <v/>
      </c>
      <c r="AX56" s="36" t="str">
        <f ca="1">IFERROR(+IF(AX$27=ProposalToGnatt[[#This Row],[Start Date]],Milestone_Marker,IF(AND(AX$27&gt;ProposalToGnatt[[#This Row],[Start Date]],AX$27&lt;ProposalToGnatt[[#This Row],[Start Date]]+ProposalToGnatt[[#This Row],[Days]]),$G$5,"")),"")</f>
        <v/>
      </c>
      <c r="AY56" s="36" t="str">
        <f ca="1">IFERROR(+IF(AY$27=ProposalToGnatt[[#This Row],[Start Date]],Milestone_Marker,IF(AND(AY$27&gt;ProposalToGnatt[[#This Row],[Start Date]],AY$27&lt;ProposalToGnatt[[#This Row],[Start Date]]+ProposalToGnatt[[#This Row],[Days]]),$G$5,"")),"")</f>
        <v/>
      </c>
      <c r="AZ56" s="36" t="str">
        <f ca="1">IFERROR(+IF(AZ$27=ProposalToGnatt[[#This Row],[Start Date]],Milestone_Marker,IF(AND(AZ$27&gt;ProposalToGnatt[[#This Row],[Start Date]],AZ$27&lt;ProposalToGnatt[[#This Row],[Start Date]]+ProposalToGnatt[[#This Row],[Days]]),$G$5,"")),"")</f>
        <v/>
      </c>
      <c r="BA56" s="36" t="str">
        <f ca="1">IFERROR(+IF(BA$27=ProposalToGnatt[[#This Row],[Start Date]],Milestone_Marker,IF(AND(BA$27&gt;ProposalToGnatt[[#This Row],[Start Date]],BA$27&lt;ProposalToGnatt[[#This Row],[Start Date]]+ProposalToGnatt[[#This Row],[Days]]),$G$5,"")),"")</f>
        <v/>
      </c>
      <c r="BB56" s="36" t="str">
        <f ca="1">IFERROR(+IF(BB$27=ProposalToGnatt[[#This Row],[Start Date]],Milestone_Marker,IF(AND(BB$27&gt;ProposalToGnatt[[#This Row],[Start Date]],BB$27&lt;ProposalToGnatt[[#This Row],[Start Date]]+ProposalToGnatt[[#This Row],[Days]]),$G$5,"")),"")</f>
        <v/>
      </c>
      <c r="BC56" s="36" t="str">
        <f ca="1">IFERROR(+IF(BC$27=ProposalToGnatt[[#This Row],[Start Date]],Milestone_Marker,IF(AND(BC$27&gt;ProposalToGnatt[[#This Row],[Start Date]],BC$27&lt;ProposalToGnatt[[#This Row],[Start Date]]+ProposalToGnatt[[#This Row],[Days]]),$G$5,"")),"")</f>
        <v/>
      </c>
      <c r="BD56" s="36" t="str">
        <f ca="1">IFERROR(+IF(BD$27=ProposalToGnatt[[#This Row],[Start Date]],Milestone_Marker,IF(AND(BD$27&gt;ProposalToGnatt[[#This Row],[Start Date]],BD$27&lt;ProposalToGnatt[[#This Row],[Start Date]]+ProposalToGnatt[[#This Row],[Days]]),$G$5,"")),"")</f>
        <v/>
      </c>
      <c r="BE56" s="36" t="str">
        <f ca="1">IFERROR(+IF(BE$27=ProposalToGnatt[[#This Row],[Start Date]],Milestone_Marker,IF(AND(BE$27&gt;ProposalToGnatt[[#This Row],[Start Date]],BE$27&lt;ProposalToGnatt[[#This Row],[Start Date]]+ProposalToGnatt[[#This Row],[Days]]),$G$5,"")),"")</f>
        <v/>
      </c>
      <c r="BF56" s="36" t="str">
        <f ca="1">IFERROR(+IF(BF$27=ProposalToGnatt[[#This Row],[Start Date]],Milestone_Marker,IF(AND(BF$27&gt;ProposalToGnatt[[#This Row],[Start Date]],BF$27&lt;ProposalToGnatt[[#This Row],[Start Date]]+ProposalToGnatt[[#This Row],[Days]]),$G$5,"")),"")</f>
        <v/>
      </c>
      <c r="BG56" s="36" t="str">
        <f ca="1">IFERROR(+IF(BG$27=ProposalToGnatt[[#This Row],[Start Date]],Milestone_Marker,IF(AND(BG$27&gt;ProposalToGnatt[[#This Row],[Start Date]],BG$27&lt;ProposalToGnatt[[#This Row],[Start Date]]+ProposalToGnatt[[#This Row],[Days]]),$G$5,"")),"")</f>
        <v/>
      </c>
      <c r="BH56" s="36" t="str">
        <f ca="1">IFERROR(+IF(BH$27=ProposalToGnatt[[#This Row],[Start Date]],Milestone_Marker,IF(AND(BH$27&gt;ProposalToGnatt[[#This Row],[Start Date]],BH$27&lt;ProposalToGnatt[[#This Row],[Start Date]]+ProposalToGnatt[[#This Row],[Days]]),$G$5,"")),"")</f>
        <v/>
      </c>
      <c r="BI56" s="36" t="str">
        <f ca="1">IFERROR(+IF(BI$27=ProposalToGnatt[[#This Row],[Start Date]],Milestone_Marker,IF(AND(BI$27&gt;ProposalToGnatt[[#This Row],[Start Date]],BI$27&lt;ProposalToGnatt[[#This Row],[Start Date]]+ProposalToGnatt[[#This Row],[Days]]),$G$5,"")),"")</f>
        <v/>
      </c>
      <c r="BJ56" s="36" t="str">
        <f ca="1">IFERROR(+IF(BJ$27=ProposalToGnatt[[#This Row],[Start Date]],Milestone_Marker,IF(AND(BJ$27&gt;ProposalToGnatt[[#This Row],[Start Date]],BJ$27&lt;ProposalToGnatt[[#This Row],[Start Date]]+ProposalToGnatt[[#This Row],[Days]]),$G$5,"")),"")</f>
        <v/>
      </c>
      <c r="BK56" s="36" t="str">
        <f ca="1">IFERROR(+IF(BK$27=ProposalToGnatt[[#This Row],[Start Date]],Milestone_Marker,IF(AND(BK$27&gt;ProposalToGnatt[[#This Row],[Start Date]],BK$27&lt;ProposalToGnatt[[#This Row],[Start Date]]+ProposalToGnatt[[#This Row],[Days]]),$G$5,"")),"")</f>
        <v/>
      </c>
      <c r="BL56" s="36" t="str">
        <f ca="1">IFERROR(+IF(BL$27=ProposalToGnatt[[#This Row],[Start Date]],Milestone_Marker,IF(AND(BL$27&gt;ProposalToGnatt[[#This Row],[Start Date]],BL$27&lt;ProposalToGnatt[[#This Row],[Start Date]]+ProposalToGnatt[[#This Row],[Days]]),$G$5,"")),"")</f>
        <v/>
      </c>
      <c r="BM56" s="36" t="str">
        <f ca="1">IFERROR(+IF(BM$27=ProposalToGnatt[[#This Row],[Start Date]],Milestone_Marker,IF(AND(BM$27&gt;ProposalToGnatt[[#This Row],[Start Date]],BM$27&lt;ProposalToGnatt[[#This Row],[Start Date]]+ProposalToGnatt[[#This Row],[Days]]),$G$5,"")),"")</f>
        <v/>
      </c>
      <c r="BN56" s="36" t="str">
        <f ca="1">IFERROR(+IF(BN$27=ProposalToGnatt[[#This Row],[Start Date]],Milestone_Marker,IF(AND(BN$27&gt;ProposalToGnatt[[#This Row],[Start Date]],BN$27&lt;ProposalToGnatt[[#This Row],[Start Date]]+ProposalToGnatt[[#This Row],[Days]]),$G$5,"")),"")</f>
        <v/>
      </c>
      <c r="BO56" s="36" t="str">
        <f ca="1">IFERROR(+IF(BO$27=ProposalToGnatt[[#This Row],[Start Date]],Milestone_Marker,IF(AND(BO$27&gt;ProposalToGnatt[[#This Row],[Start Date]],BO$27&lt;ProposalToGnatt[[#This Row],[Start Date]]+ProposalToGnatt[[#This Row],[Days]]),$G$5,"")),"")</f>
        <v/>
      </c>
      <c r="BP56" s="36" t="str">
        <f ca="1">IFERROR(+IF(BP$27=ProposalToGnatt[[#This Row],[Start Date]],Milestone_Marker,IF(AND(BP$27&gt;ProposalToGnatt[[#This Row],[Start Date]],BP$27&lt;ProposalToGnatt[[#This Row],[Start Date]]+ProposalToGnatt[[#This Row],[Days]]),$G$5,"")),"")</f>
        <v/>
      </c>
      <c r="BQ56" s="36" t="str">
        <f ca="1">IFERROR(+IF(BQ$27=ProposalToGnatt[[#This Row],[Start Date]],Milestone_Marker,IF(AND(BQ$27&gt;ProposalToGnatt[[#This Row],[Start Date]],BQ$27&lt;ProposalToGnatt[[#This Row],[Start Date]]+ProposalToGnatt[[#This Row],[Days]]),$G$5,"")),"")</f>
        <v/>
      </c>
      <c r="BR56" s="36" t="str">
        <f ca="1">IFERROR(+IF(BR$27=ProposalToGnatt[[#This Row],[Start Date]],Milestone_Marker,IF(AND(BR$27&gt;ProposalToGnatt[[#This Row],[Start Date]],BR$27&lt;ProposalToGnatt[[#This Row],[Start Date]]+ProposalToGnatt[[#This Row],[Days]]),$G$5,"")),"")</f>
        <v/>
      </c>
      <c r="BS56" s="36" t="str">
        <f ca="1">IFERROR(+IF(BS$27=ProposalToGnatt[[#This Row],[Start Date]],Milestone_Marker,IF(AND(BS$27&gt;ProposalToGnatt[[#This Row],[Start Date]],BS$27&lt;ProposalToGnatt[[#This Row],[Start Date]]+ProposalToGnatt[[#This Row],[Days]]),$G$5,"")),"")</f>
        <v/>
      </c>
      <c r="BT56" s="36" t="str">
        <f ca="1">IFERROR(+IF(BT$27=ProposalToGnatt[[#This Row],[Start Date]],Milestone_Marker,IF(AND(BT$27&gt;ProposalToGnatt[[#This Row],[Start Date]],BT$27&lt;ProposalToGnatt[[#This Row],[Start Date]]+ProposalToGnatt[[#This Row],[Days]]),$G$5,"")),"")</f>
        <v/>
      </c>
      <c r="BU56" s="36" t="str">
        <f ca="1">IFERROR(+IF(BU$27=ProposalToGnatt[[#This Row],[Start Date]],Milestone_Marker,IF(AND(BU$27&gt;ProposalToGnatt[[#This Row],[Start Date]],BU$27&lt;ProposalToGnatt[[#This Row],[Start Date]]+ProposalToGnatt[[#This Row],[Days]]),$G$5,"")),"")</f>
        <v/>
      </c>
      <c r="BV56" s="36" t="str">
        <f ca="1">IFERROR(+IF(BV$27=ProposalToGnatt[[#This Row],[Start Date]],Milestone_Marker,IF(AND(BV$27&gt;ProposalToGnatt[[#This Row],[Start Date]],BV$27&lt;ProposalToGnatt[[#This Row],[Start Date]]+ProposalToGnatt[[#This Row],[Days]]),$G$5,"")),"")</f>
        <v/>
      </c>
      <c r="BW56" s="36" t="str">
        <f ca="1">IFERROR(+IF(BW$27=ProposalToGnatt[[#This Row],[Start Date]],Milestone_Marker,IF(AND(BW$27&gt;ProposalToGnatt[[#This Row],[Start Date]],BW$27&lt;ProposalToGnatt[[#This Row],[Start Date]]+ProposalToGnatt[[#This Row],[Days]]),$G$5,"")),"")</f>
        <v/>
      </c>
      <c r="BX56" s="36" t="str">
        <f ca="1">IFERROR(+IF(BX$27=ProposalToGnatt[[#This Row],[Start Date]],Milestone_Marker,IF(AND(BX$27&gt;ProposalToGnatt[[#This Row],[Start Date]],BX$27&lt;ProposalToGnatt[[#This Row],[Start Date]]+ProposalToGnatt[[#This Row],[Days]]),$G$5,"")),"")</f>
        <v/>
      </c>
      <c r="BY56" s="36" t="str">
        <f ca="1">IFERROR(+IF(BY$27=ProposalToGnatt[[#This Row],[Start Date]],Milestone_Marker,IF(AND(BY$27&gt;ProposalToGnatt[[#This Row],[Start Date]],BY$27&lt;ProposalToGnatt[[#This Row],[Start Date]]+ProposalToGnatt[[#This Row],[Days]]),$G$5,"")),"")</f>
        <v/>
      </c>
      <c r="BZ56" s="36" t="str">
        <f ca="1">IFERROR(+IF(BZ$27=ProposalToGnatt[[#This Row],[Start Date]],Milestone_Marker,IF(AND(BZ$27&gt;ProposalToGnatt[[#This Row],[Start Date]],BZ$27&lt;ProposalToGnatt[[#This Row],[Start Date]]+ProposalToGnatt[[#This Row],[Days]]),$G$5,"")),"")</f>
        <v/>
      </c>
      <c r="CA56" s="36" t="str">
        <f ca="1">IFERROR(+IF(CA$27=ProposalToGnatt[[#This Row],[Start Date]],Milestone_Marker,IF(AND(CA$27&gt;ProposalToGnatt[[#This Row],[Start Date]],CA$27&lt;ProposalToGnatt[[#This Row],[Start Date]]+ProposalToGnatt[[#This Row],[Days]]),$G$5,"")),"")</f>
        <v/>
      </c>
      <c r="CB56" s="36" t="str">
        <f ca="1">IFERROR(+IF(CB$27=ProposalToGnatt[[#This Row],[Start Date]],Milestone_Marker,IF(AND(CB$27&gt;ProposalToGnatt[[#This Row],[Start Date]],CB$27&lt;ProposalToGnatt[[#This Row],[Start Date]]+ProposalToGnatt[[#This Row],[Days]]),$G$5,"")),"")</f>
        <v/>
      </c>
      <c r="CC56" s="36" t="str">
        <f ca="1">IFERROR(+IF(CC$27=ProposalToGnatt[[#This Row],[Start Date]],Milestone_Marker,IF(AND(CC$27&gt;ProposalToGnatt[[#This Row],[Start Date]],CC$27&lt;ProposalToGnatt[[#This Row],[Start Date]]+ProposalToGnatt[[#This Row],[Days]]),$G$5,"")),"")</f>
        <v/>
      </c>
      <c r="CD56" s="36" t="str">
        <f ca="1">IFERROR(+IF(CD$27=ProposalToGnatt[[#This Row],[Start Date]],Milestone_Marker,IF(AND(CD$27&gt;ProposalToGnatt[[#This Row],[Start Date]],CD$27&lt;ProposalToGnatt[[#This Row],[Start Date]]+ProposalToGnatt[[#This Row],[Days]]),$G$5,"")),"")</f>
        <v/>
      </c>
      <c r="CE56" s="36" t="str">
        <f ca="1">IFERROR(+IF(CE$27=ProposalToGnatt[[#This Row],[Start Date]],Milestone_Marker,IF(AND(CE$27&gt;ProposalToGnatt[[#This Row],[Start Date]],CE$27&lt;ProposalToGnatt[[#This Row],[Start Date]]+ProposalToGnatt[[#This Row],[Days]]),$G$5,"")),"")</f>
        <v/>
      </c>
      <c r="CF56" s="36" t="str">
        <f ca="1">IFERROR(+IF(CF$27=ProposalToGnatt[[#This Row],[Start Date]],Milestone_Marker,IF(AND(CF$27&gt;ProposalToGnatt[[#This Row],[Start Date]],CF$27&lt;ProposalToGnatt[[#This Row],[Start Date]]+ProposalToGnatt[[#This Row],[Days]]),$G$5,"")),"")</f>
        <v/>
      </c>
      <c r="CG56" s="36" t="str">
        <f ca="1">IFERROR(+IF(CG$27=ProposalToGnatt[[#This Row],[Start Date]],Milestone_Marker,IF(AND(CG$27&gt;ProposalToGnatt[[#This Row],[Start Date]],CG$27&lt;ProposalToGnatt[[#This Row],[Start Date]]+ProposalToGnatt[[#This Row],[Days]]),$G$5,"")),"")</f>
        <v/>
      </c>
      <c r="CH56" s="36" t="str">
        <f ca="1">IFERROR(+IF(CH$27=ProposalToGnatt[[#This Row],[Start Date]],Milestone_Marker,IF(AND(CH$27&gt;ProposalToGnatt[[#This Row],[Start Date]],CH$27&lt;ProposalToGnatt[[#This Row],[Start Date]]+ProposalToGnatt[[#This Row],[Days]]),$G$5,"")),"")</f>
        <v/>
      </c>
      <c r="CI56" s="36" t="str">
        <f ca="1">IFERROR(+IF(CI$27=ProposalToGnatt[[#This Row],[Start Date]],Milestone_Marker,IF(AND(CI$27&gt;ProposalToGnatt[[#This Row],[Start Date]],CI$27&lt;ProposalToGnatt[[#This Row],[Start Date]]+ProposalToGnatt[[#This Row],[Days]]),$G$5,"")),"")</f>
        <v/>
      </c>
      <c r="CJ56" s="36" t="str">
        <f ca="1">IFERROR(+IF(CJ$27=ProposalToGnatt[[#This Row],[Start Date]],Milestone_Marker,IF(AND(CJ$27&gt;ProposalToGnatt[[#This Row],[Start Date]],CJ$27&lt;ProposalToGnatt[[#This Row],[Start Date]]+ProposalToGnatt[[#This Row],[Days]]),$G$5,"")),"")</f>
        <v/>
      </c>
      <c r="CK56" s="36" t="str">
        <f ca="1">IFERROR(+IF(CK$27=ProposalToGnatt[[#This Row],[Start Date]],Milestone_Marker,IF(AND(CK$27&gt;ProposalToGnatt[[#This Row],[Start Date]],CK$27&lt;ProposalToGnatt[[#This Row],[Start Date]]+ProposalToGnatt[[#This Row],[Days]]),$G$5,"")),"")</f>
        <v/>
      </c>
      <c r="CL56" s="36" t="str">
        <f ca="1">IFERROR(+IF(CL$27=ProposalToGnatt[[#This Row],[Start Date]],Milestone_Marker,IF(AND(CL$27&gt;ProposalToGnatt[[#This Row],[Start Date]],CL$27&lt;ProposalToGnatt[[#This Row],[Start Date]]+ProposalToGnatt[[#This Row],[Days]]),$G$5,"")),"")</f>
        <v/>
      </c>
      <c r="CM56" s="36" t="str">
        <f ca="1">IFERROR(+IF(CM$27=ProposalToGnatt[[#This Row],[Start Date]],Milestone_Marker,IF(AND(CM$27&gt;ProposalToGnatt[[#This Row],[Start Date]],CM$27&lt;ProposalToGnatt[[#This Row],[Start Date]]+ProposalToGnatt[[#This Row],[Days]]),$G$5,"")),"")</f>
        <v/>
      </c>
      <c r="CN56" s="36" t="str">
        <f ca="1">IFERROR(+IF(CN$27=ProposalToGnatt[[#This Row],[Start Date]],Milestone_Marker,IF(AND(CN$27&gt;ProposalToGnatt[[#This Row],[Start Date]],CN$27&lt;ProposalToGnatt[[#This Row],[Start Date]]+ProposalToGnatt[[#This Row],[Days]]),$G$5,"")),"")</f>
        <v/>
      </c>
      <c r="CO56" s="36" t="str">
        <f ca="1">IFERROR(+IF(CO$27=ProposalToGnatt[[#This Row],[Start Date]],Milestone_Marker,IF(AND(CO$27&gt;ProposalToGnatt[[#This Row],[Start Date]],CO$27&lt;ProposalToGnatt[[#This Row],[Start Date]]+ProposalToGnatt[[#This Row],[Days]]),$G$5,"")),"")</f>
        <v/>
      </c>
      <c r="CP56" s="36" t="str">
        <f ca="1">IFERROR(+IF(CP$27=ProposalToGnatt[[#This Row],[Start Date]],Milestone_Marker,IF(AND(CP$27&gt;ProposalToGnatt[[#This Row],[Start Date]],CP$27&lt;ProposalToGnatt[[#This Row],[Start Date]]+ProposalToGnatt[[#This Row],[Days]]),$G$5,"")),"")</f>
        <v/>
      </c>
      <c r="CQ56" s="36" t="str">
        <f ca="1">IFERROR(+IF(CQ$27=ProposalToGnatt[[#This Row],[Start Date]],Milestone_Marker,IF(AND(CQ$27&gt;ProposalToGnatt[[#This Row],[Start Date]],CQ$27&lt;ProposalToGnatt[[#This Row],[Start Date]]+ProposalToGnatt[[#This Row],[Days]]),$G$5,"")),"")</f>
        <v/>
      </c>
      <c r="CR56" s="36" t="str">
        <f ca="1">IFERROR(+IF(CR$27=ProposalToGnatt[[#This Row],[Start Date]],Milestone_Marker,IF(AND(CR$27&gt;ProposalToGnatt[[#This Row],[Start Date]],CR$27&lt;ProposalToGnatt[[#This Row],[Start Date]]+ProposalToGnatt[[#This Row],[Days]]),$G$5,"")),"")</f>
        <v/>
      </c>
      <c r="CS56" s="36" t="str">
        <f ca="1">IFERROR(+IF(CS$27=ProposalToGnatt[[#This Row],[Start Date]],Milestone_Marker,IF(AND(CS$27&gt;ProposalToGnatt[[#This Row],[Start Date]],CS$27&lt;ProposalToGnatt[[#This Row],[Start Date]]+ProposalToGnatt[[#This Row],[Days]]),$G$5,"")),"")</f>
        <v/>
      </c>
      <c r="CT56" s="36" t="str">
        <f ca="1">IFERROR(+IF(CT$27=ProposalToGnatt[[#This Row],[Start Date]],Milestone_Marker,IF(AND(CT$27&gt;ProposalToGnatt[[#This Row],[Start Date]],CT$27&lt;ProposalToGnatt[[#This Row],[Start Date]]+ProposalToGnatt[[#This Row],[Days]]),$G$5,"")),"")</f>
        <v/>
      </c>
      <c r="CU56" s="36" t="str">
        <f ca="1">IFERROR(+IF(CU$27=ProposalToGnatt[[#This Row],[Start Date]],Milestone_Marker,IF(AND(CU$27&gt;ProposalToGnatt[[#This Row],[Start Date]],CU$27&lt;ProposalToGnatt[[#This Row],[Start Date]]+ProposalToGnatt[[#This Row],[Days]]),$G$5,"")),"")</f>
        <v/>
      </c>
      <c r="CV56" s="36"/>
      <c r="CW56" s="36"/>
      <c r="CX56" s="36"/>
      <c r="CY56" s="36"/>
      <c r="CZ56" s="36"/>
      <c r="DA56" s="36"/>
      <c r="DB56" s="36"/>
      <c r="DC56" s="36"/>
      <c r="DD56" s="36"/>
      <c r="DE56" s="36"/>
      <c r="DF56" s="36"/>
      <c r="DG56" s="36"/>
      <c r="DH56" s="36"/>
      <c r="DI56" s="36"/>
      <c r="DJ56" s="36"/>
      <c r="DK56" s="36"/>
      <c r="DL56" s="36"/>
      <c r="DM56" s="36"/>
      <c r="DN56" s="36"/>
      <c r="DO56" s="36"/>
      <c r="DP56" s="36"/>
      <c r="DQ56" s="36"/>
      <c r="DR56" s="36"/>
      <c r="DS56" s="36"/>
      <c r="DT56" s="36"/>
      <c r="DU56" s="36"/>
    </row>
    <row r="57" spans="1:125" s="41" customFormat="1" ht="15" x14ac:dyDescent="0.25">
      <c r="A57"/>
      <c r="B57"/>
      <c r="C57"/>
      <c r="D57"/>
      <c r="E57"/>
      <c r="F57"/>
      <c r="G57" s="14"/>
      <c r="H57" s="14"/>
      <c r="I57"/>
      <c r="J57"/>
      <c r="K57" s="246"/>
      <c r="L57"/>
      <c r="M57" s="14"/>
      <c r="N57" s="299"/>
      <c r="O57" s="281"/>
      <c r="P57" s="36" t="str">
        <f ca="1">IFERROR(+IF(P$27=ProposalToGnatt[[#This Row],[Start Date]],Milestone_Marker,IF(AND(P$27&gt;ProposalToGnatt[[#This Row],[Start Date]],P$27&lt;ProposalToGnatt[[#This Row],[Start Date]]+ProposalToGnatt[[#This Row],[Days]]),$G$5,"")),"")</f>
        <v/>
      </c>
      <c r="Q57" s="36" t="str">
        <f ca="1">IFERROR(+IF(Q$27=ProposalToGnatt[[#This Row],[Start Date]],Milestone_Marker,IF(AND(Q$27&gt;ProposalToGnatt[[#This Row],[Start Date]],Q$27&lt;ProposalToGnatt[[#This Row],[Start Date]]+ProposalToGnatt[[#This Row],[Days]]),$G$5,"")),"")</f>
        <v/>
      </c>
      <c r="R57" s="36" t="str">
        <f ca="1">IFERROR(+IF(R$27=ProposalToGnatt[[#This Row],[Start Date]],Milestone_Marker,IF(AND(R$27&gt;ProposalToGnatt[[#This Row],[Start Date]],R$27&lt;ProposalToGnatt[[#This Row],[Start Date]]+ProposalToGnatt[[#This Row],[Days]]),$G$5,"")),"")</f>
        <v/>
      </c>
      <c r="S57" s="36" t="str">
        <f ca="1">IFERROR(+IF(S$27=ProposalToGnatt[[#This Row],[Start Date]],Milestone_Marker,IF(AND(S$27&gt;ProposalToGnatt[[#This Row],[Start Date]],S$27&lt;ProposalToGnatt[[#This Row],[Start Date]]+ProposalToGnatt[[#This Row],[Days]]),$G$5,"")),"")</f>
        <v/>
      </c>
      <c r="T57" s="36" t="str">
        <f ca="1">IFERROR(+IF(T$27=ProposalToGnatt[[#This Row],[Start Date]],Milestone_Marker,IF(AND(T$27&gt;ProposalToGnatt[[#This Row],[Start Date]],T$27&lt;ProposalToGnatt[[#This Row],[Start Date]]+ProposalToGnatt[[#This Row],[Days]]),$G$5,"")),"")</f>
        <v/>
      </c>
      <c r="U57" s="36" t="str">
        <f ca="1">IFERROR(+IF(U$27=ProposalToGnatt[[#This Row],[Start Date]],Milestone_Marker,IF(AND(U$27&gt;ProposalToGnatt[[#This Row],[Start Date]],U$27&lt;ProposalToGnatt[[#This Row],[Start Date]]+ProposalToGnatt[[#This Row],[Days]]),$G$5,"")),"")</f>
        <v/>
      </c>
      <c r="V57" s="36" t="str">
        <f ca="1">IFERROR(+IF(V$27=ProposalToGnatt[[#This Row],[Start Date]],Milestone_Marker,IF(AND(V$27&gt;ProposalToGnatt[[#This Row],[Start Date]],V$27&lt;ProposalToGnatt[[#This Row],[Start Date]]+ProposalToGnatt[[#This Row],[Days]]),$G$5,"")),"")</f>
        <v/>
      </c>
      <c r="W57" s="36" t="str">
        <f ca="1">IFERROR(+IF(W$27=ProposalToGnatt[[#This Row],[Start Date]],Milestone_Marker,IF(AND(W$27&gt;ProposalToGnatt[[#This Row],[Start Date]],W$27&lt;ProposalToGnatt[[#This Row],[Start Date]]+ProposalToGnatt[[#This Row],[Days]]),$G$5,"")),"")</f>
        <v/>
      </c>
      <c r="X57" s="36" t="str">
        <f ca="1">IFERROR(+IF(X$27=ProposalToGnatt[[#This Row],[Start Date]],Milestone_Marker,IF(AND(X$27&gt;ProposalToGnatt[[#This Row],[Start Date]],X$27&lt;ProposalToGnatt[[#This Row],[Start Date]]+ProposalToGnatt[[#This Row],[Days]]),$G$5,"")),"")</f>
        <v/>
      </c>
      <c r="Y57" s="36" t="str">
        <f ca="1">IFERROR(+IF(Y$27=ProposalToGnatt[[#This Row],[Start Date]],Milestone_Marker,IF(AND(Y$27&gt;ProposalToGnatt[[#This Row],[Start Date]],Y$27&lt;ProposalToGnatt[[#This Row],[Start Date]]+ProposalToGnatt[[#This Row],[Days]]),$G$5,"")),"")</f>
        <v/>
      </c>
      <c r="Z57" s="36" t="str">
        <f ca="1">IFERROR(+IF(Z$27=ProposalToGnatt[[#This Row],[Start Date]],Milestone_Marker,IF(AND(Z$27&gt;ProposalToGnatt[[#This Row],[Start Date]],Z$27&lt;ProposalToGnatt[[#This Row],[Start Date]]+ProposalToGnatt[[#This Row],[Days]]),$G$5,"")),"")</f>
        <v/>
      </c>
      <c r="AA57" s="36" t="str">
        <f ca="1">IFERROR(+IF(AA$27=ProposalToGnatt[[#This Row],[Start Date]],Milestone_Marker,IF(AND(AA$27&gt;ProposalToGnatt[[#This Row],[Start Date]],AA$27&lt;ProposalToGnatt[[#This Row],[Start Date]]+ProposalToGnatt[[#This Row],[Days]]),$G$5,"")),"")</f>
        <v/>
      </c>
      <c r="AB57" s="36" t="str">
        <f ca="1">IFERROR(+IF(AB$27=ProposalToGnatt[[#This Row],[Start Date]],Milestone_Marker,IF(AND(AB$27&gt;ProposalToGnatt[[#This Row],[Start Date]],AB$27&lt;ProposalToGnatt[[#This Row],[Start Date]]+ProposalToGnatt[[#This Row],[Days]]),$G$5,"")),"")</f>
        <v/>
      </c>
      <c r="AC57" s="36" t="str">
        <f ca="1">IFERROR(+IF(AC$27=ProposalToGnatt[[#This Row],[Start Date]],Milestone_Marker,IF(AND(AC$27&gt;ProposalToGnatt[[#This Row],[Start Date]],AC$27&lt;ProposalToGnatt[[#This Row],[Start Date]]+ProposalToGnatt[[#This Row],[Days]]),$G$5,"")),"")</f>
        <v/>
      </c>
      <c r="AD57" s="36" t="str">
        <f ca="1">IFERROR(+IF(AD$27=ProposalToGnatt[[#This Row],[Start Date]],Milestone_Marker,IF(AND(AD$27&gt;ProposalToGnatt[[#This Row],[Start Date]],AD$27&lt;ProposalToGnatt[[#This Row],[Start Date]]+ProposalToGnatt[[#This Row],[Days]]),$G$5,"")),"")</f>
        <v/>
      </c>
      <c r="AE57" s="36" t="str">
        <f ca="1">IFERROR(+IF(AE$27=ProposalToGnatt[[#This Row],[Start Date]],Milestone_Marker,IF(AND(AE$27&gt;ProposalToGnatt[[#This Row],[Start Date]],AE$27&lt;ProposalToGnatt[[#This Row],[Start Date]]+ProposalToGnatt[[#This Row],[Days]]),$G$5,"")),"")</f>
        <v/>
      </c>
      <c r="AF57" s="36" t="str">
        <f ca="1">IFERROR(+IF(AF$27=ProposalToGnatt[[#This Row],[Start Date]],Milestone_Marker,IF(AND(AF$27&gt;ProposalToGnatt[[#This Row],[Start Date]],AF$27&lt;ProposalToGnatt[[#This Row],[Start Date]]+ProposalToGnatt[[#This Row],[Days]]),$G$5,"")),"")</f>
        <v/>
      </c>
      <c r="AG57" s="36" t="str">
        <f ca="1">IFERROR(+IF(AG$27=ProposalToGnatt[[#This Row],[Start Date]],Milestone_Marker,IF(AND(AG$27&gt;ProposalToGnatt[[#This Row],[Start Date]],AG$27&lt;ProposalToGnatt[[#This Row],[Start Date]]+ProposalToGnatt[[#This Row],[Days]]),$G$5,"")),"")</f>
        <v/>
      </c>
      <c r="AH57" s="36" t="str">
        <f ca="1">IFERROR(+IF(AH$27=ProposalToGnatt[[#This Row],[Start Date]],Milestone_Marker,IF(AND(AH$27&gt;ProposalToGnatt[[#This Row],[Start Date]],AH$27&lt;ProposalToGnatt[[#This Row],[Start Date]]+ProposalToGnatt[[#This Row],[Days]]),$G$5,"")),"")</f>
        <v/>
      </c>
      <c r="AI57" s="36" t="str">
        <f ca="1">IFERROR(+IF(AI$27=ProposalToGnatt[[#This Row],[Start Date]],Milestone_Marker,IF(AND(AI$27&gt;ProposalToGnatt[[#This Row],[Start Date]],AI$27&lt;ProposalToGnatt[[#This Row],[Start Date]]+ProposalToGnatt[[#This Row],[Days]]),$G$5,"")),"")</f>
        <v/>
      </c>
      <c r="AJ57" s="36" t="str">
        <f ca="1">IFERROR(+IF(AJ$27=ProposalToGnatt[[#This Row],[Start Date]],Milestone_Marker,IF(AND(AJ$27&gt;ProposalToGnatt[[#This Row],[Start Date]],AJ$27&lt;ProposalToGnatt[[#This Row],[Start Date]]+ProposalToGnatt[[#This Row],[Days]]),$G$5,"")),"")</f>
        <v/>
      </c>
      <c r="AK57" s="36" t="str">
        <f ca="1">IFERROR(+IF(AK$27=ProposalToGnatt[[#This Row],[Start Date]],Milestone_Marker,IF(AND(AK$27&gt;ProposalToGnatt[[#This Row],[Start Date]],AK$27&lt;ProposalToGnatt[[#This Row],[Start Date]]+ProposalToGnatt[[#This Row],[Days]]),$G$5,"")),"")</f>
        <v/>
      </c>
      <c r="AL57" s="36" t="str">
        <f ca="1">IFERROR(+IF(AL$27=ProposalToGnatt[[#This Row],[Start Date]],Milestone_Marker,IF(AND(AL$27&gt;ProposalToGnatt[[#This Row],[Start Date]],AL$27&lt;ProposalToGnatt[[#This Row],[Start Date]]+ProposalToGnatt[[#This Row],[Days]]),$G$5,"")),"")</f>
        <v/>
      </c>
      <c r="AM57" s="36" t="str">
        <f ca="1">IFERROR(+IF(AM$27=ProposalToGnatt[[#This Row],[Start Date]],Milestone_Marker,IF(AND(AM$27&gt;ProposalToGnatt[[#This Row],[Start Date]],AM$27&lt;ProposalToGnatt[[#This Row],[Start Date]]+ProposalToGnatt[[#This Row],[Days]]),$G$5,"")),"")</f>
        <v/>
      </c>
      <c r="AN57" s="36" t="str">
        <f ca="1">IFERROR(+IF(AN$27=ProposalToGnatt[[#This Row],[Start Date]],Milestone_Marker,IF(AND(AN$27&gt;ProposalToGnatt[[#This Row],[Start Date]],AN$27&lt;ProposalToGnatt[[#This Row],[Start Date]]+ProposalToGnatt[[#This Row],[Days]]),$G$5,"")),"")</f>
        <v/>
      </c>
      <c r="AO57" s="36" t="str">
        <f ca="1">IFERROR(+IF(AO$27=ProposalToGnatt[[#This Row],[Start Date]],Milestone_Marker,IF(AND(AO$27&gt;ProposalToGnatt[[#This Row],[Start Date]],AO$27&lt;ProposalToGnatt[[#This Row],[Start Date]]+ProposalToGnatt[[#This Row],[Days]]),$G$5,"")),"")</f>
        <v/>
      </c>
      <c r="AP57" s="36" t="str">
        <f ca="1">IFERROR(+IF(AP$27=ProposalToGnatt[[#This Row],[Start Date]],Milestone_Marker,IF(AND(AP$27&gt;ProposalToGnatt[[#This Row],[Start Date]],AP$27&lt;ProposalToGnatt[[#This Row],[Start Date]]+ProposalToGnatt[[#This Row],[Days]]),$G$5,"")),"")</f>
        <v/>
      </c>
      <c r="AQ57" s="36" t="str">
        <f ca="1">IFERROR(+IF(AQ$27=ProposalToGnatt[[#This Row],[Start Date]],Milestone_Marker,IF(AND(AQ$27&gt;ProposalToGnatt[[#This Row],[Start Date]],AQ$27&lt;ProposalToGnatt[[#This Row],[Start Date]]+ProposalToGnatt[[#This Row],[Days]]),$G$5,"")),"")</f>
        <v/>
      </c>
      <c r="AR57" s="36" t="str">
        <f ca="1">IFERROR(+IF(AR$27=ProposalToGnatt[[#This Row],[Start Date]],Milestone_Marker,IF(AND(AR$27&gt;ProposalToGnatt[[#This Row],[Start Date]],AR$27&lt;ProposalToGnatt[[#This Row],[Start Date]]+ProposalToGnatt[[#This Row],[Days]]),$G$5,"")),"")</f>
        <v/>
      </c>
      <c r="AS57" s="36" t="str">
        <f ca="1">IFERROR(+IF(AS$27=ProposalToGnatt[[#This Row],[Start Date]],Milestone_Marker,IF(AND(AS$27&gt;ProposalToGnatt[[#This Row],[Start Date]],AS$27&lt;ProposalToGnatt[[#This Row],[Start Date]]+ProposalToGnatt[[#This Row],[Days]]),$G$5,"")),"")</f>
        <v/>
      </c>
      <c r="AT57" s="36" t="str">
        <f ca="1">IFERROR(+IF(AT$27=ProposalToGnatt[[#This Row],[Start Date]],Milestone_Marker,IF(AND(AT$27&gt;ProposalToGnatt[[#This Row],[Start Date]],AT$27&lt;ProposalToGnatt[[#This Row],[Start Date]]+ProposalToGnatt[[#This Row],[Days]]),$G$5,"")),"")</f>
        <v/>
      </c>
      <c r="AU57" s="36" t="str">
        <f ca="1">IFERROR(+IF(AU$27=ProposalToGnatt[[#This Row],[Start Date]],Milestone_Marker,IF(AND(AU$27&gt;ProposalToGnatt[[#This Row],[Start Date]],AU$27&lt;ProposalToGnatt[[#This Row],[Start Date]]+ProposalToGnatt[[#This Row],[Days]]),$G$5,"")),"")</f>
        <v/>
      </c>
      <c r="AV57" s="36" t="str">
        <f ca="1">IFERROR(+IF(AV$27=ProposalToGnatt[[#This Row],[Start Date]],Milestone_Marker,IF(AND(AV$27&gt;ProposalToGnatt[[#This Row],[Start Date]],AV$27&lt;ProposalToGnatt[[#This Row],[Start Date]]+ProposalToGnatt[[#This Row],[Days]]),$G$5,"")),"")</f>
        <v/>
      </c>
      <c r="AW57" s="36" t="str">
        <f ca="1">IFERROR(+IF(AW$27=ProposalToGnatt[[#This Row],[Start Date]],Milestone_Marker,IF(AND(AW$27&gt;ProposalToGnatt[[#This Row],[Start Date]],AW$27&lt;ProposalToGnatt[[#This Row],[Start Date]]+ProposalToGnatt[[#This Row],[Days]]),$G$5,"")),"")</f>
        <v/>
      </c>
      <c r="AX57" s="36" t="str">
        <f ca="1">IFERROR(+IF(AX$27=ProposalToGnatt[[#This Row],[Start Date]],Milestone_Marker,IF(AND(AX$27&gt;ProposalToGnatt[[#This Row],[Start Date]],AX$27&lt;ProposalToGnatt[[#This Row],[Start Date]]+ProposalToGnatt[[#This Row],[Days]]),$G$5,"")),"")</f>
        <v/>
      </c>
      <c r="AY57" s="36" t="str">
        <f ca="1">IFERROR(+IF(AY$27=ProposalToGnatt[[#This Row],[Start Date]],Milestone_Marker,IF(AND(AY$27&gt;ProposalToGnatt[[#This Row],[Start Date]],AY$27&lt;ProposalToGnatt[[#This Row],[Start Date]]+ProposalToGnatt[[#This Row],[Days]]),$G$5,"")),"")</f>
        <v/>
      </c>
      <c r="AZ57" s="36" t="str">
        <f ca="1">IFERROR(+IF(AZ$27=ProposalToGnatt[[#This Row],[Start Date]],Milestone_Marker,IF(AND(AZ$27&gt;ProposalToGnatt[[#This Row],[Start Date]],AZ$27&lt;ProposalToGnatt[[#This Row],[Start Date]]+ProposalToGnatt[[#This Row],[Days]]),$G$5,"")),"")</f>
        <v/>
      </c>
      <c r="BA57" s="36" t="str">
        <f ca="1">IFERROR(+IF(BA$27=ProposalToGnatt[[#This Row],[Start Date]],Milestone_Marker,IF(AND(BA$27&gt;ProposalToGnatt[[#This Row],[Start Date]],BA$27&lt;ProposalToGnatt[[#This Row],[Start Date]]+ProposalToGnatt[[#This Row],[Days]]),$G$5,"")),"")</f>
        <v/>
      </c>
      <c r="BB57" s="36" t="str">
        <f ca="1">IFERROR(+IF(BB$27=ProposalToGnatt[[#This Row],[Start Date]],Milestone_Marker,IF(AND(BB$27&gt;ProposalToGnatt[[#This Row],[Start Date]],BB$27&lt;ProposalToGnatt[[#This Row],[Start Date]]+ProposalToGnatt[[#This Row],[Days]]),$G$5,"")),"")</f>
        <v/>
      </c>
      <c r="BC57" s="36" t="str">
        <f ca="1">IFERROR(+IF(BC$27=ProposalToGnatt[[#This Row],[Start Date]],Milestone_Marker,IF(AND(BC$27&gt;ProposalToGnatt[[#This Row],[Start Date]],BC$27&lt;ProposalToGnatt[[#This Row],[Start Date]]+ProposalToGnatt[[#This Row],[Days]]),$G$5,"")),"")</f>
        <v/>
      </c>
      <c r="BD57" s="36" t="str">
        <f ca="1">IFERROR(+IF(BD$27=ProposalToGnatt[[#This Row],[Start Date]],Milestone_Marker,IF(AND(BD$27&gt;ProposalToGnatt[[#This Row],[Start Date]],BD$27&lt;ProposalToGnatt[[#This Row],[Start Date]]+ProposalToGnatt[[#This Row],[Days]]),$G$5,"")),"")</f>
        <v/>
      </c>
      <c r="BE57" s="36" t="str">
        <f ca="1">IFERROR(+IF(BE$27=ProposalToGnatt[[#This Row],[Start Date]],Milestone_Marker,IF(AND(BE$27&gt;ProposalToGnatt[[#This Row],[Start Date]],BE$27&lt;ProposalToGnatt[[#This Row],[Start Date]]+ProposalToGnatt[[#This Row],[Days]]),$G$5,"")),"")</f>
        <v/>
      </c>
      <c r="BF57" s="36" t="str">
        <f ca="1">IFERROR(+IF(BF$27=ProposalToGnatt[[#This Row],[Start Date]],Milestone_Marker,IF(AND(BF$27&gt;ProposalToGnatt[[#This Row],[Start Date]],BF$27&lt;ProposalToGnatt[[#This Row],[Start Date]]+ProposalToGnatt[[#This Row],[Days]]),$G$5,"")),"")</f>
        <v/>
      </c>
      <c r="BG57" s="36" t="str">
        <f ca="1">IFERROR(+IF(BG$27=ProposalToGnatt[[#This Row],[Start Date]],Milestone_Marker,IF(AND(BG$27&gt;ProposalToGnatt[[#This Row],[Start Date]],BG$27&lt;ProposalToGnatt[[#This Row],[Start Date]]+ProposalToGnatt[[#This Row],[Days]]),$G$5,"")),"")</f>
        <v/>
      </c>
      <c r="BH57" s="36" t="str">
        <f ca="1">IFERROR(+IF(BH$27=ProposalToGnatt[[#This Row],[Start Date]],Milestone_Marker,IF(AND(BH$27&gt;ProposalToGnatt[[#This Row],[Start Date]],BH$27&lt;ProposalToGnatt[[#This Row],[Start Date]]+ProposalToGnatt[[#This Row],[Days]]),$G$5,"")),"")</f>
        <v/>
      </c>
      <c r="BI57" s="36" t="str">
        <f ca="1">IFERROR(+IF(BI$27=ProposalToGnatt[[#This Row],[Start Date]],Milestone_Marker,IF(AND(BI$27&gt;ProposalToGnatt[[#This Row],[Start Date]],BI$27&lt;ProposalToGnatt[[#This Row],[Start Date]]+ProposalToGnatt[[#This Row],[Days]]),$G$5,"")),"")</f>
        <v/>
      </c>
      <c r="BJ57" s="36" t="str">
        <f ca="1">IFERROR(+IF(BJ$27=ProposalToGnatt[[#This Row],[Start Date]],Milestone_Marker,IF(AND(BJ$27&gt;ProposalToGnatt[[#This Row],[Start Date]],BJ$27&lt;ProposalToGnatt[[#This Row],[Start Date]]+ProposalToGnatt[[#This Row],[Days]]),$G$5,"")),"")</f>
        <v/>
      </c>
      <c r="BK57" s="36" t="str">
        <f ca="1">IFERROR(+IF(BK$27=ProposalToGnatt[[#This Row],[Start Date]],Milestone_Marker,IF(AND(BK$27&gt;ProposalToGnatt[[#This Row],[Start Date]],BK$27&lt;ProposalToGnatt[[#This Row],[Start Date]]+ProposalToGnatt[[#This Row],[Days]]),$G$5,"")),"")</f>
        <v/>
      </c>
      <c r="BL57" s="36" t="str">
        <f ca="1">IFERROR(+IF(BL$27=ProposalToGnatt[[#This Row],[Start Date]],Milestone_Marker,IF(AND(BL$27&gt;ProposalToGnatt[[#This Row],[Start Date]],BL$27&lt;ProposalToGnatt[[#This Row],[Start Date]]+ProposalToGnatt[[#This Row],[Days]]),$G$5,"")),"")</f>
        <v/>
      </c>
      <c r="BM57" s="36" t="str">
        <f ca="1">IFERROR(+IF(BM$27=ProposalToGnatt[[#This Row],[Start Date]],Milestone_Marker,IF(AND(BM$27&gt;ProposalToGnatt[[#This Row],[Start Date]],BM$27&lt;ProposalToGnatt[[#This Row],[Start Date]]+ProposalToGnatt[[#This Row],[Days]]),$G$5,"")),"")</f>
        <v/>
      </c>
      <c r="BN57" s="36" t="str">
        <f ca="1">IFERROR(+IF(BN$27=ProposalToGnatt[[#This Row],[Start Date]],Milestone_Marker,IF(AND(BN$27&gt;ProposalToGnatt[[#This Row],[Start Date]],BN$27&lt;ProposalToGnatt[[#This Row],[Start Date]]+ProposalToGnatt[[#This Row],[Days]]),$G$5,"")),"")</f>
        <v/>
      </c>
      <c r="BO57" s="36" t="str">
        <f ca="1">IFERROR(+IF(BO$27=ProposalToGnatt[[#This Row],[Start Date]],Milestone_Marker,IF(AND(BO$27&gt;ProposalToGnatt[[#This Row],[Start Date]],BO$27&lt;ProposalToGnatt[[#This Row],[Start Date]]+ProposalToGnatt[[#This Row],[Days]]),$G$5,"")),"")</f>
        <v/>
      </c>
      <c r="BP57" s="36" t="str">
        <f ca="1">IFERROR(+IF(BP$27=ProposalToGnatt[[#This Row],[Start Date]],Milestone_Marker,IF(AND(BP$27&gt;ProposalToGnatt[[#This Row],[Start Date]],BP$27&lt;ProposalToGnatt[[#This Row],[Start Date]]+ProposalToGnatt[[#This Row],[Days]]),$G$5,"")),"")</f>
        <v/>
      </c>
      <c r="BQ57" s="36" t="str">
        <f ca="1">IFERROR(+IF(BQ$27=ProposalToGnatt[[#This Row],[Start Date]],Milestone_Marker,IF(AND(BQ$27&gt;ProposalToGnatt[[#This Row],[Start Date]],BQ$27&lt;ProposalToGnatt[[#This Row],[Start Date]]+ProposalToGnatt[[#This Row],[Days]]),$G$5,"")),"")</f>
        <v/>
      </c>
      <c r="BR57" s="36" t="str">
        <f ca="1">IFERROR(+IF(BR$27=ProposalToGnatt[[#This Row],[Start Date]],Milestone_Marker,IF(AND(BR$27&gt;ProposalToGnatt[[#This Row],[Start Date]],BR$27&lt;ProposalToGnatt[[#This Row],[Start Date]]+ProposalToGnatt[[#This Row],[Days]]),$G$5,"")),"")</f>
        <v/>
      </c>
      <c r="BS57" s="36" t="str">
        <f ca="1">IFERROR(+IF(BS$27=ProposalToGnatt[[#This Row],[Start Date]],Milestone_Marker,IF(AND(BS$27&gt;ProposalToGnatt[[#This Row],[Start Date]],BS$27&lt;ProposalToGnatt[[#This Row],[Start Date]]+ProposalToGnatt[[#This Row],[Days]]),$G$5,"")),"")</f>
        <v/>
      </c>
      <c r="BT57" s="36" t="str">
        <f ca="1">IFERROR(+IF(BT$27=ProposalToGnatt[[#This Row],[Start Date]],Milestone_Marker,IF(AND(BT$27&gt;ProposalToGnatt[[#This Row],[Start Date]],BT$27&lt;ProposalToGnatt[[#This Row],[Start Date]]+ProposalToGnatt[[#This Row],[Days]]),$G$5,"")),"")</f>
        <v/>
      </c>
      <c r="BU57" s="36" t="str">
        <f ca="1">IFERROR(+IF(BU$27=ProposalToGnatt[[#This Row],[Start Date]],Milestone_Marker,IF(AND(BU$27&gt;ProposalToGnatt[[#This Row],[Start Date]],BU$27&lt;ProposalToGnatt[[#This Row],[Start Date]]+ProposalToGnatt[[#This Row],[Days]]),$G$5,"")),"")</f>
        <v/>
      </c>
      <c r="BV57" s="36" t="str">
        <f ca="1">IFERROR(+IF(BV$27=ProposalToGnatt[[#This Row],[Start Date]],Milestone_Marker,IF(AND(BV$27&gt;ProposalToGnatt[[#This Row],[Start Date]],BV$27&lt;ProposalToGnatt[[#This Row],[Start Date]]+ProposalToGnatt[[#This Row],[Days]]),$G$5,"")),"")</f>
        <v/>
      </c>
      <c r="BW57" s="36" t="str">
        <f ca="1">IFERROR(+IF(BW$27=ProposalToGnatt[[#This Row],[Start Date]],Milestone_Marker,IF(AND(BW$27&gt;ProposalToGnatt[[#This Row],[Start Date]],BW$27&lt;ProposalToGnatt[[#This Row],[Start Date]]+ProposalToGnatt[[#This Row],[Days]]),$G$5,"")),"")</f>
        <v/>
      </c>
      <c r="BX57" s="36" t="str">
        <f ca="1">IFERROR(+IF(BX$27=ProposalToGnatt[[#This Row],[Start Date]],Milestone_Marker,IF(AND(BX$27&gt;ProposalToGnatt[[#This Row],[Start Date]],BX$27&lt;ProposalToGnatt[[#This Row],[Start Date]]+ProposalToGnatt[[#This Row],[Days]]),$G$5,"")),"")</f>
        <v/>
      </c>
      <c r="BY57" s="36" t="str">
        <f ca="1">IFERROR(+IF(BY$27=ProposalToGnatt[[#This Row],[Start Date]],Milestone_Marker,IF(AND(BY$27&gt;ProposalToGnatt[[#This Row],[Start Date]],BY$27&lt;ProposalToGnatt[[#This Row],[Start Date]]+ProposalToGnatt[[#This Row],[Days]]),$G$5,"")),"")</f>
        <v/>
      </c>
      <c r="BZ57" s="36" t="str">
        <f ca="1">IFERROR(+IF(BZ$27=ProposalToGnatt[[#This Row],[Start Date]],Milestone_Marker,IF(AND(BZ$27&gt;ProposalToGnatt[[#This Row],[Start Date]],BZ$27&lt;ProposalToGnatt[[#This Row],[Start Date]]+ProposalToGnatt[[#This Row],[Days]]),$G$5,"")),"")</f>
        <v/>
      </c>
      <c r="CA57" s="36" t="str">
        <f ca="1">IFERROR(+IF(CA$27=ProposalToGnatt[[#This Row],[Start Date]],Milestone_Marker,IF(AND(CA$27&gt;ProposalToGnatt[[#This Row],[Start Date]],CA$27&lt;ProposalToGnatt[[#This Row],[Start Date]]+ProposalToGnatt[[#This Row],[Days]]),$G$5,"")),"")</f>
        <v/>
      </c>
      <c r="CB57" s="36" t="str">
        <f ca="1">IFERROR(+IF(CB$27=ProposalToGnatt[[#This Row],[Start Date]],Milestone_Marker,IF(AND(CB$27&gt;ProposalToGnatt[[#This Row],[Start Date]],CB$27&lt;ProposalToGnatt[[#This Row],[Start Date]]+ProposalToGnatt[[#This Row],[Days]]),$G$5,"")),"")</f>
        <v/>
      </c>
      <c r="CC57" s="36" t="str">
        <f ca="1">IFERROR(+IF(CC$27=ProposalToGnatt[[#This Row],[Start Date]],Milestone_Marker,IF(AND(CC$27&gt;ProposalToGnatt[[#This Row],[Start Date]],CC$27&lt;ProposalToGnatt[[#This Row],[Start Date]]+ProposalToGnatt[[#This Row],[Days]]),$G$5,"")),"")</f>
        <v/>
      </c>
      <c r="CD57" s="36" t="str">
        <f ca="1">IFERROR(+IF(CD$27=ProposalToGnatt[[#This Row],[Start Date]],Milestone_Marker,IF(AND(CD$27&gt;ProposalToGnatt[[#This Row],[Start Date]],CD$27&lt;ProposalToGnatt[[#This Row],[Start Date]]+ProposalToGnatt[[#This Row],[Days]]),$G$5,"")),"")</f>
        <v/>
      </c>
      <c r="CE57" s="36" t="str">
        <f ca="1">IFERROR(+IF(CE$27=ProposalToGnatt[[#This Row],[Start Date]],Milestone_Marker,IF(AND(CE$27&gt;ProposalToGnatt[[#This Row],[Start Date]],CE$27&lt;ProposalToGnatt[[#This Row],[Start Date]]+ProposalToGnatt[[#This Row],[Days]]),$G$5,"")),"")</f>
        <v/>
      </c>
      <c r="CF57" s="36" t="str">
        <f ca="1">IFERROR(+IF(CF$27=ProposalToGnatt[[#This Row],[Start Date]],Milestone_Marker,IF(AND(CF$27&gt;ProposalToGnatt[[#This Row],[Start Date]],CF$27&lt;ProposalToGnatt[[#This Row],[Start Date]]+ProposalToGnatt[[#This Row],[Days]]),$G$5,"")),"")</f>
        <v/>
      </c>
      <c r="CG57" s="36" t="str">
        <f ca="1">IFERROR(+IF(CG$27=ProposalToGnatt[[#This Row],[Start Date]],Milestone_Marker,IF(AND(CG$27&gt;ProposalToGnatt[[#This Row],[Start Date]],CG$27&lt;ProposalToGnatt[[#This Row],[Start Date]]+ProposalToGnatt[[#This Row],[Days]]),$G$5,"")),"")</f>
        <v/>
      </c>
      <c r="CH57" s="36" t="str">
        <f ca="1">IFERROR(+IF(CH$27=ProposalToGnatt[[#This Row],[Start Date]],Milestone_Marker,IF(AND(CH$27&gt;ProposalToGnatt[[#This Row],[Start Date]],CH$27&lt;ProposalToGnatt[[#This Row],[Start Date]]+ProposalToGnatt[[#This Row],[Days]]),$G$5,"")),"")</f>
        <v/>
      </c>
      <c r="CI57" s="36" t="str">
        <f ca="1">IFERROR(+IF(CI$27=ProposalToGnatt[[#This Row],[Start Date]],Milestone_Marker,IF(AND(CI$27&gt;ProposalToGnatt[[#This Row],[Start Date]],CI$27&lt;ProposalToGnatt[[#This Row],[Start Date]]+ProposalToGnatt[[#This Row],[Days]]),$G$5,"")),"")</f>
        <v/>
      </c>
      <c r="CJ57" s="36" t="str">
        <f ca="1">IFERROR(+IF(CJ$27=ProposalToGnatt[[#This Row],[Start Date]],Milestone_Marker,IF(AND(CJ$27&gt;ProposalToGnatt[[#This Row],[Start Date]],CJ$27&lt;ProposalToGnatt[[#This Row],[Start Date]]+ProposalToGnatt[[#This Row],[Days]]),$G$5,"")),"")</f>
        <v/>
      </c>
      <c r="CK57" s="36" t="str">
        <f ca="1">IFERROR(+IF(CK$27=ProposalToGnatt[[#This Row],[Start Date]],Milestone_Marker,IF(AND(CK$27&gt;ProposalToGnatt[[#This Row],[Start Date]],CK$27&lt;ProposalToGnatt[[#This Row],[Start Date]]+ProposalToGnatt[[#This Row],[Days]]),$G$5,"")),"")</f>
        <v/>
      </c>
      <c r="CL57" s="36" t="str">
        <f ca="1">IFERROR(+IF(CL$27=ProposalToGnatt[[#This Row],[Start Date]],Milestone_Marker,IF(AND(CL$27&gt;ProposalToGnatt[[#This Row],[Start Date]],CL$27&lt;ProposalToGnatt[[#This Row],[Start Date]]+ProposalToGnatt[[#This Row],[Days]]),$G$5,"")),"")</f>
        <v/>
      </c>
      <c r="CM57" s="36" t="str">
        <f ca="1">IFERROR(+IF(CM$27=ProposalToGnatt[[#This Row],[Start Date]],Milestone_Marker,IF(AND(CM$27&gt;ProposalToGnatt[[#This Row],[Start Date]],CM$27&lt;ProposalToGnatt[[#This Row],[Start Date]]+ProposalToGnatt[[#This Row],[Days]]),$G$5,"")),"")</f>
        <v/>
      </c>
      <c r="CN57" s="36" t="str">
        <f ca="1">IFERROR(+IF(CN$27=ProposalToGnatt[[#This Row],[Start Date]],Milestone_Marker,IF(AND(CN$27&gt;ProposalToGnatt[[#This Row],[Start Date]],CN$27&lt;ProposalToGnatt[[#This Row],[Start Date]]+ProposalToGnatt[[#This Row],[Days]]),$G$5,"")),"")</f>
        <v/>
      </c>
      <c r="CO57" s="36" t="str">
        <f ca="1">IFERROR(+IF(CO$27=ProposalToGnatt[[#This Row],[Start Date]],Milestone_Marker,IF(AND(CO$27&gt;ProposalToGnatt[[#This Row],[Start Date]],CO$27&lt;ProposalToGnatt[[#This Row],[Start Date]]+ProposalToGnatt[[#This Row],[Days]]),$G$5,"")),"")</f>
        <v/>
      </c>
      <c r="CP57" s="36" t="str">
        <f ca="1">IFERROR(+IF(CP$27=ProposalToGnatt[[#This Row],[Start Date]],Milestone_Marker,IF(AND(CP$27&gt;ProposalToGnatt[[#This Row],[Start Date]],CP$27&lt;ProposalToGnatt[[#This Row],[Start Date]]+ProposalToGnatt[[#This Row],[Days]]),$G$5,"")),"")</f>
        <v/>
      </c>
      <c r="CQ57" s="36" t="str">
        <f ca="1">IFERROR(+IF(CQ$27=ProposalToGnatt[[#This Row],[Start Date]],Milestone_Marker,IF(AND(CQ$27&gt;ProposalToGnatt[[#This Row],[Start Date]],CQ$27&lt;ProposalToGnatt[[#This Row],[Start Date]]+ProposalToGnatt[[#This Row],[Days]]),$G$5,"")),"")</f>
        <v/>
      </c>
      <c r="CR57" s="36" t="str">
        <f ca="1">IFERROR(+IF(CR$27=ProposalToGnatt[[#This Row],[Start Date]],Milestone_Marker,IF(AND(CR$27&gt;ProposalToGnatt[[#This Row],[Start Date]],CR$27&lt;ProposalToGnatt[[#This Row],[Start Date]]+ProposalToGnatt[[#This Row],[Days]]),$G$5,"")),"")</f>
        <v/>
      </c>
      <c r="CS57" s="36" t="str">
        <f ca="1">IFERROR(+IF(CS$27=ProposalToGnatt[[#This Row],[Start Date]],Milestone_Marker,IF(AND(CS$27&gt;ProposalToGnatt[[#This Row],[Start Date]],CS$27&lt;ProposalToGnatt[[#This Row],[Start Date]]+ProposalToGnatt[[#This Row],[Days]]),$G$5,"")),"")</f>
        <v/>
      </c>
      <c r="CT57" s="36" t="str">
        <f ca="1">IFERROR(+IF(CT$27=ProposalToGnatt[[#This Row],[Start Date]],Milestone_Marker,IF(AND(CT$27&gt;ProposalToGnatt[[#This Row],[Start Date]],CT$27&lt;ProposalToGnatt[[#This Row],[Start Date]]+ProposalToGnatt[[#This Row],[Days]]),$G$5,"")),"")</f>
        <v/>
      </c>
      <c r="CU57" s="36" t="str">
        <f ca="1">IFERROR(+IF(CU$27=ProposalToGnatt[[#This Row],[Start Date]],Milestone_Marker,IF(AND(CU$27&gt;ProposalToGnatt[[#This Row],[Start Date]],CU$27&lt;ProposalToGnatt[[#This Row],[Start Date]]+ProposalToGnatt[[#This Row],[Days]]),$G$5,"")),"")</f>
        <v/>
      </c>
      <c r="CV57" s="36"/>
      <c r="CW57" s="36"/>
      <c r="CX57" s="36"/>
      <c r="CY57" s="36"/>
      <c r="CZ57" s="36"/>
      <c r="DA57" s="36"/>
      <c r="DB57" s="36"/>
      <c r="DC57" s="36"/>
      <c r="DD57" s="36"/>
      <c r="DE57" s="36"/>
      <c r="DF57" s="36"/>
      <c r="DG57" s="36"/>
      <c r="DH57" s="36"/>
      <c r="DI57" s="36"/>
      <c r="DJ57" s="36"/>
      <c r="DK57" s="36"/>
      <c r="DL57" s="36"/>
      <c r="DM57" s="36"/>
      <c r="DN57" s="36"/>
      <c r="DO57" s="36"/>
      <c r="DP57" s="36"/>
      <c r="DQ57" s="36"/>
      <c r="DR57" s="36"/>
      <c r="DS57" s="36"/>
      <c r="DT57" s="36"/>
      <c r="DU57" s="36"/>
    </row>
    <row r="58" spans="1:125" s="41" customFormat="1" ht="15" x14ac:dyDescent="0.25">
      <c r="A58"/>
      <c r="B58"/>
      <c r="C58"/>
      <c r="D58"/>
      <c r="E58"/>
      <c r="F58"/>
      <c r="G58" s="14"/>
      <c r="H58" s="14"/>
      <c r="I58"/>
      <c r="J58"/>
      <c r="K58" s="246"/>
      <c r="L58"/>
      <c r="M58" s="14"/>
      <c r="N58" s="299"/>
      <c r="O58" s="281"/>
      <c r="P58" s="36" t="str">
        <f ca="1">IFERROR(+IF(P$27=ProposalToGnatt[[#This Row],[Start Date]],Milestone_Marker,IF(AND(P$27&gt;ProposalToGnatt[[#This Row],[Start Date]],P$27&lt;ProposalToGnatt[[#This Row],[Start Date]]+ProposalToGnatt[[#This Row],[Days]]),$G$5,"")),"")</f>
        <v/>
      </c>
      <c r="Q58" s="36" t="str">
        <f ca="1">IFERROR(+IF(Q$27=ProposalToGnatt[[#This Row],[Start Date]],Milestone_Marker,IF(AND(Q$27&gt;ProposalToGnatt[[#This Row],[Start Date]],Q$27&lt;ProposalToGnatt[[#This Row],[Start Date]]+ProposalToGnatt[[#This Row],[Days]]),$G$5,"")),"")</f>
        <v/>
      </c>
      <c r="R58" s="36" t="str">
        <f ca="1">IFERROR(+IF(R$27=ProposalToGnatt[[#This Row],[Start Date]],Milestone_Marker,IF(AND(R$27&gt;ProposalToGnatt[[#This Row],[Start Date]],R$27&lt;ProposalToGnatt[[#This Row],[Start Date]]+ProposalToGnatt[[#This Row],[Days]]),$G$5,"")),"")</f>
        <v/>
      </c>
      <c r="S58" s="36" t="str">
        <f ca="1">IFERROR(+IF(S$27=ProposalToGnatt[[#This Row],[Start Date]],Milestone_Marker,IF(AND(S$27&gt;ProposalToGnatt[[#This Row],[Start Date]],S$27&lt;ProposalToGnatt[[#This Row],[Start Date]]+ProposalToGnatt[[#This Row],[Days]]),$G$5,"")),"")</f>
        <v/>
      </c>
      <c r="T58" s="36" t="str">
        <f ca="1">IFERROR(+IF(T$27=ProposalToGnatt[[#This Row],[Start Date]],Milestone_Marker,IF(AND(T$27&gt;ProposalToGnatt[[#This Row],[Start Date]],T$27&lt;ProposalToGnatt[[#This Row],[Start Date]]+ProposalToGnatt[[#This Row],[Days]]),$G$5,"")),"")</f>
        <v/>
      </c>
      <c r="U58" s="36" t="str">
        <f ca="1">IFERROR(+IF(U$27=ProposalToGnatt[[#This Row],[Start Date]],Milestone_Marker,IF(AND(U$27&gt;ProposalToGnatt[[#This Row],[Start Date]],U$27&lt;ProposalToGnatt[[#This Row],[Start Date]]+ProposalToGnatt[[#This Row],[Days]]),$G$5,"")),"")</f>
        <v/>
      </c>
      <c r="V58" s="36" t="str">
        <f ca="1">IFERROR(+IF(V$27=ProposalToGnatt[[#This Row],[Start Date]],Milestone_Marker,IF(AND(V$27&gt;ProposalToGnatt[[#This Row],[Start Date]],V$27&lt;ProposalToGnatt[[#This Row],[Start Date]]+ProposalToGnatt[[#This Row],[Days]]),$G$5,"")),"")</f>
        <v/>
      </c>
      <c r="W58" s="36" t="str">
        <f ca="1">IFERROR(+IF(W$27=ProposalToGnatt[[#This Row],[Start Date]],Milestone_Marker,IF(AND(W$27&gt;ProposalToGnatt[[#This Row],[Start Date]],W$27&lt;ProposalToGnatt[[#This Row],[Start Date]]+ProposalToGnatt[[#This Row],[Days]]),$G$5,"")),"")</f>
        <v/>
      </c>
      <c r="X58" s="36" t="str">
        <f ca="1">IFERROR(+IF(X$27=ProposalToGnatt[[#This Row],[Start Date]],Milestone_Marker,IF(AND(X$27&gt;ProposalToGnatt[[#This Row],[Start Date]],X$27&lt;ProposalToGnatt[[#This Row],[Start Date]]+ProposalToGnatt[[#This Row],[Days]]),$G$5,"")),"")</f>
        <v/>
      </c>
      <c r="Y58" s="36" t="str">
        <f ca="1">IFERROR(+IF(Y$27=ProposalToGnatt[[#This Row],[Start Date]],Milestone_Marker,IF(AND(Y$27&gt;ProposalToGnatt[[#This Row],[Start Date]],Y$27&lt;ProposalToGnatt[[#This Row],[Start Date]]+ProposalToGnatt[[#This Row],[Days]]),$G$5,"")),"")</f>
        <v/>
      </c>
      <c r="Z58" s="36" t="str">
        <f ca="1">IFERROR(+IF(Z$27=ProposalToGnatt[[#This Row],[Start Date]],Milestone_Marker,IF(AND(Z$27&gt;ProposalToGnatt[[#This Row],[Start Date]],Z$27&lt;ProposalToGnatt[[#This Row],[Start Date]]+ProposalToGnatt[[#This Row],[Days]]),$G$5,"")),"")</f>
        <v/>
      </c>
      <c r="AA58" s="36" t="str">
        <f ca="1">IFERROR(+IF(AA$27=ProposalToGnatt[[#This Row],[Start Date]],Milestone_Marker,IF(AND(AA$27&gt;ProposalToGnatt[[#This Row],[Start Date]],AA$27&lt;ProposalToGnatt[[#This Row],[Start Date]]+ProposalToGnatt[[#This Row],[Days]]),$G$5,"")),"")</f>
        <v/>
      </c>
      <c r="AB58" s="36" t="str">
        <f ca="1">IFERROR(+IF(AB$27=ProposalToGnatt[[#This Row],[Start Date]],Milestone_Marker,IF(AND(AB$27&gt;ProposalToGnatt[[#This Row],[Start Date]],AB$27&lt;ProposalToGnatt[[#This Row],[Start Date]]+ProposalToGnatt[[#This Row],[Days]]),$G$5,"")),"")</f>
        <v/>
      </c>
      <c r="AC58" s="36" t="str">
        <f ca="1">IFERROR(+IF(AC$27=ProposalToGnatt[[#This Row],[Start Date]],Milestone_Marker,IF(AND(AC$27&gt;ProposalToGnatt[[#This Row],[Start Date]],AC$27&lt;ProposalToGnatt[[#This Row],[Start Date]]+ProposalToGnatt[[#This Row],[Days]]),$G$5,"")),"")</f>
        <v/>
      </c>
      <c r="AD58" s="36" t="str">
        <f ca="1">IFERROR(+IF(AD$27=ProposalToGnatt[[#This Row],[Start Date]],Milestone_Marker,IF(AND(AD$27&gt;ProposalToGnatt[[#This Row],[Start Date]],AD$27&lt;ProposalToGnatt[[#This Row],[Start Date]]+ProposalToGnatt[[#This Row],[Days]]),$G$5,"")),"")</f>
        <v/>
      </c>
      <c r="AE58" s="36" t="str">
        <f ca="1">IFERROR(+IF(AE$27=ProposalToGnatt[[#This Row],[Start Date]],Milestone_Marker,IF(AND(AE$27&gt;ProposalToGnatt[[#This Row],[Start Date]],AE$27&lt;ProposalToGnatt[[#This Row],[Start Date]]+ProposalToGnatt[[#This Row],[Days]]),$G$5,"")),"")</f>
        <v/>
      </c>
      <c r="AF58" s="36" t="str">
        <f ca="1">IFERROR(+IF(AF$27=ProposalToGnatt[[#This Row],[Start Date]],Milestone_Marker,IF(AND(AF$27&gt;ProposalToGnatt[[#This Row],[Start Date]],AF$27&lt;ProposalToGnatt[[#This Row],[Start Date]]+ProposalToGnatt[[#This Row],[Days]]),$G$5,"")),"")</f>
        <v/>
      </c>
      <c r="AG58" s="36" t="str">
        <f ca="1">IFERROR(+IF(AG$27=ProposalToGnatt[[#This Row],[Start Date]],Milestone_Marker,IF(AND(AG$27&gt;ProposalToGnatt[[#This Row],[Start Date]],AG$27&lt;ProposalToGnatt[[#This Row],[Start Date]]+ProposalToGnatt[[#This Row],[Days]]),$G$5,"")),"")</f>
        <v/>
      </c>
      <c r="AH58" s="36" t="str">
        <f ca="1">IFERROR(+IF(AH$27=ProposalToGnatt[[#This Row],[Start Date]],Milestone_Marker,IF(AND(AH$27&gt;ProposalToGnatt[[#This Row],[Start Date]],AH$27&lt;ProposalToGnatt[[#This Row],[Start Date]]+ProposalToGnatt[[#This Row],[Days]]),$G$5,"")),"")</f>
        <v/>
      </c>
      <c r="AI58" s="36" t="str">
        <f ca="1">IFERROR(+IF(AI$27=ProposalToGnatt[[#This Row],[Start Date]],Milestone_Marker,IF(AND(AI$27&gt;ProposalToGnatt[[#This Row],[Start Date]],AI$27&lt;ProposalToGnatt[[#This Row],[Start Date]]+ProposalToGnatt[[#This Row],[Days]]),$G$5,"")),"")</f>
        <v/>
      </c>
      <c r="AJ58" s="36" t="str">
        <f ca="1">IFERROR(+IF(AJ$27=ProposalToGnatt[[#This Row],[Start Date]],Milestone_Marker,IF(AND(AJ$27&gt;ProposalToGnatt[[#This Row],[Start Date]],AJ$27&lt;ProposalToGnatt[[#This Row],[Start Date]]+ProposalToGnatt[[#This Row],[Days]]),$G$5,"")),"")</f>
        <v/>
      </c>
      <c r="AK58" s="36" t="str">
        <f ca="1">IFERROR(+IF(AK$27=ProposalToGnatt[[#This Row],[Start Date]],Milestone_Marker,IF(AND(AK$27&gt;ProposalToGnatt[[#This Row],[Start Date]],AK$27&lt;ProposalToGnatt[[#This Row],[Start Date]]+ProposalToGnatt[[#This Row],[Days]]),$G$5,"")),"")</f>
        <v/>
      </c>
      <c r="AL58" s="36" t="str">
        <f ca="1">IFERROR(+IF(AL$27=ProposalToGnatt[[#This Row],[Start Date]],Milestone_Marker,IF(AND(AL$27&gt;ProposalToGnatt[[#This Row],[Start Date]],AL$27&lt;ProposalToGnatt[[#This Row],[Start Date]]+ProposalToGnatt[[#This Row],[Days]]),$G$5,"")),"")</f>
        <v/>
      </c>
      <c r="AM58" s="36" t="str">
        <f ca="1">IFERROR(+IF(AM$27=ProposalToGnatt[[#This Row],[Start Date]],Milestone_Marker,IF(AND(AM$27&gt;ProposalToGnatt[[#This Row],[Start Date]],AM$27&lt;ProposalToGnatt[[#This Row],[Start Date]]+ProposalToGnatt[[#This Row],[Days]]),$G$5,"")),"")</f>
        <v/>
      </c>
      <c r="AN58" s="36" t="str">
        <f ca="1">IFERROR(+IF(AN$27=ProposalToGnatt[[#This Row],[Start Date]],Milestone_Marker,IF(AND(AN$27&gt;ProposalToGnatt[[#This Row],[Start Date]],AN$27&lt;ProposalToGnatt[[#This Row],[Start Date]]+ProposalToGnatt[[#This Row],[Days]]),$G$5,"")),"")</f>
        <v/>
      </c>
      <c r="AO58" s="36" t="str">
        <f ca="1">IFERROR(+IF(AO$27=ProposalToGnatt[[#This Row],[Start Date]],Milestone_Marker,IF(AND(AO$27&gt;ProposalToGnatt[[#This Row],[Start Date]],AO$27&lt;ProposalToGnatt[[#This Row],[Start Date]]+ProposalToGnatt[[#This Row],[Days]]),$G$5,"")),"")</f>
        <v/>
      </c>
      <c r="AP58" s="36" t="str">
        <f ca="1">IFERROR(+IF(AP$27=ProposalToGnatt[[#This Row],[Start Date]],Milestone_Marker,IF(AND(AP$27&gt;ProposalToGnatt[[#This Row],[Start Date]],AP$27&lt;ProposalToGnatt[[#This Row],[Start Date]]+ProposalToGnatt[[#This Row],[Days]]),$G$5,"")),"")</f>
        <v/>
      </c>
      <c r="AQ58" s="36" t="str">
        <f ca="1">IFERROR(+IF(AQ$27=ProposalToGnatt[[#This Row],[Start Date]],Milestone_Marker,IF(AND(AQ$27&gt;ProposalToGnatt[[#This Row],[Start Date]],AQ$27&lt;ProposalToGnatt[[#This Row],[Start Date]]+ProposalToGnatt[[#This Row],[Days]]),$G$5,"")),"")</f>
        <v/>
      </c>
      <c r="AR58" s="36" t="str">
        <f ca="1">IFERROR(+IF(AR$27=ProposalToGnatt[[#This Row],[Start Date]],Milestone_Marker,IF(AND(AR$27&gt;ProposalToGnatt[[#This Row],[Start Date]],AR$27&lt;ProposalToGnatt[[#This Row],[Start Date]]+ProposalToGnatt[[#This Row],[Days]]),$G$5,"")),"")</f>
        <v/>
      </c>
      <c r="AS58" s="36" t="str">
        <f ca="1">IFERROR(+IF(AS$27=ProposalToGnatt[[#This Row],[Start Date]],Milestone_Marker,IF(AND(AS$27&gt;ProposalToGnatt[[#This Row],[Start Date]],AS$27&lt;ProposalToGnatt[[#This Row],[Start Date]]+ProposalToGnatt[[#This Row],[Days]]),$G$5,"")),"")</f>
        <v/>
      </c>
      <c r="AT58" s="36" t="str">
        <f ca="1">IFERROR(+IF(AT$27=ProposalToGnatt[[#This Row],[Start Date]],Milestone_Marker,IF(AND(AT$27&gt;ProposalToGnatt[[#This Row],[Start Date]],AT$27&lt;ProposalToGnatt[[#This Row],[Start Date]]+ProposalToGnatt[[#This Row],[Days]]),$G$5,"")),"")</f>
        <v/>
      </c>
      <c r="AU58" s="36" t="str">
        <f ca="1">IFERROR(+IF(AU$27=ProposalToGnatt[[#This Row],[Start Date]],Milestone_Marker,IF(AND(AU$27&gt;ProposalToGnatt[[#This Row],[Start Date]],AU$27&lt;ProposalToGnatt[[#This Row],[Start Date]]+ProposalToGnatt[[#This Row],[Days]]),$G$5,"")),"")</f>
        <v/>
      </c>
      <c r="AV58" s="36" t="str">
        <f ca="1">IFERROR(+IF(AV$27=ProposalToGnatt[[#This Row],[Start Date]],Milestone_Marker,IF(AND(AV$27&gt;ProposalToGnatt[[#This Row],[Start Date]],AV$27&lt;ProposalToGnatt[[#This Row],[Start Date]]+ProposalToGnatt[[#This Row],[Days]]),$G$5,"")),"")</f>
        <v/>
      </c>
      <c r="AW58" s="36" t="str">
        <f ca="1">IFERROR(+IF(AW$27=ProposalToGnatt[[#This Row],[Start Date]],Milestone_Marker,IF(AND(AW$27&gt;ProposalToGnatt[[#This Row],[Start Date]],AW$27&lt;ProposalToGnatt[[#This Row],[Start Date]]+ProposalToGnatt[[#This Row],[Days]]),$G$5,"")),"")</f>
        <v/>
      </c>
      <c r="AX58" s="36" t="str">
        <f ca="1">IFERROR(+IF(AX$27=ProposalToGnatt[[#This Row],[Start Date]],Milestone_Marker,IF(AND(AX$27&gt;ProposalToGnatt[[#This Row],[Start Date]],AX$27&lt;ProposalToGnatt[[#This Row],[Start Date]]+ProposalToGnatt[[#This Row],[Days]]),$G$5,"")),"")</f>
        <v/>
      </c>
      <c r="AY58" s="36" t="str">
        <f ca="1">IFERROR(+IF(AY$27=ProposalToGnatt[[#This Row],[Start Date]],Milestone_Marker,IF(AND(AY$27&gt;ProposalToGnatt[[#This Row],[Start Date]],AY$27&lt;ProposalToGnatt[[#This Row],[Start Date]]+ProposalToGnatt[[#This Row],[Days]]),$G$5,"")),"")</f>
        <v/>
      </c>
      <c r="AZ58" s="36" t="str">
        <f ca="1">IFERROR(+IF(AZ$27=ProposalToGnatt[[#This Row],[Start Date]],Milestone_Marker,IF(AND(AZ$27&gt;ProposalToGnatt[[#This Row],[Start Date]],AZ$27&lt;ProposalToGnatt[[#This Row],[Start Date]]+ProposalToGnatt[[#This Row],[Days]]),$G$5,"")),"")</f>
        <v/>
      </c>
      <c r="BA58" s="36" t="str">
        <f ca="1">IFERROR(+IF(BA$27=ProposalToGnatt[[#This Row],[Start Date]],Milestone_Marker,IF(AND(BA$27&gt;ProposalToGnatt[[#This Row],[Start Date]],BA$27&lt;ProposalToGnatt[[#This Row],[Start Date]]+ProposalToGnatt[[#This Row],[Days]]),$G$5,"")),"")</f>
        <v/>
      </c>
      <c r="BB58" s="36" t="str">
        <f ca="1">IFERROR(+IF(BB$27=ProposalToGnatt[[#This Row],[Start Date]],Milestone_Marker,IF(AND(BB$27&gt;ProposalToGnatt[[#This Row],[Start Date]],BB$27&lt;ProposalToGnatt[[#This Row],[Start Date]]+ProposalToGnatt[[#This Row],[Days]]),$G$5,"")),"")</f>
        <v/>
      </c>
      <c r="BC58" s="36" t="str">
        <f ca="1">IFERROR(+IF(BC$27=ProposalToGnatt[[#This Row],[Start Date]],Milestone_Marker,IF(AND(BC$27&gt;ProposalToGnatt[[#This Row],[Start Date]],BC$27&lt;ProposalToGnatt[[#This Row],[Start Date]]+ProposalToGnatt[[#This Row],[Days]]),$G$5,"")),"")</f>
        <v/>
      </c>
      <c r="BD58" s="36" t="str">
        <f ca="1">IFERROR(+IF(BD$27=ProposalToGnatt[[#This Row],[Start Date]],Milestone_Marker,IF(AND(BD$27&gt;ProposalToGnatt[[#This Row],[Start Date]],BD$27&lt;ProposalToGnatt[[#This Row],[Start Date]]+ProposalToGnatt[[#This Row],[Days]]),$G$5,"")),"")</f>
        <v/>
      </c>
      <c r="BE58" s="36" t="str">
        <f ca="1">IFERROR(+IF(BE$27=ProposalToGnatt[[#This Row],[Start Date]],Milestone_Marker,IF(AND(BE$27&gt;ProposalToGnatt[[#This Row],[Start Date]],BE$27&lt;ProposalToGnatt[[#This Row],[Start Date]]+ProposalToGnatt[[#This Row],[Days]]),$G$5,"")),"")</f>
        <v/>
      </c>
      <c r="BF58" s="36" t="str">
        <f ca="1">IFERROR(+IF(BF$27=ProposalToGnatt[[#This Row],[Start Date]],Milestone_Marker,IF(AND(BF$27&gt;ProposalToGnatt[[#This Row],[Start Date]],BF$27&lt;ProposalToGnatt[[#This Row],[Start Date]]+ProposalToGnatt[[#This Row],[Days]]),$G$5,"")),"")</f>
        <v/>
      </c>
      <c r="BG58" s="36" t="str">
        <f ca="1">IFERROR(+IF(BG$27=ProposalToGnatt[[#This Row],[Start Date]],Milestone_Marker,IF(AND(BG$27&gt;ProposalToGnatt[[#This Row],[Start Date]],BG$27&lt;ProposalToGnatt[[#This Row],[Start Date]]+ProposalToGnatt[[#This Row],[Days]]),$G$5,"")),"")</f>
        <v/>
      </c>
      <c r="BH58" s="36" t="str">
        <f ca="1">IFERROR(+IF(BH$27=ProposalToGnatt[[#This Row],[Start Date]],Milestone_Marker,IF(AND(BH$27&gt;ProposalToGnatt[[#This Row],[Start Date]],BH$27&lt;ProposalToGnatt[[#This Row],[Start Date]]+ProposalToGnatt[[#This Row],[Days]]),$G$5,"")),"")</f>
        <v/>
      </c>
      <c r="BI58" s="36" t="str">
        <f ca="1">IFERROR(+IF(BI$27=ProposalToGnatt[[#This Row],[Start Date]],Milestone_Marker,IF(AND(BI$27&gt;ProposalToGnatt[[#This Row],[Start Date]],BI$27&lt;ProposalToGnatt[[#This Row],[Start Date]]+ProposalToGnatt[[#This Row],[Days]]),$G$5,"")),"")</f>
        <v/>
      </c>
      <c r="BJ58" s="36" t="str">
        <f ca="1">IFERROR(+IF(BJ$27=ProposalToGnatt[[#This Row],[Start Date]],Milestone_Marker,IF(AND(BJ$27&gt;ProposalToGnatt[[#This Row],[Start Date]],BJ$27&lt;ProposalToGnatt[[#This Row],[Start Date]]+ProposalToGnatt[[#This Row],[Days]]),$G$5,"")),"")</f>
        <v/>
      </c>
      <c r="BK58" s="36" t="str">
        <f ca="1">IFERROR(+IF(BK$27=ProposalToGnatt[[#This Row],[Start Date]],Milestone_Marker,IF(AND(BK$27&gt;ProposalToGnatt[[#This Row],[Start Date]],BK$27&lt;ProposalToGnatt[[#This Row],[Start Date]]+ProposalToGnatt[[#This Row],[Days]]),$G$5,"")),"")</f>
        <v/>
      </c>
      <c r="BL58" s="36" t="str">
        <f ca="1">IFERROR(+IF(BL$27=ProposalToGnatt[[#This Row],[Start Date]],Milestone_Marker,IF(AND(BL$27&gt;ProposalToGnatt[[#This Row],[Start Date]],BL$27&lt;ProposalToGnatt[[#This Row],[Start Date]]+ProposalToGnatt[[#This Row],[Days]]),$G$5,"")),"")</f>
        <v/>
      </c>
      <c r="BM58" s="36" t="str">
        <f ca="1">IFERROR(+IF(BM$27=ProposalToGnatt[[#This Row],[Start Date]],Milestone_Marker,IF(AND(BM$27&gt;ProposalToGnatt[[#This Row],[Start Date]],BM$27&lt;ProposalToGnatt[[#This Row],[Start Date]]+ProposalToGnatt[[#This Row],[Days]]),$G$5,"")),"")</f>
        <v/>
      </c>
      <c r="BN58" s="36" t="str">
        <f ca="1">IFERROR(+IF(BN$27=ProposalToGnatt[[#This Row],[Start Date]],Milestone_Marker,IF(AND(BN$27&gt;ProposalToGnatt[[#This Row],[Start Date]],BN$27&lt;ProposalToGnatt[[#This Row],[Start Date]]+ProposalToGnatt[[#This Row],[Days]]),$G$5,"")),"")</f>
        <v/>
      </c>
      <c r="BO58" s="36" t="str">
        <f ca="1">IFERROR(+IF(BO$27=ProposalToGnatt[[#This Row],[Start Date]],Milestone_Marker,IF(AND(BO$27&gt;ProposalToGnatt[[#This Row],[Start Date]],BO$27&lt;ProposalToGnatt[[#This Row],[Start Date]]+ProposalToGnatt[[#This Row],[Days]]),$G$5,"")),"")</f>
        <v/>
      </c>
      <c r="BP58" s="36" t="str">
        <f ca="1">IFERROR(+IF(BP$27=ProposalToGnatt[[#This Row],[Start Date]],Milestone_Marker,IF(AND(BP$27&gt;ProposalToGnatt[[#This Row],[Start Date]],BP$27&lt;ProposalToGnatt[[#This Row],[Start Date]]+ProposalToGnatt[[#This Row],[Days]]),$G$5,"")),"")</f>
        <v/>
      </c>
      <c r="BQ58" s="36" t="str">
        <f ca="1">IFERROR(+IF(BQ$27=ProposalToGnatt[[#This Row],[Start Date]],Milestone_Marker,IF(AND(BQ$27&gt;ProposalToGnatt[[#This Row],[Start Date]],BQ$27&lt;ProposalToGnatt[[#This Row],[Start Date]]+ProposalToGnatt[[#This Row],[Days]]),$G$5,"")),"")</f>
        <v/>
      </c>
      <c r="BR58" s="36" t="str">
        <f ca="1">IFERROR(+IF(BR$27=ProposalToGnatt[[#This Row],[Start Date]],Milestone_Marker,IF(AND(BR$27&gt;ProposalToGnatt[[#This Row],[Start Date]],BR$27&lt;ProposalToGnatt[[#This Row],[Start Date]]+ProposalToGnatt[[#This Row],[Days]]),$G$5,"")),"")</f>
        <v/>
      </c>
      <c r="BS58" s="36" t="str">
        <f ca="1">IFERROR(+IF(BS$27=ProposalToGnatt[[#This Row],[Start Date]],Milestone_Marker,IF(AND(BS$27&gt;ProposalToGnatt[[#This Row],[Start Date]],BS$27&lt;ProposalToGnatt[[#This Row],[Start Date]]+ProposalToGnatt[[#This Row],[Days]]),$G$5,"")),"")</f>
        <v/>
      </c>
      <c r="BT58" s="36" t="str">
        <f ca="1">IFERROR(+IF(BT$27=ProposalToGnatt[[#This Row],[Start Date]],Milestone_Marker,IF(AND(BT$27&gt;ProposalToGnatt[[#This Row],[Start Date]],BT$27&lt;ProposalToGnatt[[#This Row],[Start Date]]+ProposalToGnatt[[#This Row],[Days]]),$G$5,"")),"")</f>
        <v/>
      </c>
      <c r="BU58" s="36" t="str">
        <f ca="1">IFERROR(+IF(BU$27=ProposalToGnatt[[#This Row],[Start Date]],Milestone_Marker,IF(AND(BU$27&gt;ProposalToGnatt[[#This Row],[Start Date]],BU$27&lt;ProposalToGnatt[[#This Row],[Start Date]]+ProposalToGnatt[[#This Row],[Days]]),$G$5,"")),"")</f>
        <v/>
      </c>
      <c r="BV58" s="36" t="str">
        <f ca="1">IFERROR(+IF(BV$27=ProposalToGnatt[[#This Row],[Start Date]],Milestone_Marker,IF(AND(BV$27&gt;ProposalToGnatt[[#This Row],[Start Date]],BV$27&lt;ProposalToGnatt[[#This Row],[Start Date]]+ProposalToGnatt[[#This Row],[Days]]),$G$5,"")),"")</f>
        <v/>
      </c>
      <c r="BW58" s="36" t="str">
        <f ca="1">IFERROR(+IF(BW$27=ProposalToGnatt[[#This Row],[Start Date]],Milestone_Marker,IF(AND(BW$27&gt;ProposalToGnatt[[#This Row],[Start Date]],BW$27&lt;ProposalToGnatt[[#This Row],[Start Date]]+ProposalToGnatt[[#This Row],[Days]]),$G$5,"")),"")</f>
        <v/>
      </c>
      <c r="BX58" s="36" t="str">
        <f ca="1">IFERROR(+IF(BX$27=ProposalToGnatt[[#This Row],[Start Date]],Milestone_Marker,IF(AND(BX$27&gt;ProposalToGnatt[[#This Row],[Start Date]],BX$27&lt;ProposalToGnatt[[#This Row],[Start Date]]+ProposalToGnatt[[#This Row],[Days]]),$G$5,"")),"")</f>
        <v/>
      </c>
      <c r="BY58" s="36" t="str">
        <f ca="1">IFERROR(+IF(BY$27=ProposalToGnatt[[#This Row],[Start Date]],Milestone_Marker,IF(AND(BY$27&gt;ProposalToGnatt[[#This Row],[Start Date]],BY$27&lt;ProposalToGnatt[[#This Row],[Start Date]]+ProposalToGnatt[[#This Row],[Days]]),$G$5,"")),"")</f>
        <v/>
      </c>
      <c r="BZ58" s="36" t="str">
        <f ca="1">IFERROR(+IF(BZ$27=ProposalToGnatt[[#This Row],[Start Date]],Milestone_Marker,IF(AND(BZ$27&gt;ProposalToGnatt[[#This Row],[Start Date]],BZ$27&lt;ProposalToGnatt[[#This Row],[Start Date]]+ProposalToGnatt[[#This Row],[Days]]),$G$5,"")),"")</f>
        <v/>
      </c>
      <c r="CA58" s="36" t="str">
        <f ca="1">IFERROR(+IF(CA$27=ProposalToGnatt[[#This Row],[Start Date]],Milestone_Marker,IF(AND(CA$27&gt;ProposalToGnatt[[#This Row],[Start Date]],CA$27&lt;ProposalToGnatt[[#This Row],[Start Date]]+ProposalToGnatt[[#This Row],[Days]]),$G$5,"")),"")</f>
        <v/>
      </c>
      <c r="CB58" s="36" t="str">
        <f ca="1">IFERROR(+IF(CB$27=ProposalToGnatt[[#This Row],[Start Date]],Milestone_Marker,IF(AND(CB$27&gt;ProposalToGnatt[[#This Row],[Start Date]],CB$27&lt;ProposalToGnatt[[#This Row],[Start Date]]+ProposalToGnatt[[#This Row],[Days]]),$G$5,"")),"")</f>
        <v/>
      </c>
      <c r="CC58" s="36" t="str">
        <f ca="1">IFERROR(+IF(CC$27=ProposalToGnatt[[#This Row],[Start Date]],Milestone_Marker,IF(AND(CC$27&gt;ProposalToGnatt[[#This Row],[Start Date]],CC$27&lt;ProposalToGnatt[[#This Row],[Start Date]]+ProposalToGnatt[[#This Row],[Days]]),$G$5,"")),"")</f>
        <v/>
      </c>
      <c r="CD58" s="36" t="str">
        <f ca="1">IFERROR(+IF(CD$27=ProposalToGnatt[[#This Row],[Start Date]],Milestone_Marker,IF(AND(CD$27&gt;ProposalToGnatt[[#This Row],[Start Date]],CD$27&lt;ProposalToGnatt[[#This Row],[Start Date]]+ProposalToGnatt[[#This Row],[Days]]),$G$5,"")),"")</f>
        <v/>
      </c>
      <c r="CE58" s="36" t="str">
        <f ca="1">IFERROR(+IF(CE$27=ProposalToGnatt[[#This Row],[Start Date]],Milestone_Marker,IF(AND(CE$27&gt;ProposalToGnatt[[#This Row],[Start Date]],CE$27&lt;ProposalToGnatt[[#This Row],[Start Date]]+ProposalToGnatt[[#This Row],[Days]]),$G$5,"")),"")</f>
        <v/>
      </c>
      <c r="CF58" s="36" t="str">
        <f ca="1">IFERROR(+IF(CF$27=ProposalToGnatt[[#This Row],[Start Date]],Milestone_Marker,IF(AND(CF$27&gt;ProposalToGnatt[[#This Row],[Start Date]],CF$27&lt;ProposalToGnatt[[#This Row],[Start Date]]+ProposalToGnatt[[#This Row],[Days]]),$G$5,"")),"")</f>
        <v/>
      </c>
      <c r="CG58" s="36" t="str">
        <f ca="1">IFERROR(+IF(CG$27=ProposalToGnatt[[#This Row],[Start Date]],Milestone_Marker,IF(AND(CG$27&gt;ProposalToGnatt[[#This Row],[Start Date]],CG$27&lt;ProposalToGnatt[[#This Row],[Start Date]]+ProposalToGnatt[[#This Row],[Days]]),$G$5,"")),"")</f>
        <v/>
      </c>
      <c r="CH58" s="36" t="str">
        <f ca="1">IFERROR(+IF(CH$27=ProposalToGnatt[[#This Row],[Start Date]],Milestone_Marker,IF(AND(CH$27&gt;ProposalToGnatt[[#This Row],[Start Date]],CH$27&lt;ProposalToGnatt[[#This Row],[Start Date]]+ProposalToGnatt[[#This Row],[Days]]),$G$5,"")),"")</f>
        <v/>
      </c>
      <c r="CI58" s="36" t="str">
        <f ca="1">IFERROR(+IF(CI$27=ProposalToGnatt[[#This Row],[Start Date]],Milestone_Marker,IF(AND(CI$27&gt;ProposalToGnatt[[#This Row],[Start Date]],CI$27&lt;ProposalToGnatt[[#This Row],[Start Date]]+ProposalToGnatt[[#This Row],[Days]]),$G$5,"")),"")</f>
        <v/>
      </c>
      <c r="CJ58" s="36" t="str">
        <f ca="1">IFERROR(+IF(CJ$27=ProposalToGnatt[[#This Row],[Start Date]],Milestone_Marker,IF(AND(CJ$27&gt;ProposalToGnatt[[#This Row],[Start Date]],CJ$27&lt;ProposalToGnatt[[#This Row],[Start Date]]+ProposalToGnatt[[#This Row],[Days]]),$G$5,"")),"")</f>
        <v/>
      </c>
      <c r="CK58" s="36" t="str">
        <f ca="1">IFERROR(+IF(CK$27=ProposalToGnatt[[#This Row],[Start Date]],Milestone_Marker,IF(AND(CK$27&gt;ProposalToGnatt[[#This Row],[Start Date]],CK$27&lt;ProposalToGnatt[[#This Row],[Start Date]]+ProposalToGnatt[[#This Row],[Days]]),$G$5,"")),"")</f>
        <v/>
      </c>
      <c r="CL58" s="36" t="str">
        <f ca="1">IFERROR(+IF(CL$27=ProposalToGnatt[[#This Row],[Start Date]],Milestone_Marker,IF(AND(CL$27&gt;ProposalToGnatt[[#This Row],[Start Date]],CL$27&lt;ProposalToGnatt[[#This Row],[Start Date]]+ProposalToGnatt[[#This Row],[Days]]),$G$5,"")),"")</f>
        <v/>
      </c>
      <c r="CM58" s="36" t="str">
        <f ca="1">IFERROR(+IF(CM$27=ProposalToGnatt[[#This Row],[Start Date]],Milestone_Marker,IF(AND(CM$27&gt;ProposalToGnatt[[#This Row],[Start Date]],CM$27&lt;ProposalToGnatt[[#This Row],[Start Date]]+ProposalToGnatt[[#This Row],[Days]]),$G$5,"")),"")</f>
        <v/>
      </c>
      <c r="CN58" s="36" t="str">
        <f ca="1">IFERROR(+IF(CN$27=ProposalToGnatt[[#This Row],[Start Date]],Milestone_Marker,IF(AND(CN$27&gt;ProposalToGnatt[[#This Row],[Start Date]],CN$27&lt;ProposalToGnatt[[#This Row],[Start Date]]+ProposalToGnatt[[#This Row],[Days]]),$G$5,"")),"")</f>
        <v/>
      </c>
      <c r="CO58" s="36" t="str">
        <f ca="1">IFERROR(+IF(CO$27=ProposalToGnatt[[#This Row],[Start Date]],Milestone_Marker,IF(AND(CO$27&gt;ProposalToGnatt[[#This Row],[Start Date]],CO$27&lt;ProposalToGnatt[[#This Row],[Start Date]]+ProposalToGnatt[[#This Row],[Days]]),$G$5,"")),"")</f>
        <v/>
      </c>
      <c r="CP58" s="36" t="str">
        <f ca="1">IFERROR(+IF(CP$27=ProposalToGnatt[[#This Row],[Start Date]],Milestone_Marker,IF(AND(CP$27&gt;ProposalToGnatt[[#This Row],[Start Date]],CP$27&lt;ProposalToGnatt[[#This Row],[Start Date]]+ProposalToGnatt[[#This Row],[Days]]),$G$5,"")),"")</f>
        <v/>
      </c>
      <c r="CQ58" s="36" t="str">
        <f ca="1">IFERROR(+IF(CQ$27=ProposalToGnatt[[#This Row],[Start Date]],Milestone_Marker,IF(AND(CQ$27&gt;ProposalToGnatt[[#This Row],[Start Date]],CQ$27&lt;ProposalToGnatt[[#This Row],[Start Date]]+ProposalToGnatt[[#This Row],[Days]]),$G$5,"")),"")</f>
        <v/>
      </c>
      <c r="CR58" s="36" t="str">
        <f ca="1">IFERROR(+IF(CR$27=ProposalToGnatt[[#This Row],[Start Date]],Milestone_Marker,IF(AND(CR$27&gt;ProposalToGnatt[[#This Row],[Start Date]],CR$27&lt;ProposalToGnatt[[#This Row],[Start Date]]+ProposalToGnatt[[#This Row],[Days]]),$G$5,"")),"")</f>
        <v/>
      </c>
      <c r="CS58" s="36" t="str">
        <f ca="1">IFERROR(+IF(CS$27=ProposalToGnatt[[#This Row],[Start Date]],Milestone_Marker,IF(AND(CS$27&gt;ProposalToGnatt[[#This Row],[Start Date]],CS$27&lt;ProposalToGnatt[[#This Row],[Start Date]]+ProposalToGnatt[[#This Row],[Days]]),$G$5,"")),"")</f>
        <v/>
      </c>
      <c r="CT58" s="36" t="str">
        <f ca="1">IFERROR(+IF(CT$27=ProposalToGnatt[[#This Row],[Start Date]],Milestone_Marker,IF(AND(CT$27&gt;ProposalToGnatt[[#This Row],[Start Date]],CT$27&lt;ProposalToGnatt[[#This Row],[Start Date]]+ProposalToGnatt[[#This Row],[Days]]),$G$5,"")),"")</f>
        <v/>
      </c>
      <c r="CU58" s="36" t="str">
        <f ca="1">IFERROR(+IF(CU$27=ProposalToGnatt[[#This Row],[Start Date]],Milestone_Marker,IF(AND(CU$27&gt;ProposalToGnatt[[#This Row],[Start Date]],CU$27&lt;ProposalToGnatt[[#This Row],[Start Date]]+ProposalToGnatt[[#This Row],[Days]]),$G$5,"")),"")</f>
        <v/>
      </c>
      <c r="CV58" s="36"/>
      <c r="CW58" s="36"/>
      <c r="CX58" s="36"/>
      <c r="CY58" s="36"/>
      <c r="CZ58" s="36"/>
      <c r="DA58" s="36"/>
      <c r="DB58" s="36"/>
      <c r="DC58" s="36"/>
      <c r="DD58" s="36"/>
      <c r="DE58" s="36"/>
      <c r="DF58" s="36"/>
      <c r="DG58" s="36"/>
      <c r="DH58" s="36"/>
      <c r="DI58" s="36"/>
      <c r="DJ58" s="36"/>
      <c r="DK58" s="36"/>
      <c r="DL58" s="36"/>
      <c r="DM58" s="36"/>
      <c r="DN58" s="36"/>
      <c r="DO58" s="36"/>
      <c r="DP58" s="36"/>
      <c r="DQ58" s="36"/>
      <c r="DR58" s="36"/>
      <c r="DS58" s="36"/>
      <c r="DT58" s="36"/>
      <c r="DU58" s="36"/>
    </row>
    <row r="59" spans="1:125" s="41" customFormat="1" ht="15" x14ac:dyDescent="0.25">
      <c r="A59"/>
      <c r="B59"/>
      <c r="C59"/>
      <c r="D59"/>
      <c r="E59"/>
      <c r="F59"/>
      <c r="G59" s="14"/>
      <c r="H59" s="14"/>
      <c r="I59"/>
      <c r="J59"/>
      <c r="K59" s="246"/>
      <c r="L59"/>
      <c r="M59" s="14"/>
      <c r="N59" s="299"/>
      <c r="O59" s="281"/>
      <c r="P59" s="36" t="str">
        <f ca="1">IFERROR(+IF(P$27=ProposalToGnatt[[#This Row],[Start Date]],Milestone_Marker,IF(AND(P$27&gt;ProposalToGnatt[[#This Row],[Start Date]],P$27&lt;ProposalToGnatt[[#This Row],[Start Date]]+ProposalToGnatt[[#This Row],[Days]]),$G$5,"")),"")</f>
        <v/>
      </c>
      <c r="Q59" s="36" t="str">
        <f ca="1">IFERROR(+IF(Q$27=ProposalToGnatt[[#This Row],[Start Date]],Milestone_Marker,IF(AND(Q$27&gt;ProposalToGnatt[[#This Row],[Start Date]],Q$27&lt;ProposalToGnatt[[#This Row],[Start Date]]+ProposalToGnatt[[#This Row],[Days]]),$G$5,"")),"")</f>
        <v/>
      </c>
      <c r="R59" s="36" t="str">
        <f ca="1">IFERROR(+IF(R$27=ProposalToGnatt[[#This Row],[Start Date]],Milestone_Marker,IF(AND(R$27&gt;ProposalToGnatt[[#This Row],[Start Date]],R$27&lt;ProposalToGnatt[[#This Row],[Start Date]]+ProposalToGnatt[[#This Row],[Days]]),$G$5,"")),"")</f>
        <v/>
      </c>
      <c r="S59" s="36" t="str">
        <f ca="1">IFERROR(+IF(S$27=ProposalToGnatt[[#This Row],[Start Date]],Milestone_Marker,IF(AND(S$27&gt;ProposalToGnatt[[#This Row],[Start Date]],S$27&lt;ProposalToGnatt[[#This Row],[Start Date]]+ProposalToGnatt[[#This Row],[Days]]),$G$5,"")),"")</f>
        <v/>
      </c>
      <c r="T59" s="36" t="str">
        <f ca="1">IFERROR(+IF(T$27=ProposalToGnatt[[#This Row],[Start Date]],Milestone_Marker,IF(AND(T$27&gt;ProposalToGnatt[[#This Row],[Start Date]],T$27&lt;ProposalToGnatt[[#This Row],[Start Date]]+ProposalToGnatt[[#This Row],[Days]]),$G$5,"")),"")</f>
        <v/>
      </c>
      <c r="U59" s="36" t="str">
        <f ca="1">IFERROR(+IF(U$27=ProposalToGnatt[[#This Row],[Start Date]],Milestone_Marker,IF(AND(U$27&gt;ProposalToGnatt[[#This Row],[Start Date]],U$27&lt;ProposalToGnatt[[#This Row],[Start Date]]+ProposalToGnatt[[#This Row],[Days]]),$G$5,"")),"")</f>
        <v/>
      </c>
      <c r="V59" s="36" t="str">
        <f ca="1">IFERROR(+IF(V$27=ProposalToGnatt[[#This Row],[Start Date]],Milestone_Marker,IF(AND(V$27&gt;ProposalToGnatt[[#This Row],[Start Date]],V$27&lt;ProposalToGnatt[[#This Row],[Start Date]]+ProposalToGnatt[[#This Row],[Days]]),$G$5,"")),"")</f>
        <v/>
      </c>
      <c r="W59" s="36" t="str">
        <f ca="1">IFERROR(+IF(W$27=ProposalToGnatt[[#This Row],[Start Date]],Milestone_Marker,IF(AND(W$27&gt;ProposalToGnatt[[#This Row],[Start Date]],W$27&lt;ProposalToGnatt[[#This Row],[Start Date]]+ProposalToGnatt[[#This Row],[Days]]),$G$5,"")),"")</f>
        <v/>
      </c>
      <c r="X59" s="36" t="str">
        <f ca="1">IFERROR(+IF(X$27=ProposalToGnatt[[#This Row],[Start Date]],Milestone_Marker,IF(AND(X$27&gt;ProposalToGnatt[[#This Row],[Start Date]],X$27&lt;ProposalToGnatt[[#This Row],[Start Date]]+ProposalToGnatt[[#This Row],[Days]]),$G$5,"")),"")</f>
        <v/>
      </c>
      <c r="Y59" s="36" t="str">
        <f ca="1">IFERROR(+IF(Y$27=ProposalToGnatt[[#This Row],[Start Date]],Milestone_Marker,IF(AND(Y$27&gt;ProposalToGnatt[[#This Row],[Start Date]],Y$27&lt;ProposalToGnatt[[#This Row],[Start Date]]+ProposalToGnatt[[#This Row],[Days]]),$G$5,"")),"")</f>
        <v/>
      </c>
      <c r="Z59" s="36" t="str">
        <f ca="1">IFERROR(+IF(Z$27=ProposalToGnatt[[#This Row],[Start Date]],Milestone_Marker,IF(AND(Z$27&gt;ProposalToGnatt[[#This Row],[Start Date]],Z$27&lt;ProposalToGnatt[[#This Row],[Start Date]]+ProposalToGnatt[[#This Row],[Days]]),$G$5,"")),"")</f>
        <v/>
      </c>
      <c r="AA59" s="36" t="str">
        <f ca="1">IFERROR(+IF(AA$27=ProposalToGnatt[[#This Row],[Start Date]],Milestone_Marker,IF(AND(AA$27&gt;ProposalToGnatt[[#This Row],[Start Date]],AA$27&lt;ProposalToGnatt[[#This Row],[Start Date]]+ProposalToGnatt[[#This Row],[Days]]),$G$5,"")),"")</f>
        <v/>
      </c>
      <c r="AB59" s="36" t="str">
        <f ca="1">IFERROR(+IF(AB$27=ProposalToGnatt[[#This Row],[Start Date]],Milestone_Marker,IF(AND(AB$27&gt;ProposalToGnatt[[#This Row],[Start Date]],AB$27&lt;ProposalToGnatt[[#This Row],[Start Date]]+ProposalToGnatt[[#This Row],[Days]]),$G$5,"")),"")</f>
        <v/>
      </c>
      <c r="AC59" s="36" t="str">
        <f ca="1">IFERROR(+IF(AC$27=ProposalToGnatt[[#This Row],[Start Date]],Milestone_Marker,IF(AND(AC$27&gt;ProposalToGnatt[[#This Row],[Start Date]],AC$27&lt;ProposalToGnatt[[#This Row],[Start Date]]+ProposalToGnatt[[#This Row],[Days]]),$G$5,"")),"")</f>
        <v/>
      </c>
      <c r="AD59" s="36" t="str">
        <f ca="1">IFERROR(+IF(AD$27=ProposalToGnatt[[#This Row],[Start Date]],Milestone_Marker,IF(AND(AD$27&gt;ProposalToGnatt[[#This Row],[Start Date]],AD$27&lt;ProposalToGnatt[[#This Row],[Start Date]]+ProposalToGnatt[[#This Row],[Days]]),$G$5,"")),"")</f>
        <v/>
      </c>
      <c r="AE59" s="36" t="str">
        <f ca="1">IFERROR(+IF(AE$27=ProposalToGnatt[[#This Row],[Start Date]],Milestone_Marker,IF(AND(AE$27&gt;ProposalToGnatt[[#This Row],[Start Date]],AE$27&lt;ProposalToGnatt[[#This Row],[Start Date]]+ProposalToGnatt[[#This Row],[Days]]),$G$5,"")),"")</f>
        <v/>
      </c>
      <c r="AF59" s="36" t="str">
        <f ca="1">IFERROR(+IF(AF$27=ProposalToGnatt[[#This Row],[Start Date]],Milestone_Marker,IF(AND(AF$27&gt;ProposalToGnatt[[#This Row],[Start Date]],AF$27&lt;ProposalToGnatt[[#This Row],[Start Date]]+ProposalToGnatt[[#This Row],[Days]]),$G$5,"")),"")</f>
        <v/>
      </c>
      <c r="AG59" s="36" t="str">
        <f ca="1">IFERROR(+IF(AG$27=ProposalToGnatt[[#This Row],[Start Date]],Milestone_Marker,IF(AND(AG$27&gt;ProposalToGnatt[[#This Row],[Start Date]],AG$27&lt;ProposalToGnatt[[#This Row],[Start Date]]+ProposalToGnatt[[#This Row],[Days]]),$G$5,"")),"")</f>
        <v/>
      </c>
      <c r="AH59" s="36" t="str">
        <f ca="1">IFERROR(+IF(AH$27=ProposalToGnatt[[#This Row],[Start Date]],Milestone_Marker,IF(AND(AH$27&gt;ProposalToGnatt[[#This Row],[Start Date]],AH$27&lt;ProposalToGnatt[[#This Row],[Start Date]]+ProposalToGnatt[[#This Row],[Days]]),$G$5,"")),"")</f>
        <v/>
      </c>
      <c r="AI59" s="36" t="str">
        <f ca="1">IFERROR(+IF(AI$27=ProposalToGnatt[[#This Row],[Start Date]],Milestone_Marker,IF(AND(AI$27&gt;ProposalToGnatt[[#This Row],[Start Date]],AI$27&lt;ProposalToGnatt[[#This Row],[Start Date]]+ProposalToGnatt[[#This Row],[Days]]),$G$5,"")),"")</f>
        <v/>
      </c>
      <c r="AJ59" s="36" t="str">
        <f ca="1">IFERROR(+IF(AJ$27=ProposalToGnatt[[#This Row],[Start Date]],Milestone_Marker,IF(AND(AJ$27&gt;ProposalToGnatt[[#This Row],[Start Date]],AJ$27&lt;ProposalToGnatt[[#This Row],[Start Date]]+ProposalToGnatt[[#This Row],[Days]]),$G$5,"")),"")</f>
        <v/>
      </c>
      <c r="AK59" s="36" t="str">
        <f ca="1">IFERROR(+IF(AK$27=ProposalToGnatt[[#This Row],[Start Date]],Milestone_Marker,IF(AND(AK$27&gt;ProposalToGnatt[[#This Row],[Start Date]],AK$27&lt;ProposalToGnatt[[#This Row],[Start Date]]+ProposalToGnatt[[#This Row],[Days]]),$G$5,"")),"")</f>
        <v/>
      </c>
      <c r="AL59" s="36" t="str">
        <f ca="1">IFERROR(+IF(AL$27=ProposalToGnatt[[#This Row],[Start Date]],Milestone_Marker,IF(AND(AL$27&gt;ProposalToGnatt[[#This Row],[Start Date]],AL$27&lt;ProposalToGnatt[[#This Row],[Start Date]]+ProposalToGnatt[[#This Row],[Days]]),$G$5,"")),"")</f>
        <v/>
      </c>
      <c r="AM59" s="36" t="str">
        <f ca="1">IFERROR(+IF(AM$27=ProposalToGnatt[[#This Row],[Start Date]],Milestone_Marker,IF(AND(AM$27&gt;ProposalToGnatt[[#This Row],[Start Date]],AM$27&lt;ProposalToGnatt[[#This Row],[Start Date]]+ProposalToGnatt[[#This Row],[Days]]),$G$5,"")),"")</f>
        <v/>
      </c>
      <c r="AN59" s="36" t="str">
        <f ca="1">IFERROR(+IF(AN$27=ProposalToGnatt[[#This Row],[Start Date]],Milestone_Marker,IF(AND(AN$27&gt;ProposalToGnatt[[#This Row],[Start Date]],AN$27&lt;ProposalToGnatt[[#This Row],[Start Date]]+ProposalToGnatt[[#This Row],[Days]]),$G$5,"")),"")</f>
        <v/>
      </c>
      <c r="AO59" s="36" t="str">
        <f ca="1">IFERROR(+IF(AO$27=ProposalToGnatt[[#This Row],[Start Date]],Milestone_Marker,IF(AND(AO$27&gt;ProposalToGnatt[[#This Row],[Start Date]],AO$27&lt;ProposalToGnatt[[#This Row],[Start Date]]+ProposalToGnatt[[#This Row],[Days]]),$G$5,"")),"")</f>
        <v/>
      </c>
      <c r="AP59" s="36" t="str">
        <f ca="1">IFERROR(+IF(AP$27=ProposalToGnatt[[#This Row],[Start Date]],Milestone_Marker,IF(AND(AP$27&gt;ProposalToGnatt[[#This Row],[Start Date]],AP$27&lt;ProposalToGnatt[[#This Row],[Start Date]]+ProposalToGnatt[[#This Row],[Days]]),$G$5,"")),"")</f>
        <v/>
      </c>
      <c r="AQ59" s="36" t="str">
        <f ca="1">IFERROR(+IF(AQ$27=ProposalToGnatt[[#This Row],[Start Date]],Milestone_Marker,IF(AND(AQ$27&gt;ProposalToGnatt[[#This Row],[Start Date]],AQ$27&lt;ProposalToGnatt[[#This Row],[Start Date]]+ProposalToGnatt[[#This Row],[Days]]),$G$5,"")),"")</f>
        <v/>
      </c>
      <c r="AR59" s="36" t="str">
        <f ca="1">IFERROR(+IF(AR$27=ProposalToGnatt[[#This Row],[Start Date]],Milestone_Marker,IF(AND(AR$27&gt;ProposalToGnatt[[#This Row],[Start Date]],AR$27&lt;ProposalToGnatt[[#This Row],[Start Date]]+ProposalToGnatt[[#This Row],[Days]]),$G$5,"")),"")</f>
        <v/>
      </c>
      <c r="AS59" s="36" t="str">
        <f ca="1">IFERROR(+IF(AS$27=ProposalToGnatt[[#This Row],[Start Date]],Milestone_Marker,IF(AND(AS$27&gt;ProposalToGnatt[[#This Row],[Start Date]],AS$27&lt;ProposalToGnatt[[#This Row],[Start Date]]+ProposalToGnatt[[#This Row],[Days]]),$G$5,"")),"")</f>
        <v/>
      </c>
      <c r="AT59" s="36" t="str">
        <f ca="1">IFERROR(+IF(AT$27=ProposalToGnatt[[#This Row],[Start Date]],Milestone_Marker,IF(AND(AT$27&gt;ProposalToGnatt[[#This Row],[Start Date]],AT$27&lt;ProposalToGnatt[[#This Row],[Start Date]]+ProposalToGnatt[[#This Row],[Days]]),$G$5,"")),"")</f>
        <v/>
      </c>
      <c r="AU59" s="36" t="str">
        <f ca="1">IFERROR(+IF(AU$27=ProposalToGnatt[[#This Row],[Start Date]],Milestone_Marker,IF(AND(AU$27&gt;ProposalToGnatt[[#This Row],[Start Date]],AU$27&lt;ProposalToGnatt[[#This Row],[Start Date]]+ProposalToGnatt[[#This Row],[Days]]),$G$5,"")),"")</f>
        <v/>
      </c>
      <c r="AV59" s="36" t="str">
        <f ca="1">IFERROR(+IF(AV$27=ProposalToGnatt[[#This Row],[Start Date]],Milestone_Marker,IF(AND(AV$27&gt;ProposalToGnatt[[#This Row],[Start Date]],AV$27&lt;ProposalToGnatt[[#This Row],[Start Date]]+ProposalToGnatt[[#This Row],[Days]]),$G$5,"")),"")</f>
        <v/>
      </c>
      <c r="AW59" s="36" t="str">
        <f ca="1">IFERROR(+IF(AW$27=ProposalToGnatt[[#This Row],[Start Date]],Milestone_Marker,IF(AND(AW$27&gt;ProposalToGnatt[[#This Row],[Start Date]],AW$27&lt;ProposalToGnatt[[#This Row],[Start Date]]+ProposalToGnatt[[#This Row],[Days]]),$G$5,"")),"")</f>
        <v/>
      </c>
      <c r="AX59" s="36" t="str">
        <f ca="1">IFERROR(+IF(AX$27=ProposalToGnatt[[#This Row],[Start Date]],Milestone_Marker,IF(AND(AX$27&gt;ProposalToGnatt[[#This Row],[Start Date]],AX$27&lt;ProposalToGnatt[[#This Row],[Start Date]]+ProposalToGnatt[[#This Row],[Days]]),$G$5,"")),"")</f>
        <v/>
      </c>
      <c r="AY59" s="36" t="str">
        <f ca="1">IFERROR(+IF(AY$27=ProposalToGnatt[[#This Row],[Start Date]],Milestone_Marker,IF(AND(AY$27&gt;ProposalToGnatt[[#This Row],[Start Date]],AY$27&lt;ProposalToGnatt[[#This Row],[Start Date]]+ProposalToGnatt[[#This Row],[Days]]),$G$5,"")),"")</f>
        <v/>
      </c>
      <c r="AZ59" s="36" t="str">
        <f ca="1">IFERROR(+IF(AZ$27=ProposalToGnatt[[#This Row],[Start Date]],Milestone_Marker,IF(AND(AZ$27&gt;ProposalToGnatt[[#This Row],[Start Date]],AZ$27&lt;ProposalToGnatt[[#This Row],[Start Date]]+ProposalToGnatt[[#This Row],[Days]]),$G$5,"")),"")</f>
        <v/>
      </c>
      <c r="BA59" s="36" t="str">
        <f ca="1">IFERROR(+IF(BA$27=ProposalToGnatt[[#This Row],[Start Date]],Milestone_Marker,IF(AND(BA$27&gt;ProposalToGnatt[[#This Row],[Start Date]],BA$27&lt;ProposalToGnatt[[#This Row],[Start Date]]+ProposalToGnatt[[#This Row],[Days]]),$G$5,"")),"")</f>
        <v/>
      </c>
      <c r="BB59" s="36" t="str">
        <f ca="1">IFERROR(+IF(BB$27=ProposalToGnatt[[#This Row],[Start Date]],Milestone_Marker,IF(AND(BB$27&gt;ProposalToGnatt[[#This Row],[Start Date]],BB$27&lt;ProposalToGnatt[[#This Row],[Start Date]]+ProposalToGnatt[[#This Row],[Days]]),$G$5,"")),"")</f>
        <v/>
      </c>
      <c r="BC59" s="36" t="str">
        <f ca="1">IFERROR(+IF(BC$27=ProposalToGnatt[[#This Row],[Start Date]],Milestone_Marker,IF(AND(BC$27&gt;ProposalToGnatt[[#This Row],[Start Date]],BC$27&lt;ProposalToGnatt[[#This Row],[Start Date]]+ProposalToGnatt[[#This Row],[Days]]),$G$5,"")),"")</f>
        <v/>
      </c>
      <c r="BD59" s="36" t="str">
        <f ca="1">IFERROR(+IF(BD$27=ProposalToGnatt[[#This Row],[Start Date]],Milestone_Marker,IF(AND(BD$27&gt;ProposalToGnatt[[#This Row],[Start Date]],BD$27&lt;ProposalToGnatt[[#This Row],[Start Date]]+ProposalToGnatt[[#This Row],[Days]]),$G$5,"")),"")</f>
        <v/>
      </c>
      <c r="BE59" s="36" t="str">
        <f ca="1">IFERROR(+IF(BE$27=ProposalToGnatt[[#This Row],[Start Date]],Milestone_Marker,IF(AND(BE$27&gt;ProposalToGnatt[[#This Row],[Start Date]],BE$27&lt;ProposalToGnatt[[#This Row],[Start Date]]+ProposalToGnatt[[#This Row],[Days]]),$G$5,"")),"")</f>
        <v/>
      </c>
      <c r="BF59" s="36" t="str">
        <f ca="1">IFERROR(+IF(BF$27=ProposalToGnatt[[#This Row],[Start Date]],Milestone_Marker,IF(AND(BF$27&gt;ProposalToGnatt[[#This Row],[Start Date]],BF$27&lt;ProposalToGnatt[[#This Row],[Start Date]]+ProposalToGnatt[[#This Row],[Days]]),$G$5,"")),"")</f>
        <v/>
      </c>
      <c r="BG59" s="36" t="str">
        <f ca="1">IFERROR(+IF(BG$27=ProposalToGnatt[[#This Row],[Start Date]],Milestone_Marker,IF(AND(BG$27&gt;ProposalToGnatt[[#This Row],[Start Date]],BG$27&lt;ProposalToGnatt[[#This Row],[Start Date]]+ProposalToGnatt[[#This Row],[Days]]),$G$5,"")),"")</f>
        <v/>
      </c>
      <c r="BH59" s="36" t="str">
        <f ca="1">IFERROR(+IF(BH$27=ProposalToGnatt[[#This Row],[Start Date]],Milestone_Marker,IF(AND(BH$27&gt;ProposalToGnatt[[#This Row],[Start Date]],BH$27&lt;ProposalToGnatt[[#This Row],[Start Date]]+ProposalToGnatt[[#This Row],[Days]]),$G$5,"")),"")</f>
        <v/>
      </c>
      <c r="BI59" s="36" t="str">
        <f ca="1">IFERROR(+IF(BI$27=ProposalToGnatt[[#This Row],[Start Date]],Milestone_Marker,IF(AND(BI$27&gt;ProposalToGnatt[[#This Row],[Start Date]],BI$27&lt;ProposalToGnatt[[#This Row],[Start Date]]+ProposalToGnatt[[#This Row],[Days]]),$G$5,"")),"")</f>
        <v/>
      </c>
      <c r="BJ59" s="36" t="str">
        <f ca="1">IFERROR(+IF(BJ$27=ProposalToGnatt[[#This Row],[Start Date]],Milestone_Marker,IF(AND(BJ$27&gt;ProposalToGnatt[[#This Row],[Start Date]],BJ$27&lt;ProposalToGnatt[[#This Row],[Start Date]]+ProposalToGnatt[[#This Row],[Days]]),$G$5,"")),"")</f>
        <v/>
      </c>
      <c r="BK59" s="36" t="str">
        <f ca="1">IFERROR(+IF(BK$27=ProposalToGnatt[[#This Row],[Start Date]],Milestone_Marker,IF(AND(BK$27&gt;ProposalToGnatt[[#This Row],[Start Date]],BK$27&lt;ProposalToGnatt[[#This Row],[Start Date]]+ProposalToGnatt[[#This Row],[Days]]),$G$5,"")),"")</f>
        <v/>
      </c>
      <c r="BL59" s="36" t="str">
        <f ca="1">IFERROR(+IF(BL$27=ProposalToGnatt[[#This Row],[Start Date]],Milestone_Marker,IF(AND(BL$27&gt;ProposalToGnatt[[#This Row],[Start Date]],BL$27&lt;ProposalToGnatt[[#This Row],[Start Date]]+ProposalToGnatt[[#This Row],[Days]]),$G$5,"")),"")</f>
        <v/>
      </c>
      <c r="BM59" s="36" t="str">
        <f ca="1">IFERROR(+IF(BM$27=ProposalToGnatt[[#This Row],[Start Date]],Milestone_Marker,IF(AND(BM$27&gt;ProposalToGnatt[[#This Row],[Start Date]],BM$27&lt;ProposalToGnatt[[#This Row],[Start Date]]+ProposalToGnatt[[#This Row],[Days]]),$G$5,"")),"")</f>
        <v/>
      </c>
      <c r="BN59" s="36" t="str">
        <f ca="1">IFERROR(+IF(BN$27=ProposalToGnatt[[#This Row],[Start Date]],Milestone_Marker,IF(AND(BN$27&gt;ProposalToGnatt[[#This Row],[Start Date]],BN$27&lt;ProposalToGnatt[[#This Row],[Start Date]]+ProposalToGnatt[[#This Row],[Days]]),$G$5,"")),"")</f>
        <v/>
      </c>
      <c r="BO59" s="36" t="str">
        <f ca="1">IFERROR(+IF(BO$27=ProposalToGnatt[[#This Row],[Start Date]],Milestone_Marker,IF(AND(BO$27&gt;ProposalToGnatt[[#This Row],[Start Date]],BO$27&lt;ProposalToGnatt[[#This Row],[Start Date]]+ProposalToGnatt[[#This Row],[Days]]),$G$5,"")),"")</f>
        <v/>
      </c>
      <c r="BP59" s="36" t="str">
        <f ca="1">IFERROR(+IF(BP$27=ProposalToGnatt[[#This Row],[Start Date]],Milestone_Marker,IF(AND(BP$27&gt;ProposalToGnatt[[#This Row],[Start Date]],BP$27&lt;ProposalToGnatt[[#This Row],[Start Date]]+ProposalToGnatt[[#This Row],[Days]]),$G$5,"")),"")</f>
        <v/>
      </c>
      <c r="BQ59" s="36" t="str">
        <f ca="1">IFERROR(+IF(BQ$27=ProposalToGnatt[[#This Row],[Start Date]],Milestone_Marker,IF(AND(BQ$27&gt;ProposalToGnatt[[#This Row],[Start Date]],BQ$27&lt;ProposalToGnatt[[#This Row],[Start Date]]+ProposalToGnatt[[#This Row],[Days]]),$G$5,"")),"")</f>
        <v/>
      </c>
      <c r="BR59" s="36" t="str">
        <f ca="1">IFERROR(+IF(BR$27=ProposalToGnatt[[#This Row],[Start Date]],Milestone_Marker,IF(AND(BR$27&gt;ProposalToGnatt[[#This Row],[Start Date]],BR$27&lt;ProposalToGnatt[[#This Row],[Start Date]]+ProposalToGnatt[[#This Row],[Days]]),$G$5,"")),"")</f>
        <v/>
      </c>
      <c r="BS59" s="36" t="str">
        <f ca="1">IFERROR(+IF(BS$27=ProposalToGnatt[[#This Row],[Start Date]],Milestone_Marker,IF(AND(BS$27&gt;ProposalToGnatt[[#This Row],[Start Date]],BS$27&lt;ProposalToGnatt[[#This Row],[Start Date]]+ProposalToGnatt[[#This Row],[Days]]),$G$5,"")),"")</f>
        <v/>
      </c>
      <c r="BT59" s="36" t="str">
        <f ca="1">IFERROR(+IF(BT$27=ProposalToGnatt[[#This Row],[Start Date]],Milestone_Marker,IF(AND(BT$27&gt;ProposalToGnatt[[#This Row],[Start Date]],BT$27&lt;ProposalToGnatt[[#This Row],[Start Date]]+ProposalToGnatt[[#This Row],[Days]]),$G$5,"")),"")</f>
        <v/>
      </c>
      <c r="BU59" s="36" t="str">
        <f ca="1">IFERROR(+IF(BU$27=ProposalToGnatt[[#This Row],[Start Date]],Milestone_Marker,IF(AND(BU$27&gt;ProposalToGnatt[[#This Row],[Start Date]],BU$27&lt;ProposalToGnatt[[#This Row],[Start Date]]+ProposalToGnatt[[#This Row],[Days]]),$G$5,"")),"")</f>
        <v/>
      </c>
      <c r="BV59" s="36" t="str">
        <f ca="1">IFERROR(+IF(BV$27=ProposalToGnatt[[#This Row],[Start Date]],Milestone_Marker,IF(AND(BV$27&gt;ProposalToGnatt[[#This Row],[Start Date]],BV$27&lt;ProposalToGnatt[[#This Row],[Start Date]]+ProposalToGnatt[[#This Row],[Days]]),$G$5,"")),"")</f>
        <v/>
      </c>
      <c r="BW59" s="36" t="str">
        <f ca="1">IFERROR(+IF(BW$27=ProposalToGnatt[[#This Row],[Start Date]],Milestone_Marker,IF(AND(BW$27&gt;ProposalToGnatt[[#This Row],[Start Date]],BW$27&lt;ProposalToGnatt[[#This Row],[Start Date]]+ProposalToGnatt[[#This Row],[Days]]),$G$5,"")),"")</f>
        <v/>
      </c>
      <c r="BX59" s="36" t="str">
        <f ca="1">IFERROR(+IF(BX$27=ProposalToGnatt[[#This Row],[Start Date]],Milestone_Marker,IF(AND(BX$27&gt;ProposalToGnatt[[#This Row],[Start Date]],BX$27&lt;ProposalToGnatt[[#This Row],[Start Date]]+ProposalToGnatt[[#This Row],[Days]]),$G$5,"")),"")</f>
        <v/>
      </c>
      <c r="BY59" s="36" t="str">
        <f ca="1">IFERROR(+IF(BY$27=ProposalToGnatt[[#This Row],[Start Date]],Milestone_Marker,IF(AND(BY$27&gt;ProposalToGnatt[[#This Row],[Start Date]],BY$27&lt;ProposalToGnatt[[#This Row],[Start Date]]+ProposalToGnatt[[#This Row],[Days]]),$G$5,"")),"")</f>
        <v/>
      </c>
      <c r="BZ59" s="36" t="str">
        <f ca="1">IFERROR(+IF(BZ$27=ProposalToGnatt[[#This Row],[Start Date]],Milestone_Marker,IF(AND(BZ$27&gt;ProposalToGnatt[[#This Row],[Start Date]],BZ$27&lt;ProposalToGnatt[[#This Row],[Start Date]]+ProposalToGnatt[[#This Row],[Days]]),$G$5,"")),"")</f>
        <v/>
      </c>
      <c r="CA59" s="36" t="str">
        <f ca="1">IFERROR(+IF(CA$27=ProposalToGnatt[[#This Row],[Start Date]],Milestone_Marker,IF(AND(CA$27&gt;ProposalToGnatt[[#This Row],[Start Date]],CA$27&lt;ProposalToGnatt[[#This Row],[Start Date]]+ProposalToGnatt[[#This Row],[Days]]),$G$5,"")),"")</f>
        <v/>
      </c>
      <c r="CB59" s="36" t="str">
        <f ca="1">IFERROR(+IF(CB$27=ProposalToGnatt[[#This Row],[Start Date]],Milestone_Marker,IF(AND(CB$27&gt;ProposalToGnatt[[#This Row],[Start Date]],CB$27&lt;ProposalToGnatt[[#This Row],[Start Date]]+ProposalToGnatt[[#This Row],[Days]]),$G$5,"")),"")</f>
        <v/>
      </c>
      <c r="CC59" s="36" t="str">
        <f ca="1">IFERROR(+IF(CC$27=ProposalToGnatt[[#This Row],[Start Date]],Milestone_Marker,IF(AND(CC$27&gt;ProposalToGnatt[[#This Row],[Start Date]],CC$27&lt;ProposalToGnatt[[#This Row],[Start Date]]+ProposalToGnatt[[#This Row],[Days]]),$G$5,"")),"")</f>
        <v/>
      </c>
      <c r="CD59" s="36" t="str">
        <f ca="1">IFERROR(+IF(CD$27=ProposalToGnatt[[#This Row],[Start Date]],Milestone_Marker,IF(AND(CD$27&gt;ProposalToGnatt[[#This Row],[Start Date]],CD$27&lt;ProposalToGnatt[[#This Row],[Start Date]]+ProposalToGnatt[[#This Row],[Days]]),$G$5,"")),"")</f>
        <v/>
      </c>
      <c r="CE59" s="36" t="str">
        <f ca="1">IFERROR(+IF(CE$27=ProposalToGnatt[[#This Row],[Start Date]],Milestone_Marker,IF(AND(CE$27&gt;ProposalToGnatt[[#This Row],[Start Date]],CE$27&lt;ProposalToGnatt[[#This Row],[Start Date]]+ProposalToGnatt[[#This Row],[Days]]),$G$5,"")),"")</f>
        <v/>
      </c>
      <c r="CF59" s="36" t="str">
        <f ca="1">IFERROR(+IF(CF$27=ProposalToGnatt[[#This Row],[Start Date]],Milestone_Marker,IF(AND(CF$27&gt;ProposalToGnatt[[#This Row],[Start Date]],CF$27&lt;ProposalToGnatt[[#This Row],[Start Date]]+ProposalToGnatt[[#This Row],[Days]]),$G$5,"")),"")</f>
        <v/>
      </c>
      <c r="CG59" s="36" t="str">
        <f ca="1">IFERROR(+IF(CG$27=ProposalToGnatt[[#This Row],[Start Date]],Milestone_Marker,IF(AND(CG$27&gt;ProposalToGnatt[[#This Row],[Start Date]],CG$27&lt;ProposalToGnatt[[#This Row],[Start Date]]+ProposalToGnatt[[#This Row],[Days]]),$G$5,"")),"")</f>
        <v/>
      </c>
      <c r="CH59" s="36" t="str">
        <f ca="1">IFERROR(+IF(CH$27=ProposalToGnatt[[#This Row],[Start Date]],Milestone_Marker,IF(AND(CH$27&gt;ProposalToGnatt[[#This Row],[Start Date]],CH$27&lt;ProposalToGnatt[[#This Row],[Start Date]]+ProposalToGnatt[[#This Row],[Days]]),$G$5,"")),"")</f>
        <v/>
      </c>
      <c r="CI59" s="36" t="str">
        <f ca="1">IFERROR(+IF(CI$27=ProposalToGnatt[[#This Row],[Start Date]],Milestone_Marker,IF(AND(CI$27&gt;ProposalToGnatt[[#This Row],[Start Date]],CI$27&lt;ProposalToGnatt[[#This Row],[Start Date]]+ProposalToGnatt[[#This Row],[Days]]),$G$5,"")),"")</f>
        <v/>
      </c>
      <c r="CJ59" s="36" t="str">
        <f ca="1">IFERROR(+IF(CJ$27=ProposalToGnatt[[#This Row],[Start Date]],Milestone_Marker,IF(AND(CJ$27&gt;ProposalToGnatt[[#This Row],[Start Date]],CJ$27&lt;ProposalToGnatt[[#This Row],[Start Date]]+ProposalToGnatt[[#This Row],[Days]]),$G$5,"")),"")</f>
        <v/>
      </c>
      <c r="CK59" s="36" t="str">
        <f ca="1">IFERROR(+IF(CK$27=ProposalToGnatt[[#This Row],[Start Date]],Milestone_Marker,IF(AND(CK$27&gt;ProposalToGnatt[[#This Row],[Start Date]],CK$27&lt;ProposalToGnatt[[#This Row],[Start Date]]+ProposalToGnatt[[#This Row],[Days]]),$G$5,"")),"")</f>
        <v/>
      </c>
      <c r="CL59" s="36" t="str">
        <f ca="1">IFERROR(+IF(CL$27=ProposalToGnatt[[#This Row],[Start Date]],Milestone_Marker,IF(AND(CL$27&gt;ProposalToGnatt[[#This Row],[Start Date]],CL$27&lt;ProposalToGnatt[[#This Row],[Start Date]]+ProposalToGnatt[[#This Row],[Days]]),$G$5,"")),"")</f>
        <v/>
      </c>
      <c r="CM59" s="36" t="str">
        <f ca="1">IFERROR(+IF(CM$27=ProposalToGnatt[[#This Row],[Start Date]],Milestone_Marker,IF(AND(CM$27&gt;ProposalToGnatt[[#This Row],[Start Date]],CM$27&lt;ProposalToGnatt[[#This Row],[Start Date]]+ProposalToGnatt[[#This Row],[Days]]),$G$5,"")),"")</f>
        <v/>
      </c>
      <c r="CN59" s="36" t="str">
        <f ca="1">IFERROR(+IF(CN$27=ProposalToGnatt[[#This Row],[Start Date]],Milestone_Marker,IF(AND(CN$27&gt;ProposalToGnatt[[#This Row],[Start Date]],CN$27&lt;ProposalToGnatt[[#This Row],[Start Date]]+ProposalToGnatt[[#This Row],[Days]]),$G$5,"")),"")</f>
        <v/>
      </c>
      <c r="CO59" s="36" t="str">
        <f ca="1">IFERROR(+IF(CO$27=ProposalToGnatt[[#This Row],[Start Date]],Milestone_Marker,IF(AND(CO$27&gt;ProposalToGnatt[[#This Row],[Start Date]],CO$27&lt;ProposalToGnatt[[#This Row],[Start Date]]+ProposalToGnatt[[#This Row],[Days]]),$G$5,"")),"")</f>
        <v/>
      </c>
      <c r="CP59" s="36" t="str">
        <f ca="1">IFERROR(+IF(CP$27=ProposalToGnatt[[#This Row],[Start Date]],Milestone_Marker,IF(AND(CP$27&gt;ProposalToGnatt[[#This Row],[Start Date]],CP$27&lt;ProposalToGnatt[[#This Row],[Start Date]]+ProposalToGnatt[[#This Row],[Days]]),$G$5,"")),"")</f>
        <v/>
      </c>
      <c r="CQ59" s="36" t="str">
        <f ca="1">IFERROR(+IF(CQ$27=ProposalToGnatt[[#This Row],[Start Date]],Milestone_Marker,IF(AND(CQ$27&gt;ProposalToGnatt[[#This Row],[Start Date]],CQ$27&lt;ProposalToGnatt[[#This Row],[Start Date]]+ProposalToGnatt[[#This Row],[Days]]),$G$5,"")),"")</f>
        <v/>
      </c>
      <c r="CR59" s="36" t="str">
        <f ca="1">IFERROR(+IF(CR$27=ProposalToGnatt[[#This Row],[Start Date]],Milestone_Marker,IF(AND(CR$27&gt;ProposalToGnatt[[#This Row],[Start Date]],CR$27&lt;ProposalToGnatt[[#This Row],[Start Date]]+ProposalToGnatt[[#This Row],[Days]]),$G$5,"")),"")</f>
        <v/>
      </c>
      <c r="CS59" s="36" t="str">
        <f ca="1">IFERROR(+IF(CS$27=ProposalToGnatt[[#This Row],[Start Date]],Milestone_Marker,IF(AND(CS$27&gt;ProposalToGnatt[[#This Row],[Start Date]],CS$27&lt;ProposalToGnatt[[#This Row],[Start Date]]+ProposalToGnatt[[#This Row],[Days]]),$G$5,"")),"")</f>
        <v/>
      </c>
      <c r="CT59" s="36" t="str">
        <f ca="1">IFERROR(+IF(CT$27=ProposalToGnatt[[#This Row],[Start Date]],Milestone_Marker,IF(AND(CT$27&gt;ProposalToGnatt[[#This Row],[Start Date]],CT$27&lt;ProposalToGnatt[[#This Row],[Start Date]]+ProposalToGnatt[[#This Row],[Days]]),$G$5,"")),"")</f>
        <v/>
      </c>
      <c r="CU59" s="36" t="str">
        <f ca="1">IFERROR(+IF(CU$27=ProposalToGnatt[[#This Row],[Start Date]],Milestone_Marker,IF(AND(CU$27&gt;ProposalToGnatt[[#This Row],[Start Date]],CU$27&lt;ProposalToGnatt[[#This Row],[Start Date]]+ProposalToGnatt[[#This Row],[Days]]),$G$5,"")),"")</f>
        <v/>
      </c>
      <c r="CV59" s="36"/>
      <c r="CW59" s="36"/>
      <c r="CX59" s="36"/>
      <c r="CY59" s="36"/>
      <c r="CZ59" s="36"/>
      <c r="DA59" s="36"/>
      <c r="DB59" s="36"/>
      <c r="DC59" s="36"/>
      <c r="DD59" s="36"/>
      <c r="DE59" s="36"/>
      <c r="DF59" s="36"/>
      <c r="DG59" s="36"/>
      <c r="DH59" s="36"/>
      <c r="DI59" s="36"/>
      <c r="DJ59" s="36"/>
      <c r="DK59" s="36"/>
      <c r="DL59" s="36"/>
      <c r="DM59" s="36"/>
      <c r="DN59" s="36"/>
      <c r="DO59" s="36"/>
      <c r="DP59" s="36"/>
      <c r="DQ59" s="36"/>
      <c r="DR59" s="36"/>
      <c r="DS59" s="36"/>
      <c r="DT59" s="36"/>
      <c r="DU59" s="36"/>
    </row>
    <row r="60" spans="1:125" s="41" customFormat="1" ht="15" x14ac:dyDescent="0.25">
      <c r="A60"/>
      <c r="B60"/>
      <c r="C60"/>
      <c r="D60"/>
      <c r="E60"/>
      <c r="F60"/>
      <c r="G60" s="14"/>
      <c r="H60" s="14"/>
      <c r="I60"/>
      <c r="J60"/>
      <c r="K60" s="246"/>
      <c r="L60"/>
      <c r="M60" s="14"/>
      <c r="N60" s="299"/>
      <c r="O60" s="281"/>
      <c r="P60" s="36" t="str">
        <f ca="1">IFERROR(+IF(P$27=ProposalToGnatt[[#This Row],[Start Date]],Milestone_Marker,IF(AND(P$27&gt;ProposalToGnatt[[#This Row],[Start Date]],P$27&lt;ProposalToGnatt[[#This Row],[Start Date]]+ProposalToGnatt[[#This Row],[Days]]),$G$5,"")),"")</f>
        <v/>
      </c>
      <c r="Q60" s="36" t="str">
        <f ca="1">IFERROR(+IF(Q$27=ProposalToGnatt[[#This Row],[Start Date]],Milestone_Marker,IF(AND(Q$27&gt;ProposalToGnatt[[#This Row],[Start Date]],Q$27&lt;ProposalToGnatt[[#This Row],[Start Date]]+ProposalToGnatt[[#This Row],[Days]]),$G$5,"")),"")</f>
        <v/>
      </c>
      <c r="R60" s="36" t="str">
        <f ca="1">IFERROR(+IF(R$27=ProposalToGnatt[[#This Row],[Start Date]],Milestone_Marker,IF(AND(R$27&gt;ProposalToGnatt[[#This Row],[Start Date]],R$27&lt;ProposalToGnatt[[#This Row],[Start Date]]+ProposalToGnatt[[#This Row],[Days]]),$G$5,"")),"")</f>
        <v/>
      </c>
      <c r="S60" s="36" t="str">
        <f ca="1">IFERROR(+IF(S$27=ProposalToGnatt[[#This Row],[Start Date]],Milestone_Marker,IF(AND(S$27&gt;ProposalToGnatt[[#This Row],[Start Date]],S$27&lt;ProposalToGnatt[[#This Row],[Start Date]]+ProposalToGnatt[[#This Row],[Days]]),$G$5,"")),"")</f>
        <v/>
      </c>
      <c r="T60" s="36" t="str">
        <f ca="1">IFERROR(+IF(T$27=ProposalToGnatt[[#This Row],[Start Date]],Milestone_Marker,IF(AND(T$27&gt;ProposalToGnatt[[#This Row],[Start Date]],T$27&lt;ProposalToGnatt[[#This Row],[Start Date]]+ProposalToGnatt[[#This Row],[Days]]),$G$5,"")),"")</f>
        <v/>
      </c>
      <c r="U60" s="36" t="str">
        <f ca="1">IFERROR(+IF(U$27=ProposalToGnatt[[#This Row],[Start Date]],Milestone_Marker,IF(AND(U$27&gt;ProposalToGnatt[[#This Row],[Start Date]],U$27&lt;ProposalToGnatt[[#This Row],[Start Date]]+ProposalToGnatt[[#This Row],[Days]]),$G$5,"")),"")</f>
        <v/>
      </c>
      <c r="V60" s="36" t="str">
        <f ca="1">IFERROR(+IF(V$27=ProposalToGnatt[[#This Row],[Start Date]],Milestone_Marker,IF(AND(V$27&gt;ProposalToGnatt[[#This Row],[Start Date]],V$27&lt;ProposalToGnatt[[#This Row],[Start Date]]+ProposalToGnatt[[#This Row],[Days]]),$G$5,"")),"")</f>
        <v/>
      </c>
      <c r="W60" s="36" t="str">
        <f ca="1">IFERROR(+IF(W$27=ProposalToGnatt[[#This Row],[Start Date]],Milestone_Marker,IF(AND(W$27&gt;ProposalToGnatt[[#This Row],[Start Date]],W$27&lt;ProposalToGnatt[[#This Row],[Start Date]]+ProposalToGnatt[[#This Row],[Days]]),$G$5,"")),"")</f>
        <v/>
      </c>
      <c r="X60" s="36" t="str">
        <f ca="1">IFERROR(+IF(X$27=ProposalToGnatt[[#This Row],[Start Date]],Milestone_Marker,IF(AND(X$27&gt;ProposalToGnatt[[#This Row],[Start Date]],X$27&lt;ProposalToGnatt[[#This Row],[Start Date]]+ProposalToGnatt[[#This Row],[Days]]),$G$5,"")),"")</f>
        <v/>
      </c>
      <c r="Y60" s="36" t="str">
        <f ca="1">IFERROR(+IF(Y$27=ProposalToGnatt[[#This Row],[Start Date]],Milestone_Marker,IF(AND(Y$27&gt;ProposalToGnatt[[#This Row],[Start Date]],Y$27&lt;ProposalToGnatt[[#This Row],[Start Date]]+ProposalToGnatt[[#This Row],[Days]]),$G$5,"")),"")</f>
        <v/>
      </c>
      <c r="Z60" s="36" t="str">
        <f ca="1">IFERROR(+IF(Z$27=ProposalToGnatt[[#This Row],[Start Date]],Milestone_Marker,IF(AND(Z$27&gt;ProposalToGnatt[[#This Row],[Start Date]],Z$27&lt;ProposalToGnatt[[#This Row],[Start Date]]+ProposalToGnatt[[#This Row],[Days]]),$G$5,"")),"")</f>
        <v/>
      </c>
      <c r="AA60" s="36" t="str">
        <f ca="1">IFERROR(+IF(AA$27=ProposalToGnatt[[#This Row],[Start Date]],Milestone_Marker,IF(AND(AA$27&gt;ProposalToGnatt[[#This Row],[Start Date]],AA$27&lt;ProposalToGnatt[[#This Row],[Start Date]]+ProposalToGnatt[[#This Row],[Days]]),$G$5,"")),"")</f>
        <v/>
      </c>
      <c r="AB60" s="36" t="str">
        <f ca="1">IFERROR(+IF(AB$27=ProposalToGnatt[[#This Row],[Start Date]],Milestone_Marker,IF(AND(AB$27&gt;ProposalToGnatt[[#This Row],[Start Date]],AB$27&lt;ProposalToGnatt[[#This Row],[Start Date]]+ProposalToGnatt[[#This Row],[Days]]),$G$5,"")),"")</f>
        <v/>
      </c>
      <c r="AC60" s="36" t="str">
        <f ca="1">IFERROR(+IF(AC$27=ProposalToGnatt[[#This Row],[Start Date]],Milestone_Marker,IF(AND(AC$27&gt;ProposalToGnatt[[#This Row],[Start Date]],AC$27&lt;ProposalToGnatt[[#This Row],[Start Date]]+ProposalToGnatt[[#This Row],[Days]]),$G$5,"")),"")</f>
        <v/>
      </c>
      <c r="AD60" s="36" t="str">
        <f ca="1">IFERROR(+IF(AD$27=ProposalToGnatt[[#This Row],[Start Date]],Milestone_Marker,IF(AND(AD$27&gt;ProposalToGnatt[[#This Row],[Start Date]],AD$27&lt;ProposalToGnatt[[#This Row],[Start Date]]+ProposalToGnatt[[#This Row],[Days]]),$G$5,"")),"")</f>
        <v/>
      </c>
      <c r="AE60" s="36" t="str">
        <f ca="1">IFERROR(+IF(AE$27=ProposalToGnatt[[#This Row],[Start Date]],Milestone_Marker,IF(AND(AE$27&gt;ProposalToGnatt[[#This Row],[Start Date]],AE$27&lt;ProposalToGnatt[[#This Row],[Start Date]]+ProposalToGnatt[[#This Row],[Days]]),$G$5,"")),"")</f>
        <v/>
      </c>
      <c r="AF60" s="36" t="str">
        <f ca="1">IFERROR(+IF(AF$27=ProposalToGnatt[[#This Row],[Start Date]],Milestone_Marker,IF(AND(AF$27&gt;ProposalToGnatt[[#This Row],[Start Date]],AF$27&lt;ProposalToGnatt[[#This Row],[Start Date]]+ProposalToGnatt[[#This Row],[Days]]),$G$5,"")),"")</f>
        <v/>
      </c>
      <c r="AG60" s="36" t="str">
        <f ca="1">IFERROR(+IF(AG$27=ProposalToGnatt[[#This Row],[Start Date]],Milestone_Marker,IF(AND(AG$27&gt;ProposalToGnatt[[#This Row],[Start Date]],AG$27&lt;ProposalToGnatt[[#This Row],[Start Date]]+ProposalToGnatt[[#This Row],[Days]]),$G$5,"")),"")</f>
        <v/>
      </c>
      <c r="AH60" s="36" t="str">
        <f ca="1">IFERROR(+IF(AH$27=ProposalToGnatt[[#This Row],[Start Date]],Milestone_Marker,IF(AND(AH$27&gt;ProposalToGnatt[[#This Row],[Start Date]],AH$27&lt;ProposalToGnatt[[#This Row],[Start Date]]+ProposalToGnatt[[#This Row],[Days]]),$G$5,"")),"")</f>
        <v/>
      </c>
      <c r="AI60" s="36" t="str">
        <f ca="1">IFERROR(+IF(AI$27=ProposalToGnatt[[#This Row],[Start Date]],Milestone_Marker,IF(AND(AI$27&gt;ProposalToGnatt[[#This Row],[Start Date]],AI$27&lt;ProposalToGnatt[[#This Row],[Start Date]]+ProposalToGnatt[[#This Row],[Days]]),$G$5,"")),"")</f>
        <v/>
      </c>
      <c r="AJ60" s="36" t="str">
        <f ca="1">IFERROR(+IF(AJ$27=ProposalToGnatt[[#This Row],[Start Date]],Milestone_Marker,IF(AND(AJ$27&gt;ProposalToGnatt[[#This Row],[Start Date]],AJ$27&lt;ProposalToGnatt[[#This Row],[Start Date]]+ProposalToGnatt[[#This Row],[Days]]),$G$5,"")),"")</f>
        <v/>
      </c>
      <c r="AK60" s="36" t="str">
        <f ca="1">IFERROR(+IF(AK$27=ProposalToGnatt[[#This Row],[Start Date]],Milestone_Marker,IF(AND(AK$27&gt;ProposalToGnatt[[#This Row],[Start Date]],AK$27&lt;ProposalToGnatt[[#This Row],[Start Date]]+ProposalToGnatt[[#This Row],[Days]]),$G$5,"")),"")</f>
        <v/>
      </c>
      <c r="AL60" s="36" t="str">
        <f ca="1">IFERROR(+IF(AL$27=ProposalToGnatt[[#This Row],[Start Date]],Milestone_Marker,IF(AND(AL$27&gt;ProposalToGnatt[[#This Row],[Start Date]],AL$27&lt;ProposalToGnatt[[#This Row],[Start Date]]+ProposalToGnatt[[#This Row],[Days]]),$G$5,"")),"")</f>
        <v/>
      </c>
      <c r="AM60" s="36" t="str">
        <f ca="1">IFERROR(+IF(AM$27=ProposalToGnatt[[#This Row],[Start Date]],Milestone_Marker,IF(AND(AM$27&gt;ProposalToGnatt[[#This Row],[Start Date]],AM$27&lt;ProposalToGnatt[[#This Row],[Start Date]]+ProposalToGnatt[[#This Row],[Days]]),$G$5,"")),"")</f>
        <v/>
      </c>
      <c r="AN60" s="36" t="str">
        <f ca="1">IFERROR(+IF(AN$27=ProposalToGnatt[[#This Row],[Start Date]],Milestone_Marker,IF(AND(AN$27&gt;ProposalToGnatt[[#This Row],[Start Date]],AN$27&lt;ProposalToGnatt[[#This Row],[Start Date]]+ProposalToGnatt[[#This Row],[Days]]),$G$5,"")),"")</f>
        <v/>
      </c>
      <c r="AO60" s="36" t="str">
        <f ca="1">IFERROR(+IF(AO$27=ProposalToGnatt[[#This Row],[Start Date]],Milestone_Marker,IF(AND(AO$27&gt;ProposalToGnatt[[#This Row],[Start Date]],AO$27&lt;ProposalToGnatt[[#This Row],[Start Date]]+ProposalToGnatt[[#This Row],[Days]]),$G$5,"")),"")</f>
        <v/>
      </c>
      <c r="AP60" s="36" t="str">
        <f ca="1">IFERROR(+IF(AP$27=ProposalToGnatt[[#This Row],[Start Date]],Milestone_Marker,IF(AND(AP$27&gt;ProposalToGnatt[[#This Row],[Start Date]],AP$27&lt;ProposalToGnatt[[#This Row],[Start Date]]+ProposalToGnatt[[#This Row],[Days]]),$G$5,"")),"")</f>
        <v/>
      </c>
      <c r="AQ60" s="36" t="str">
        <f ca="1">IFERROR(+IF(AQ$27=ProposalToGnatt[[#This Row],[Start Date]],Milestone_Marker,IF(AND(AQ$27&gt;ProposalToGnatt[[#This Row],[Start Date]],AQ$27&lt;ProposalToGnatt[[#This Row],[Start Date]]+ProposalToGnatt[[#This Row],[Days]]),$G$5,"")),"")</f>
        <v/>
      </c>
      <c r="AR60" s="36" t="str">
        <f ca="1">IFERROR(+IF(AR$27=ProposalToGnatt[[#This Row],[Start Date]],Milestone_Marker,IF(AND(AR$27&gt;ProposalToGnatt[[#This Row],[Start Date]],AR$27&lt;ProposalToGnatt[[#This Row],[Start Date]]+ProposalToGnatt[[#This Row],[Days]]),$G$5,"")),"")</f>
        <v/>
      </c>
      <c r="AS60" s="36" t="str">
        <f ca="1">IFERROR(+IF(AS$27=ProposalToGnatt[[#This Row],[Start Date]],Milestone_Marker,IF(AND(AS$27&gt;ProposalToGnatt[[#This Row],[Start Date]],AS$27&lt;ProposalToGnatt[[#This Row],[Start Date]]+ProposalToGnatt[[#This Row],[Days]]),$G$5,"")),"")</f>
        <v/>
      </c>
      <c r="AT60" s="36" t="str">
        <f ca="1">IFERROR(+IF(AT$27=ProposalToGnatt[[#This Row],[Start Date]],Milestone_Marker,IF(AND(AT$27&gt;ProposalToGnatt[[#This Row],[Start Date]],AT$27&lt;ProposalToGnatt[[#This Row],[Start Date]]+ProposalToGnatt[[#This Row],[Days]]),$G$5,"")),"")</f>
        <v/>
      </c>
      <c r="AU60" s="36" t="str">
        <f ca="1">IFERROR(+IF(AU$27=ProposalToGnatt[[#This Row],[Start Date]],Milestone_Marker,IF(AND(AU$27&gt;ProposalToGnatt[[#This Row],[Start Date]],AU$27&lt;ProposalToGnatt[[#This Row],[Start Date]]+ProposalToGnatt[[#This Row],[Days]]),$G$5,"")),"")</f>
        <v/>
      </c>
      <c r="AV60" s="36" t="str">
        <f ca="1">IFERROR(+IF(AV$27=ProposalToGnatt[[#This Row],[Start Date]],Milestone_Marker,IF(AND(AV$27&gt;ProposalToGnatt[[#This Row],[Start Date]],AV$27&lt;ProposalToGnatt[[#This Row],[Start Date]]+ProposalToGnatt[[#This Row],[Days]]),$G$5,"")),"")</f>
        <v/>
      </c>
      <c r="AW60" s="36" t="str">
        <f ca="1">IFERROR(+IF(AW$27=ProposalToGnatt[[#This Row],[Start Date]],Milestone_Marker,IF(AND(AW$27&gt;ProposalToGnatt[[#This Row],[Start Date]],AW$27&lt;ProposalToGnatt[[#This Row],[Start Date]]+ProposalToGnatt[[#This Row],[Days]]),$G$5,"")),"")</f>
        <v/>
      </c>
      <c r="AX60" s="36" t="str">
        <f ca="1">IFERROR(+IF(AX$27=ProposalToGnatt[[#This Row],[Start Date]],Milestone_Marker,IF(AND(AX$27&gt;ProposalToGnatt[[#This Row],[Start Date]],AX$27&lt;ProposalToGnatt[[#This Row],[Start Date]]+ProposalToGnatt[[#This Row],[Days]]),$G$5,"")),"")</f>
        <v/>
      </c>
      <c r="AY60" s="36" t="str">
        <f ca="1">IFERROR(+IF(AY$27=ProposalToGnatt[[#This Row],[Start Date]],Milestone_Marker,IF(AND(AY$27&gt;ProposalToGnatt[[#This Row],[Start Date]],AY$27&lt;ProposalToGnatt[[#This Row],[Start Date]]+ProposalToGnatt[[#This Row],[Days]]),$G$5,"")),"")</f>
        <v/>
      </c>
      <c r="AZ60" s="36" t="str">
        <f ca="1">IFERROR(+IF(AZ$27=ProposalToGnatt[[#This Row],[Start Date]],Milestone_Marker,IF(AND(AZ$27&gt;ProposalToGnatt[[#This Row],[Start Date]],AZ$27&lt;ProposalToGnatt[[#This Row],[Start Date]]+ProposalToGnatt[[#This Row],[Days]]),$G$5,"")),"")</f>
        <v/>
      </c>
      <c r="BA60" s="36" t="str">
        <f ca="1">IFERROR(+IF(BA$27=ProposalToGnatt[[#This Row],[Start Date]],Milestone_Marker,IF(AND(BA$27&gt;ProposalToGnatt[[#This Row],[Start Date]],BA$27&lt;ProposalToGnatt[[#This Row],[Start Date]]+ProposalToGnatt[[#This Row],[Days]]),$G$5,"")),"")</f>
        <v/>
      </c>
      <c r="BB60" s="36" t="str">
        <f ca="1">IFERROR(+IF(BB$27=ProposalToGnatt[[#This Row],[Start Date]],Milestone_Marker,IF(AND(BB$27&gt;ProposalToGnatt[[#This Row],[Start Date]],BB$27&lt;ProposalToGnatt[[#This Row],[Start Date]]+ProposalToGnatt[[#This Row],[Days]]),$G$5,"")),"")</f>
        <v/>
      </c>
      <c r="BC60" s="36" t="str">
        <f ca="1">IFERROR(+IF(BC$27=ProposalToGnatt[[#This Row],[Start Date]],Milestone_Marker,IF(AND(BC$27&gt;ProposalToGnatt[[#This Row],[Start Date]],BC$27&lt;ProposalToGnatt[[#This Row],[Start Date]]+ProposalToGnatt[[#This Row],[Days]]),$G$5,"")),"")</f>
        <v/>
      </c>
      <c r="BD60" s="36" t="str">
        <f ca="1">IFERROR(+IF(BD$27=ProposalToGnatt[[#This Row],[Start Date]],Milestone_Marker,IF(AND(BD$27&gt;ProposalToGnatt[[#This Row],[Start Date]],BD$27&lt;ProposalToGnatt[[#This Row],[Start Date]]+ProposalToGnatt[[#This Row],[Days]]),$G$5,"")),"")</f>
        <v/>
      </c>
      <c r="BE60" s="36" t="str">
        <f ca="1">IFERROR(+IF(BE$27=ProposalToGnatt[[#This Row],[Start Date]],Milestone_Marker,IF(AND(BE$27&gt;ProposalToGnatt[[#This Row],[Start Date]],BE$27&lt;ProposalToGnatt[[#This Row],[Start Date]]+ProposalToGnatt[[#This Row],[Days]]),$G$5,"")),"")</f>
        <v/>
      </c>
      <c r="BF60" s="36" t="str">
        <f ca="1">IFERROR(+IF(BF$27=ProposalToGnatt[[#This Row],[Start Date]],Milestone_Marker,IF(AND(BF$27&gt;ProposalToGnatt[[#This Row],[Start Date]],BF$27&lt;ProposalToGnatt[[#This Row],[Start Date]]+ProposalToGnatt[[#This Row],[Days]]),$G$5,"")),"")</f>
        <v/>
      </c>
      <c r="BG60" s="36" t="str">
        <f ca="1">IFERROR(+IF(BG$27=ProposalToGnatt[[#This Row],[Start Date]],Milestone_Marker,IF(AND(BG$27&gt;ProposalToGnatt[[#This Row],[Start Date]],BG$27&lt;ProposalToGnatt[[#This Row],[Start Date]]+ProposalToGnatt[[#This Row],[Days]]),$G$5,"")),"")</f>
        <v/>
      </c>
      <c r="BH60" s="36" t="str">
        <f ca="1">IFERROR(+IF(BH$27=ProposalToGnatt[[#This Row],[Start Date]],Milestone_Marker,IF(AND(BH$27&gt;ProposalToGnatt[[#This Row],[Start Date]],BH$27&lt;ProposalToGnatt[[#This Row],[Start Date]]+ProposalToGnatt[[#This Row],[Days]]),$G$5,"")),"")</f>
        <v/>
      </c>
      <c r="BI60" s="36" t="str">
        <f ca="1">IFERROR(+IF(BI$27=ProposalToGnatt[[#This Row],[Start Date]],Milestone_Marker,IF(AND(BI$27&gt;ProposalToGnatt[[#This Row],[Start Date]],BI$27&lt;ProposalToGnatt[[#This Row],[Start Date]]+ProposalToGnatt[[#This Row],[Days]]),$G$5,"")),"")</f>
        <v/>
      </c>
      <c r="BJ60" s="36" t="str">
        <f ca="1">IFERROR(+IF(BJ$27=ProposalToGnatt[[#This Row],[Start Date]],Milestone_Marker,IF(AND(BJ$27&gt;ProposalToGnatt[[#This Row],[Start Date]],BJ$27&lt;ProposalToGnatt[[#This Row],[Start Date]]+ProposalToGnatt[[#This Row],[Days]]),$G$5,"")),"")</f>
        <v/>
      </c>
      <c r="BK60" s="36" t="str">
        <f ca="1">IFERROR(+IF(BK$27=ProposalToGnatt[[#This Row],[Start Date]],Milestone_Marker,IF(AND(BK$27&gt;ProposalToGnatt[[#This Row],[Start Date]],BK$27&lt;ProposalToGnatt[[#This Row],[Start Date]]+ProposalToGnatt[[#This Row],[Days]]),$G$5,"")),"")</f>
        <v/>
      </c>
      <c r="BL60" s="36" t="str">
        <f ca="1">IFERROR(+IF(BL$27=ProposalToGnatt[[#This Row],[Start Date]],Milestone_Marker,IF(AND(BL$27&gt;ProposalToGnatt[[#This Row],[Start Date]],BL$27&lt;ProposalToGnatt[[#This Row],[Start Date]]+ProposalToGnatt[[#This Row],[Days]]),$G$5,"")),"")</f>
        <v/>
      </c>
      <c r="BM60" s="36" t="str">
        <f ca="1">IFERROR(+IF(BM$27=ProposalToGnatt[[#This Row],[Start Date]],Milestone_Marker,IF(AND(BM$27&gt;ProposalToGnatt[[#This Row],[Start Date]],BM$27&lt;ProposalToGnatt[[#This Row],[Start Date]]+ProposalToGnatt[[#This Row],[Days]]),$G$5,"")),"")</f>
        <v/>
      </c>
      <c r="BN60" s="36" t="str">
        <f ca="1">IFERROR(+IF(BN$27=ProposalToGnatt[[#This Row],[Start Date]],Milestone_Marker,IF(AND(BN$27&gt;ProposalToGnatt[[#This Row],[Start Date]],BN$27&lt;ProposalToGnatt[[#This Row],[Start Date]]+ProposalToGnatt[[#This Row],[Days]]),$G$5,"")),"")</f>
        <v/>
      </c>
      <c r="BO60" s="36" t="str">
        <f ca="1">IFERROR(+IF(BO$27=ProposalToGnatt[[#This Row],[Start Date]],Milestone_Marker,IF(AND(BO$27&gt;ProposalToGnatt[[#This Row],[Start Date]],BO$27&lt;ProposalToGnatt[[#This Row],[Start Date]]+ProposalToGnatt[[#This Row],[Days]]),$G$5,"")),"")</f>
        <v/>
      </c>
      <c r="BP60" s="36" t="str">
        <f ca="1">IFERROR(+IF(BP$27=ProposalToGnatt[[#This Row],[Start Date]],Milestone_Marker,IF(AND(BP$27&gt;ProposalToGnatt[[#This Row],[Start Date]],BP$27&lt;ProposalToGnatt[[#This Row],[Start Date]]+ProposalToGnatt[[#This Row],[Days]]),$G$5,"")),"")</f>
        <v/>
      </c>
      <c r="BQ60" s="36" t="str">
        <f ca="1">IFERROR(+IF(BQ$27=ProposalToGnatt[[#This Row],[Start Date]],Milestone_Marker,IF(AND(BQ$27&gt;ProposalToGnatt[[#This Row],[Start Date]],BQ$27&lt;ProposalToGnatt[[#This Row],[Start Date]]+ProposalToGnatt[[#This Row],[Days]]),$G$5,"")),"")</f>
        <v/>
      </c>
      <c r="BR60" s="36" t="str">
        <f ca="1">IFERROR(+IF(BR$27=ProposalToGnatt[[#This Row],[Start Date]],Milestone_Marker,IF(AND(BR$27&gt;ProposalToGnatt[[#This Row],[Start Date]],BR$27&lt;ProposalToGnatt[[#This Row],[Start Date]]+ProposalToGnatt[[#This Row],[Days]]),$G$5,"")),"")</f>
        <v/>
      </c>
      <c r="BS60" s="36" t="str">
        <f ca="1">IFERROR(+IF(BS$27=ProposalToGnatt[[#This Row],[Start Date]],Milestone_Marker,IF(AND(BS$27&gt;ProposalToGnatt[[#This Row],[Start Date]],BS$27&lt;ProposalToGnatt[[#This Row],[Start Date]]+ProposalToGnatt[[#This Row],[Days]]),$G$5,"")),"")</f>
        <v/>
      </c>
      <c r="BT60" s="36" t="str">
        <f ca="1">IFERROR(+IF(BT$27=ProposalToGnatt[[#This Row],[Start Date]],Milestone_Marker,IF(AND(BT$27&gt;ProposalToGnatt[[#This Row],[Start Date]],BT$27&lt;ProposalToGnatt[[#This Row],[Start Date]]+ProposalToGnatt[[#This Row],[Days]]),$G$5,"")),"")</f>
        <v/>
      </c>
      <c r="BU60" s="36" t="str">
        <f ca="1">IFERROR(+IF(BU$27=ProposalToGnatt[[#This Row],[Start Date]],Milestone_Marker,IF(AND(BU$27&gt;ProposalToGnatt[[#This Row],[Start Date]],BU$27&lt;ProposalToGnatt[[#This Row],[Start Date]]+ProposalToGnatt[[#This Row],[Days]]),$G$5,"")),"")</f>
        <v/>
      </c>
      <c r="BV60" s="36" t="str">
        <f ca="1">IFERROR(+IF(BV$27=ProposalToGnatt[[#This Row],[Start Date]],Milestone_Marker,IF(AND(BV$27&gt;ProposalToGnatt[[#This Row],[Start Date]],BV$27&lt;ProposalToGnatt[[#This Row],[Start Date]]+ProposalToGnatt[[#This Row],[Days]]),$G$5,"")),"")</f>
        <v/>
      </c>
      <c r="BW60" s="36" t="str">
        <f ca="1">IFERROR(+IF(BW$27=ProposalToGnatt[[#This Row],[Start Date]],Milestone_Marker,IF(AND(BW$27&gt;ProposalToGnatt[[#This Row],[Start Date]],BW$27&lt;ProposalToGnatt[[#This Row],[Start Date]]+ProposalToGnatt[[#This Row],[Days]]),$G$5,"")),"")</f>
        <v/>
      </c>
      <c r="BX60" s="36" t="str">
        <f ca="1">IFERROR(+IF(BX$27=ProposalToGnatt[[#This Row],[Start Date]],Milestone_Marker,IF(AND(BX$27&gt;ProposalToGnatt[[#This Row],[Start Date]],BX$27&lt;ProposalToGnatt[[#This Row],[Start Date]]+ProposalToGnatt[[#This Row],[Days]]),$G$5,"")),"")</f>
        <v/>
      </c>
      <c r="BY60" s="36" t="str">
        <f ca="1">IFERROR(+IF(BY$27=ProposalToGnatt[[#This Row],[Start Date]],Milestone_Marker,IF(AND(BY$27&gt;ProposalToGnatt[[#This Row],[Start Date]],BY$27&lt;ProposalToGnatt[[#This Row],[Start Date]]+ProposalToGnatt[[#This Row],[Days]]),$G$5,"")),"")</f>
        <v/>
      </c>
      <c r="BZ60" s="36" t="str">
        <f ca="1">IFERROR(+IF(BZ$27=ProposalToGnatt[[#This Row],[Start Date]],Milestone_Marker,IF(AND(BZ$27&gt;ProposalToGnatt[[#This Row],[Start Date]],BZ$27&lt;ProposalToGnatt[[#This Row],[Start Date]]+ProposalToGnatt[[#This Row],[Days]]),$G$5,"")),"")</f>
        <v/>
      </c>
      <c r="CA60" s="36" t="str">
        <f ca="1">IFERROR(+IF(CA$27=ProposalToGnatt[[#This Row],[Start Date]],Milestone_Marker,IF(AND(CA$27&gt;ProposalToGnatt[[#This Row],[Start Date]],CA$27&lt;ProposalToGnatt[[#This Row],[Start Date]]+ProposalToGnatt[[#This Row],[Days]]),$G$5,"")),"")</f>
        <v/>
      </c>
      <c r="CB60" s="36" t="str">
        <f ca="1">IFERROR(+IF(CB$27=ProposalToGnatt[[#This Row],[Start Date]],Milestone_Marker,IF(AND(CB$27&gt;ProposalToGnatt[[#This Row],[Start Date]],CB$27&lt;ProposalToGnatt[[#This Row],[Start Date]]+ProposalToGnatt[[#This Row],[Days]]),$G$5,"")),"")</f>
        <v/>
      </c>
      <c r="CC60" s="36" t="str">
        <f ca="1">IFERROR(+IF(CC$27=ProposalToGnatt[[#This Row],[Start Date]],Milestone_Marker,IF(AND(CC$27&gt;ProposalToGnatt[[#This Row],[Start Date]],CC$27&lt;ProposalToGnatt[[#This Row],[Start Date]]+ProposalToGnatt[[#This Row],[Days]]),$G$5,"")),"")</f>
        <v/>
      </c>
      <c r="CD60" s="36" t="str">
        <f ca="1">IFERROR(+IF(CD$27=ProposalToGnatt[[#This Row],[Start Date]],Milestone_Marker,IF(AND(CD$27&gt;ProposalToGnatt[[#This Row],[Start Date]],CD$27&lt;ProposalToGnatt[[#This Row],[Start Date]]+ProposalToGnatt[[#This Row],[Days]]),$G$5,"")),"")</f>
        <v/>
      </c>
      <c r="CE60" s="36" t="str">
        <f ca="1">IFERROR(+IF(CE$27=ProposalToGnatt[[#This Row],[Start Date]],Milestone_Marker,IF(AND(CE$27&gt;ProposalToGnatt[[#This Row],[Start Date]],CE$27&lt;ProposalToGnatt[[#This Row],[Start Date]]+ProposalToGnatt[[#This Row],[Days]]),$G$5,"")),"")</f>
        <v/>
      </c>
      <c r="CF60" s="36" t="str">
        <f ca="1">IFERROR(+IF(CF$27=ProposalToGnatt[[#This Row],[Start Date]],Milestone_Marker,IF(AND(CF$27&gt;ProposalToGnatt[[#This Row],[Start Date]],CF$27&lt;ProposalToGnatt[[#This Row],[Start Date]]+ProposalToGnatt[[#This Row],[Days]]),$G$5,"")),"")</f>
        <v/>
      </c>
      <c r="CG60" s="36" t="str">
        <f ca="1">IFERROR(+IF(CG$27=ProposalToGnatt[[#This Row],[Start Date]],Milestone_Marker,IF(AND(CG$27&gt;ProposalToGnatt[[#This Row],[Start Date]],CG$27&lt;ProposalToGnatt[[#This Row],[Start Date]]+ProposalToGnatt[[#This Row],[Days]]),$G$5,"")),"")</f>
        <v/>
      </c>
      <c r="CH60" s="36" t="str">
        <f ca="1">IFERROR(+IF(CH$27=ProposalToGnatt[[#This Row],[Start Date]],Milestone_Marker,IF(AND(CH$27&gt;ProposalToGnatt[[#This Row],[Start Date]],CH$27&lt;ProposalToGnatt[[#This Row],[Start Date]]+ProposalToGnatt[[#This Row],[Days]]),$G$5,"")),"")</f>
        <v/>
      </c>
      <c r="CI60" s="36" t="str">
        <f ca="1">IFERROR(+IF(CI$27=ProposalToGnatt[[#This Row],[Start Date]],Milestone_Marker,IF(AND(CI$27&gt;ProposalToGnatt[[#This Row],[Start Date]],CI$27&lt;ProposalToGnatt[[#This Row],[Start Date]]+ProposalToGnatt[[#This Row],[Days]]),$G$5,"")),"")</f>
        <v/>
      </c>
      <c r="CJ60" s="36" t="str">
        <f ca="1">IFERROR(+IF(CJ$27=ProposalToGnatt[[#This Row],[Start Date]],Milestone_Marker,IF(AND(CJ$27&gt;ProposalToGnatt[[#This Row],[Start Date]],CJ$27&lt;ProposalToGnatt[[#This Row],[Start Date]]+ProposalToGnatt[[#This Row],[Days]]),$G$5,"")),"")</f>
        <v/>
      </c>
      <c r="CK60" s="36" t="str">
        <f ca="1">IFERROR(+IF(CK$27=ProposalToGnatt[[#This Row],[Start Date]],Milestone_Marker,IF(AND(CK$27&gt;ProposalToGnatt[[#This Row],[Start Date]],CK$27&lt;ProposalToGnatt[[#This Row],[Start Date]]+ProposalToGnatt[[#This Row],[Days]]),$G$5,"")),"")</f>
        <v/>
      </c>
      <c r="CL60" s="36" t="str">
        <f ca="1">IFERROR(+IF(CL$27=ProposalToGnatt[[#This Row],[Start Date]],Milestone_Marker,IF(AND(CL$27&gt;ProposalToGnatt[[#This Row],[Start Date]],CL$27&lt;ProposalToGnatt[[#This Row],[Start Date]]+ProposalToGnatt[[#This Row],[Days]]),$G$5,"")),"")</f>
        <v/>
      </c>
      <c r="CM60" s="36" t="str">
        <f ca="1">IFERROR(+IF(CM$27=ProposalToGnatt[[#This Row],[Start Date]],Milestone_Marker,IF(AND(CM$27&gt;ProposalToGnatt[[#This Row],[Start Date]],CM$27&lt;ProposalToGnatt[[#This Row],[Start Date]]+ProposalToGnatt[[#This Row],[Days]]),$G$5,"")),"")</f>
        <v/>
      </c>
      <c r="CN60" s="36" t="str">
        <f ca="1">IFERROR(+IF(CN$27=ProposalToGnatt[[#This Row],[Start Date]],Milestone_Marker,IF(AND(CN$27&gt;ProposalToGnatt[[#This Row],[Start Date]],CN$27&lt;ProposalToGnatt[[#This Row],[Start Date]]+ProposalToGnatt[[#This Row],[Days]]),$G$5,"")),"")</f>
        <v/>
      </c>
      <c r="CO60" s="36" t="str">
        <f ca="1">IFERROR(+IF(CO$27=ProposalToGnatt[[#This Row],[Start Date]],Milestone_Marker,IF(AND(CO$27&gt;ProposalToGnatt[[#This Row],[Start Date]],CO$27&lt;ProposalToGnatt[[#This Row],[Start Date]]+ProposalToGnatt[[#This Row],[Days]]),$G$5,"")),"")</f>
        <v/>
      </c>
      <c r="CP60" s="36" t="str">
        <f ca="1">IFERROR(+IF(CP$27=ProposalToGnatt[[#This Row],[Start Date]],Milestone_Marker,IF(AND(CP$27&gt;ProposalToGnatt[[#This Row],[Start Date]],CP$27&lt;ProposalToGnatt[[#This Row],[Start Date]]+ProposalToGnatt[[#This Row],[Days]]),$G$5,"")),"")</f>
        <v/>
      </c>
      <c r="CQ60" s="36" t="str">
        <f ca="1">IFERROR(+IF(CQ$27=ProposalToGnatt[[#This Row],[Start Date]],Milestone_Marker,IF(AND(CQ$27&gt;ProposalToGnatt[[#This Row],[Start Date]],CQ$27&lt;ProposalToGnatt[[#This Row],[Start Date]]+ProposalToGnatt[[#This Row],[Days]]),$G$5,"")),"")</f>
        <v/>
      </c>
      <c r="CR60" s="36" t="str">
        <f ca="1">IFERROR(+IF(CR$27=ProposalToGnatt[[#This Row],[Start Date]],Milestone_Marker,IF(AND(CR$27&gt;ProposalToGnatt[[#This Row],[Start Date]],CR$27&lt;ProposalToGnatt[[#This Row],[Start Date]]+ProposalToGnatt[[#This Row],[Days]]),$G$5,"")),"")</f>
        <v/>
      </c>
      <c r="CS60" s="36" t="str">
        <f ca="1">IFERROR(+IF(CS$27=ProposalToGnatt[[#This Row],[Start Date]],Milestone_Marker,IF(AND(CS$27&gt;ProposalToGnatt[[#This Row],[Start Date]],CS$27&lt;ProposalToGnatt[[#This Row],[Start Date]]+ProposalToGnatt[[#This Row],[Days]]),$G$5,"")),"")</f>
        <v/>
      </c>
      <c r="CT60" s="36" t="str">
        <f ca="1">IFERROR(+IF(CT$27=ProposalToGnatt[[#This Row],[Start Date]],Milestone_Marker,IF(AND(CT$27&gt;ProposalToGnatt[[#This Row],[Start Date]],CT$27&lt;ProposalToGnatt[[#This Row],[Start Date]]+ProposalToGnatt[[#This Row],[Days]]),$G$5,"")),"")</f>
        <v/>
      </c>
      <c r="CU60" s="36" t="str">
        <f ca="1">IFERROR(+IF(CU$27=ProposalToGnatt[[#This Row],[Start Date]],Milestone_Marker,IF(AND(CU$27&gt;ProposalToGnatt[[#This Row],[Start Date]],CU$27&lt;ProposalToGnatt[[#This Row],[Start Date]]+ProposalToGnatt[[#This Row],[Days]]),$G$5,"")),"")</f>
        <v/>
      </c>
      <c r="CV60" s="36"/>
      <c r="CW60" s="36"/>
      <c r="CX60" s="36"/>
      <c r="CY60" s="36"/>
      <c r="CZ60" s="36"/>
      <c r="DA60" s="36"/>
      <c r="DB60" s="36"/>
      <c r="DC60" s="36"/>
      <c r="DD60" s="36"/>
      <c r="DE60" s="36"/>
      <c r="DF60" s="36"/>
      <c r="DG60" s="36"/>
      <c r="DH60" s="36"/>
      <c r="DI60" s="36"/>
      <c r="DJ60" s="36"/>
      <c r="DK60" s="36"/>
      <c r="DL60" s="36"/>
      <c r="DM60" s="36"/>
      <c r="DN60" s="36"/>
      <c r="DO60" s="36"/>
      <c r="DP60" s="36"/>
      <c r="DQ60" s="36"/>
      <c r="DR60" s="36"/>
      <c r="DS60" s="36"/>
      <c r="DT60" s="36"/>
      <c r="DU60" s="36"/>
    </row>
    <row r="61" spans="1:125" s="41" customFormat="1" ht="15" x14ac:dyDescent="0.25">
      <c r="A61"/>
      <c r="B61"/>
      <c r="C61"/>
      <c r="D61"/>
      <c r="E61"/>
      <c r="F61"/>
      <c r="G61" s="14"/>
      <c r="H61" s="14"/>
      <c r="I61"/>
      <c r="J61"/>
      <c r="K61" s="246"/>
      <c r="L61"/>
      <c r="M61" s="14"/>
      <c r="N61" s="299"/>
      <c r="O61" s="281"/>
      <c r="P61" s="36" t="str">
        <f ca="1">IFERROR(+IF(P$27=ProposalToGnatt[[#This Row],[Start Date]],Milestone_Marker,IF(AND(P$27&gt;ProposalToGnatt[[#This Row],[Start Date]],P$27&lt;ProposalToGnatt[[#This Row],[Start Date]]+ProposalToGnatt[[#This Row],[Days]]),$G$5,"")),"")</f>
        <v/>
      </c>
      <c r="Q61" s="36" t="str">
        <f ca="1">IFERROR(+IF(Q$27=ProposalToGnatt[[#This Row],[Start Date]],Milestone_Marker,IF(AND(Q$27&gt;ProposalToGnatt[[#This Row],[Start Date]],Q$27&lt;ProposalToGnatt[[#This Row],[Start Date]]+ProposalToGnatt[[#This Row],[Days]]),$G$5,"")),"")</f>
        <v/>
      </c>
      <c r="R61" s="36" t="str">
        <f ca="1">IFERROR(+IF(R$27=ProposalToGnatt[[#This Row],[Start Date]],Milestone_Marker,IF(AND(R$27&gt;ProposalToGnatt[[#This Row],[Start Date]],R$27&lt;ProposalToGnatt[[#This Row],[Start Date]]+ProposalToGnatt[[#This Row],[Days]]),$G$5,"")),"")</f>
        <v/>
      </c>
      <c r="S61" s="36" t="str">
        <f ca="1">IFERROR(+IF(S$27=ProposalToGnatt[[#This Row],[Start Date]],Milestone_Marker,IF(AND(S$27&gt;ProposalToGnatt[[#This Row],[Start Date]],S$27&lt;ProposalToGnatt[[#This Row],[Start Date]]+ProposalToGnatt[[#This Row],[Days]]),$G$5,"")),"")</f>
        <v/>
      </c>
      <c r="T61" s="36" t="str">
        <f ca="1">IFERROR(+IF(T$27=ProposalToGnatt[[#This Row],[Start Date]],Milestone_Marker,IF(AND(T$27&gt;ProposalToGnatt[[#This Row],[Start Date]],T$27&lt;ProposalToGnatt[[#This Row],[Start Date]]+ProposalToGnatt[[#This Row],[Days]]),$G$5,"")),"")</f>
        <v/>
      </c>
      <c r="U61" s="36" t="str">
        <f ca="1">IFERROR(+IF(U$27=ProposalToGnatt[[#This Row],[Start Date]],Milestone_Marker,IF(AND(U$27&gt;ProposalToGnatt[[#This Row],[Start Date]],U$27&lt;ProposalToGnatt[[#This Row],[Start Date]]+ProposalToGnatt[[#This Row],[Days]]),$G$5,"")),"")</f>
        <v/>
      </c>
      <c r="V61" s="36" t="str">
        <f ca="1">IFERROR(+IF(V$27=ProposalToGnatt[[#This Row],[Start Date]],Milestone_Marker,IF(AND(V$27&gt;ProposalToGnatt[[#This Row],[Start Date]],V$27&lt;ProposalToGnatt[[#This Row],[Start Date]]+ProposalToGnatt[[#This Row],[Days]]),$G$5,"")),"")</f>
        <v/>
      </c>
      <c r="W61" s="36" t="str">
        <f ca="1">IFERROR(+IF(W$27=ProposalToGnatt[[#This Row],[Start Date]],Milestone_Marker,IF(AND(W$27&gt;ProposalToGnatt[[#This Row],[Start Date]],W$27&lt;ProposalToGnatt[[#This Row],[Start Date]]+ProposalToGnatt[[#This Row],[Days]]),$G$5,"")),"")</f>
        <v/>
      </c>
      <c r="X61" s="36" t="str">
        <f ca="1">IFERROR(+IF(X$27=ProposalToGnatt[[#This Row],[Start Date]],Milestone_Marker,IF(AND(X$27&gt;ProposalToGnatt[[#This Row],[Start Date]],X$27&lt;ProposalToGnatt[[#This Row],[Start Date]]+ProposalToGnatt[[#This Row],[Days]]),$G$5,"")),"")</f>
        <v/>
      </c>
      <c r="Y61" s="36" t="str">
        <f ca="1">IFERROR(+IF(Y$27=ProposalToGnatt[[#This Row],[Start Date]],Milestone_Marker,IF(AND(Y$27&gt;ProposalToGnatt[[#This Row],[Start Date]],Y$27&lt;ProposalToGnatt[[#This Row],[Start Date]]+ProposalToGnatt[[#This Row],[Days]]),$G$5,"")),"")</f>
        <v/>
      </c>
      <c r="Z61" s="36" t="str">
        <f ca="1">IFERROR(+IF(Z$27=ProposalToGnatt[[#This Row],[Start Date]],Milestone_Marker,IF(AND(Z$27&gt;ProposalToGnatt[[#This Row],[Start Date]],Z$27&lt;ProposalToGnatt[[#This Row],[Start Date]]+ProposalToGnatt[[#This Row],[Days]]),$G$5,"")),"")</f>
        <v/>
      </c>
      <c r="AA61" s="36" t="str">
        <f ca="1">IFERROR(+IF(AA$27=ProposalToGnatt[[#This Row],[Start Date]],Milestone_Marker,IF(AND(AA$27&gt;ProposalToGnatt[[#This Row],[Start Date]],AA$27&lt;ProposalToGnatt[[#This Row],[Start Date]]+ProposalToGnatt[[#This Row],[Days]]),$G$5,"")),"")</f>
        <v/>
      </c>
      <c r="AB61" s="36" t="str">
        <f ca="1">IFERROR(+IF(AB$27=ProposalToGnatt[[#This Row],[Start Date]],Milestone_Marker,IF(AND(AB$27&gt;ProposalToGnatt[[#This Row],[Start Date]],AB$27&lt;ProposalToGnatt[[#This Row],[Start Date]]+ProposalToGnatt[[#This Row],[Days]]),$G$5,"")),"")</f>
        <v/>
      </c>
      <c r="AC61" s="36" t="str">
        <f ca="1">IFERROR(+IF(AC$27=ProposalToGnatt[[#This Row],[Start Date]],Milestone_Marker,IF(AND(AC$27&gt;ProposalToGnatt[[#This Row],[Start Date]],AC$27&lt;ProposalToGnatt[[#This Row],[Start Date]]+ProposalToGnatt[[#This Row],[Days]]),$G$5,"")),"")</f>
        <v/>
      </c>
      <c r="AD61" s="36" t="str">
        <f ca="1">IFERROR(+IF(AD$27=ProposalToGnatt[[#This Row],[Start Date]],Milestone_Marker,IF(AND(AD$27&gt;ProposalToGnatt[[#This Row],[Start Date]],AD$27&lt;ProposalToGnatt[[#This Row],[Start Date]]+ProposalToGnatt[[#This Row],[Days]]),$G$5,"")),"")</f>
        <v/>
      </c>
      <c r="AE61" s="36" t="str">
        <f ca="1">IFERROR(+IF(AE$27=ProposalToGnatt[[#This Row],[Start Date]],Milestone_Marker,IF(AND(AE$27&gt;ProposalToGnatt[[#This Row],[Start Date]],AE$27&lt;ProposalToGnatt[[#This Row],[Start Date]]+ProposalToGnatt[[#This Row],[Days]]),$G$5,"")),"")</f>
        <v/>
      </c>
      <c r="AF61" s="36" t="str">
        <f ca="1">IFERROR(+IF(AF$27=ProposalToGnatt[[#This Row],[Start Date]],Milestone_Marker,IF(AND(AF$27&gt;ProposalToGnatt[[#This Row],[Start Date]],AF$27&lt;ProposalToGnatt[[#This Row],[Start Date]]+ProposalToGnatt[[#This Row],[Days]]),$G$5,"")),"")</f>
        <v/>
      </c>
      <c r="AG61" s="36" t="str">
        <f ca="1">IFERROR(+IF(AG$27=ProposalToGnatt[[#This Row],[Start Date]],Milestone_Marker,IF(AND(AG$27&gt;ProposalToGnatt[[#This Row],[Start Date]],AG$27&lt;ProposalToGnatt[[#This Row],[Start Date]]+ProposalToGnatt[[#This Row],[Days]]),$G$5,"")),"")</f>
        <v/>
      </c>
      <c r="AH61" s="36" t="str">
        <f ca="1">IFERROR(+IF(AH$27=ProposalToGnatt[[#This Row],[Start Date]],Milestone_Marker,IF(AND(AH$27&gt;ProposalToGnatt[[#This Row],[Start Date]],AH$27&lt;ProposalToGnatt[[#This Row],[Start Date]]+ProposalToGnatt[[#This Row],[Days]]),$G$5,"")),"")</f>
        <v/>
      </c>
      <c r="AI61" s="36" t="str">
        <f ca="1">IFERROR(+IF(AI$27=ProposalToGnatt[[#This Row],[Start Date]],Milestone_Marker,IF(AND(AI$27&gt;ProposalToGnatt[[#This Row],[Start Date]],AI$27&lt;ProposalToGnatt[[#This Row],[Start Date]]+ProposalToGnatt[[#This Row],[Days]]),$G$5,"")),"")</f>
        <v/>
      </c>
      <c r="AJ61" s="36" t="str">
        <f ca="1">IFERROR(+IF(AJ$27=ProposalToGnatt[[#This Row],[Start Date]],Milestone_Marker,IF(AND(AJ$27&gt;ProposalToGnatt[[#This Row],[Start Date]],AJ$27&lt;ProposalToGnatt[[#This Row],[Start Date]]+ProposalToGnatt[[#This Row],[Days]]),$G$5,"")),"")</f>
        <v/>
      </c>
      <c r="AK61" s="36" t="str">
        <f ca="1">IFERROR(+IF(AK$27=ProposalToGnatt[[#This Row],[Start Date]],Milestone_Marker,IF(AND(AK$27&gt;ProposalToGnatt[[#This Row],[Start Date]],AK$27&lt;ProposalToGnatt[[#This Row],[Start Date]]+ProposalToGnatt[[#This Row],[Days]]),$G$5,"")),"")</f>
        <v/>
      </c>
      <c r="AL61" s="36" t="str">
        <f ca="1">IFERROR(+IF(AL$27=ProposalToGnatt[[#This Row],[Start Date]],Milestone_Marker,IF(AND(AL$27&gt;ProposalToGnatt[[#This Row],[Start Date]],AL$27&lt;ProposalToGnatt[[#This Row],[Start Date]]+ProposalToGnatt[[#This Row],[Days]]),$G$5,"")),"")</f>
        <v/>
      </c>
      <c r="AM61" s="36" t="str">
        <f ca="1">IFERROR(+IF(AM$27=ProposalToGnatt[[#This Row],[Start Date]],Milestone_Marker,IF(AND(AM$27&gt;ProposalToGnatt[[#This Row],[Start Date]],AM$27&lt;ProposalToGnatt[[#This Row],[Start Date]]+ProposalToGnatt[[#This Row],[Days]]),$G$5,"")),"")</f>
        <v/>
      </c>
      <c r="AN61" s="36" t="str">
        <f ca="1">IFERROR(+IF(AN$27=ProposalToGnatt[[#This Row],[Start Date]],Milestone_Marker,IF(AND(AN$27&gt;ProposalToGnatt[[#This Row],[Start Date]],AN$27&lt;ProposalToGnatt[[#This Row],[Start Date]]+ProposalToGnatt[[#This Row],[Days]]),$G$5,"")),"")</f>
        <v/>
      </c>
      <c r="AO61" s="36" t="str">
        <f ca="1">IFERROR(+IF(AO$27=ProposalToGnatt[[#This Row],[Start Date]],Milestone_Marker,IF(AND(AO$27&gt;ProposalToGnatt[[#This Row],[Start Date]],AO$27&lt;ProposalToGnatt[[#This Row],[Start Date]]+ProposalToGnatt[[#This Row],[Days]]),$G$5,"")),"")</f>
        <v/>
      </c>
      <c r="AP61" s="36" t="str">
        <f ca="1">IFERROR(+IF(AP$27=ProposalToGnatt[[#This Row],[Start Date]],Milestone_Marker,IF(AND(AP$27&gt;ProposalToGnatt[[#This Row],[Start Date]],AP$27&lt;ProposalToGnatt[[#This Row],[Start Date]]+ProposalToGnatt[[#This Row],[Days]]),$G$5,"")),"")</f>
        <v/>
      </c>
      <c r="AQ61" s="36" t="str">
        <f ca="1">IFERROR(+IF(AQ$27=ProposalToGnatt[[#This Row],[Start Date]],Milestone_Marker,IF(AND(AQ$27&gt;ProposalToGnatt[[#This Row],[Start Date]],AQ$27&lt;ProposalToGnatt[[#This Row],[Start Date]]+ProposalToGnatt[[#This Row],[Days]]),$G$5,"")),"")</f>
        <v/>
      </c>
      <c r="AR61" s="36" t="str">
        <f ca="1">IFERROR(+IF(AR$27=ProposalToGnatt[[#This Row],[Start Date]],Milestone_Marker,IF(AND(AR$27&gt;ProposalToGnatt[[#This Row],[Start Date]],AR$27&lt;ProposalToGnatt[[#This Row],[Start Date]]+ProposalToGnatt[[#This Row],[Days]]),$G$5,"")),"")</f>
        <v/>
      </c>
      <c r="AS61" s="36" t="str">
        <f ca="1">IFERROR(+IF(AS$27=ProposalToGnatt[[#This Row],[Start Date]],Milestone_Marker,IF(AND(AS$27&gt;ProposalToGnatt[[#This Row],[Start Date]],AS$27&lt;ProposalToGnatt[[#This Row],[Start Date]]+ProposalToGnatt[[#This Row],[Days]]),$G$5,"")),"")</f>
        <v/>
      </c>
      <c r="AT61" s="36" t="str">
        <f ca="1">IFERROR(+IF(AT$27=ProposalToGnatt[[#This Row],[Start Date]],Milestone_Marker,IF(AND(AT$27&gt;ProposalToGnatt[[#This Row],[Start Date]],AT$27&lt;ProposalToGnatt[[#This Row],[Start Date]]+ProposalToGnatt[[#This Row],[Days]]),$G$5,"")),"")</f>
        <v/>
      </c>
      <c r="AU61" s="36" t="str">
        <f ca="1">IFERROR(+IF(AU$27=ProposalToGnatt[[#This Row],[Start Date]],Milestone_Marker,IF(AND(AU$27&gt;ProposalToGnatt[[#This Row],[Start Date]],AU$27&lt;ProposalToGnatt[[#This Row],[Start Date]]+ProposalToGnatt[[#This Row],[Days]]),$G$5,"")),"")</f>
        <v/>
      </c>
      <c r="AV61" s="36" t="str">
        <f ca="1">IFERROR(+IF(AV$27=ProposalToGnatt[[#This Row],[Start Date]],Milestone_Marker,IF(AND(AV$27&gt;ProposalToGnatt[[#This Row],[Start Date]],AV$27&lt;ProposalToGnatt[[#This Row],[Start Date]]+ProposalToGnatt[[#This Row],[Days]]),$G$5,"")),"")</f>
        <v/>
      </c>
      <c r="AW61" s="36" t="str">
        <f ca="1">IFERROR(+IF(AW$27=ProposalToGnatt[[#This Row],[Start Date]],Milestone_Marker,IF(AND(AW$27&gt;ProposalToGnatt[[#This Row],[Start Date]],AW$27&lt;ProposalToGnatt[[#This Row],[Start Date]]+ProposalToGnatt[[#This Row],[Days]]),$G$5,"")),"")</f>
        <v/>
      </c>
      <c r="AX61" s="36" t="str">
        <f ca="1">IFERROR(+IF(AX$27=ProposalToGnatt[[#This Row],[Start Date]],Milestone_Marker,IF(AND(AX$27&gt;ProposalToGnatt[[#This Row],[Start Date]],AX$27&lt;ProposalToGnatt[[#This Row],[Start Date]]+ProposalToGnatt[[#This Row],[Days]]),$G$5,"")),"")</f>
        <v/>
      </c>
      <c r="AY61" s="36" t="str">
        <f ca="1">IFERROR(+IF(AY$27=ProposalToGnatt[[#This Row],[Start Date]],Milestone_Marker,IF(AND(AY$27&gt;ProposalToGnatt[[#This Row],[Start Date]],AY$27&lt;ProposalToGnatt[[#This Row],[Start Date]]+ProposalToGnatt[[#This Row],[Days]]),$G$5,"")),"")</f>
        <v/>
      </c>
      <c r="AZ61" s="36" t="str">
        <f ca="1">IFERROR(+IF(AZ$27=ProposalToGnatt[[#This Row],[Start Date]],Milestone_Marker,IF(AND(AZ$27&gt;ProposalToGnatt[[#This Row],[Start Date]],AZ$27&lt;ProposalToGnatt[[#This Row],[Start Date]]+ProposalToGnatt[[#This Row],[Days]]),$G$5,"")),"")</f>
        <v/>
      </c>
      <c r="BA61" s="36" t="str">
        <f ca="1">IFERROR(+IF(BA$27=ProposalToGnatt[[#This Row],[Start Date]],Milestone_Marker,IF(AND(BA$27&gt;ProposalToGnatt[[#This Row],[Start Date]],BA$27&lt;ProposalToGnatt[[#This Row],[Start Date]]+ProposalToGnatt[[#This Row],[Days]]),$G$5,"")),"")</f>
        <v/>
      </c>
      <c r="BB61" s="36" t="str">
        <f ca="1">IFERROR(+IF(BB$27=ProposalToGnatt[[#This Row],[Start Date]],Milestone_Marker,IF(AND(BB$27&gt;ProposalToGnatt[[#This Row],[Start Date]],BB$27&lt;ProposalToGnatt[[#This Row],[Start Date]]+ProposalToGnatt[[#This Row],[Days]]),$G$5,"")),"")</f>
        <v/>
      </c>
      <c r="BC61" s="36" t="str">
        <f ca="1">IFERROR(+IF(BC$27=ProposalToGnatt[[#This Row],[Start Date]],Milestone_Marker,IF(AND(BC$27&gt;ProposalToGnatt[[#This Row],[Start Date]],BC$27&lt;ProposalToGnatt[[#This Row],[Start Date]]+ProposalToGnatt[[#This Row],[Days]]),$G$5,"")),"")</f>
        <v/>
      </c>
      <c r="BD61" s="36" t="str">
        <f ca="1">IFERROR(+IF(BD$27=ProposalToGnatt[[#This Row],[Start Date]],Milestone_Marker,IF(AND(BD$27&gt;ProposalToGnatt[[#This Row],[Start Date]],BD$27&lt;ProposalToGnatt[[#This Row],[Start Date]]+ProposalToGnatt[[#This Row],[Days]]),$G$5,"")),"")</f>
        <v/>
      </c>
      <c r="BE61" s="36" t="str">
        <f ca="1">IFERROR(+IF(BE$27=ProposalToGnatt[[#This Row],[Start Date]],Milestone_Marker,IF(AND(BE$27&gt;ProposalToGnatt[[#This Row],[Start Date]],BE$27&lt;ProposalToGnatt[[#This Row],[Start Date]]+ProposalToGnatt[[#This Row],[Days]]),$G$5,"")),"")</f>
        <v/>
      </c>
      <c r="BF61" s="36" t="str">
        <f ca="1">IFERROR(+IF(BF$27=ProposalToGnatt[[#This Row],[Start Date]],Milestone_Marker,IF(AND(BF$27&gt;ProposalToGnatt[[#This Row],[Start Date]],BF$27&lt;ProposalToGnatt[[#This Row],[Start Date]]+ProposalToGnatt[[#This Row],[Days]]),$G$5,"")),"")</f>
        <v/>
      </c>
      <c r="BG61" s="36" t="str">
        <f ca="1">IFERROR(+IF(BG$27=ProposalToGnatt[[#This Row],[Start Date]],Milestone_Marker,IF(AND(BG$27&gt;ProposalToGnatt[[#This Row],[Start Date]],BG$27&lt;ProposalToGnatt[[#This Row],[Start Date]]+ProposalToGnatt[[#This Row],[Days]]),$G$5,"")),"")</f>
        <v/>
      </c>
      <c r="BH61" s="36" t="str">
        <f ca="1">IFERROR(+IF(BH$27=ProposalToGnatt[[#This Row],[Start Date]],Milestone_Marker,IF(AND(BH$27&gt;ProposalToGnatt[[#This Row],[Start Date]],BH$27&lt;ProposalToGnatt[[#This Row],[Start Date]]+ProposalToGnatt[[#This Row],[Days]]),$G$5,"")),"")</f>
        <v/>
      </c>
      <c r="BI61" s="36" t="str">
        <f ca="1">IFERROR(+IF(BI$27=ProposalToGnatt[[#This Row],[Start Date]],Milestone_Marker,IF(AND(BI$27&gt;ProposalToGnatt[[#This Row],[Start Date]],BI$27&lt;ProposalToGnatt[[#This Row],[Start Date]]+ProposalToGnatt[[#This Row],[Days]]),$G$5,"")),"")</f>
        <v/>
      </c>
      <c r="BJ61" s="36" t="str">
        <f ca="1">IFERROR(+IF(BJ$27=ProposalToGnatt[[#This Row],[Start Date]],Milestone_Marker,IF(AND(BJ$27&gt;ProposalToGnatt[[#This Row],[Start Date]],BJ$27&lt;ProposalToGnatt[[#This Row],[Start Date]]+ProposalToGnatt[[#This Row],[Days]]),$G$5,"")),"")</f>
        <v/>
      </c>
      <c r="BK61" s="36" t="str">
        <f ca="1">IFERROR(+IF(BK$27=ProposalToGnatt[[#This Row],[Start Date]],Milestone_Marker,IF(AND(BK$27&gt;ProposalToGnatt[[#This Row],[Start Date]],BK$27&lt;ProposalToGnatt[[#This Row],[Start Date]]+ProposalToGnatt[[#This Row],[Days]]),$G$5,"")),"")</f>
        <v/>
      </c>
      <c r="BL61" s="36" t="str">
        <f ca="1">IFERROR(+IF(BL$27=ProposalToGnatt[[#This Row],[Start Date]],Milestone_Marker,IF(AND(BL$27&gt;ProposalToGnatt[[#This Row],[Start Date]],BL$27&lt;ProposalToGnatt[[#This Row],[Start Date]]+ProposalToGnatt[[#This Row],[Days]]),$G$5,"")),"")</f>
        <v/>
      </c>
      <c r="BM61" s="36" t="str">
        <f ca="1">IFERROR(+IF(BM$27=ProposalToGnatt[[#This Row],[Start Date]],Milestone_Marker,IF(AND(BM$27&gt;ProposalToGnatt[[#This Row],[Start Date]],BM$27&lt;ProposalToGnatt[[#This Row],[Start Date]]+ProposalToGnatt[[#This Row],[Days]]),$G$5,"")),"")</f>
        <v/>
      </c>
      <c r="BN61" s="36" t="str">
        <f ca="1">IFERROR(+IF(BN$27=ProposalToGnatt[[#This Row],[Start Date]],Milestone_Marker,IF(AND(BN$27&gt;ProposalToGnatt[[#This Row],[Start Date]],BN$27&lt;ProposalToGnatt[[#This Row],[Start Date]]+ProposalToGnatt[[#This Row],[Days]]),$G$5,"")),"")</f>
        <v/>
      </c>
      <c r="BO61" s="36" t="str">
        <f ca="1">IFERROR(+IF(BO$27=ProposalToGnatt[[#This Row],[Start Date]],Milestone_Marker,IF(AND(BO$27&gt;ProposalToGnatt[[#This Row],[Start Date]],BO$27&lt;ProposalToGnatt[[#This Row],[Start Date]]+ProposalToGnatt[[#This Row],[Days]]),$G$5,"")),"")</f>
        <v/>
      </c>
      <c r="BP61" s="36" t="str">
        <f ca="1">IFERROR(+IF(BP$27=ProposalToGnatt[[#This Row],[Start Date]],Milestone_Marker,IF(AND(BP$27&gt;ProposalToGnatt[[#This Row],[Start Date]],BP$27&lt;ProposalToGnatt[[#This Row],[Start Date]]+ProposalToGnatt[[#This Row],[Days]]),$G$5,"")),"")</f>
        <v/>
      </c>
      <c r="BQ61" s="36" t="str">
        <f ca="1">IFERROR(+IF(BQ$27=ProposalToGnatt[[#This Row],[Start Date]],Milestone_Marker,IF(AND(BQ$27&gt;ProposalToGnatt[[#This Row],[Start Date]],BQ$27&lt;ProposalToGnatt[[#This Row],[Start Date]]+ProposalToGnatt[[#This Row],[Days]]),$G$5,"")),"")</f>
        <v/>
      </c>
      <c r="BR61" s="36" t="str">
        <f ca="1">IFERROR(+IF(BR$27=ProposalToGnatt[[#This Row],[Start Date]],Milestone_Marker,IF(AND(BR$27&gt;ProposalToGnatt[[#This Row],[Start Date]],BR$27&lt;ProposalToGnatt[[#This Row],[Start Date]]+ProposalToGnatt[[#This Row],[Days]]),$G$5,"")),"")</f>
        <v/>
      </c>
      <c r="BS61" s="36" t="str">
        <f ca="1">IFERROR(+IF(BS$27=ProposalToGnatt[[#This Row],[Start Date]],Milestone_Marker,IF(AND(BS$27&gt;ProposalToGnatt[[#This Row],[Start Date]],BS$27&lt;ProposalToGnatt[[#This Row],[Start Date]]+ProposalToGnatt[[#This Row],[Days]]),$G$5,"")),"")</f>
        <v/>
      </c>
      <c r="BT61" s="36" t="str">
        <f ca="1">IFERROR(+IF(BT$27=ProposalToGnatt[[#This Row],[Start Date]],Milestone_Marker,IF(AND(BT$27&gt;ProposalToGnatt[[#This Row],[Start Date]],BT$27&lt;ProposalToGnatt[[#This Row],[Start Date]]+ProposalToGnatt[[#This Row],[Days]]),$G$5,"")),"")</f>
        <v/>
      </c>
      <c r="BU61" s="36" t="str">
        <f ca="1">IFERROR(+IF(BU$27=ProposalToGnatt[[#This Row],[Start Date]],Milestone_Marker,IF(AND(BU$27&gt;ProposalToGnatt[[#This Row],[Start Date]],BU$27&lt;ProposalToGnatt[[#This Row],[Start Date]]+ProposalToGnatt[[#This Row],[Days]]),$G$5,"")),"")</f>
        <v/>
      </c>
      <c r="BV61" s="36" t="str">
        <f ca="1">IFERROR(+IF(BV$27=ProposalToGnatt[[#This Row],[Start Date]],Milestone_Marker,IF(AND(BV$27&gt;ProposalToGnatt[[#This Row],[Start Date]],BV$27&lt;ProposalToGnatt[[#This Row],[Start Date]]+ProposalToGnatt[[#This Row],[Days]]),$G$5,"")),"")</f>
        <v/>
      </c>
      <c r="BW61" s="36" t="str">
        <f ca="1">IFERROR(+IF(BW$27=ProposalToGnatt[[#This Row],[Start Date]],Milestone_Marker,IF(AND(BW$27&gt;ProposalToGnatt[[#This Row],[Start Date]],BW$27&lt;ProposalToGnatt[[#This Row],[Start Date]]+ProposalToGnatt[[#This Row],[Days]]),$G$5,"")),"")</f>
        <v/>
      </c>
      <c r="BX61" s="36" t="str">
        <f ca="1">IFERROR(+IF(BX$27=ProposalToGnatt[[#This Row],[Start Date]],Milestone_Marker,IF(AND(BX$27&gt;ProposalToGnatt[[#This Row],[Start Date]],BX$27&lt;ProposalToGnatt[[#This Row],[Start Date]]+ProposalToGnatt[[#This Row],[Days]]),$G$5,"")),"")</f>
        <v/>
      </c>
      <c r="BY61" s="36" t="str">
        <f ca="1">IFERROR(+IF(BY$27=ProposalToGnatt[[#This Row],[Start Date]],Milestone_Marker,IF(AND(BY$27&gt;ProposalToGnatt[[#This Row],[Start Date]],BY$27&lt;ProposalToGnatt[[#This Row],[Start Date]]+ProposalToGnatt[[#This Row],[Days]]),$G$5,"")),"")</f>
        <v/>
      </c>
      <c r="BZ61" s="36" t="str">
        <f ca="1">IFERROR(+IF(BZ$27=ProposalToGnatt[[#This Row],[Start Date]],Milestone_Marker,IF(AND(BZ$27&gt;ProposalToGnatt[[#This Row],[Start Date]],BZ$27&lt;ProposalToGnatt[[#This Row],[Start Date]]+ProposalToGnatt[[#This Row],[Days]]),$G$5,"")),"")</f>
        <v/>
      </c>
      <c r="CA61" s="36" t="str">
        <f ca="1">IFERROR(+IF(CA$27=ProposalToGnatt[[#This Row],[Start Date]],Milestone_Marker,IF(AND(CA$27&gt;ProposalToGnatt[[#This Row],[Start Date]],CA$27&lt;ProposalToGnatt[[#This Row],[Start Date]]+ProposalToGnatt[[#This Row],[Days]]),$G$5,"")),"")</f>
        <v/>
      </c>
      <c r="CB61" s="36" t="str">
        <f ca="1">IFERROR(+IF(CB$27=ProposalToGnatt[[#This Row],[Start Date]],Milestone_Marker,IF(AND(CB$27&gt;ProposalToGnatt[[#This Row],[Start Date]],CB$27&lt;ProposalToGnatt[[#This Row],[Start Date]]+ProposalToGnatt[[#This Row],[Days]]),$G$5,"")),"")</f>
        <v/>
      </c>
      <c r="CC61" s="36" t="str">
        <f ca="1">IFERROR(+IF(CC$27=ProposalToGnatt[[#This Row],[Start Date]],Milestone_Marker,IF(AND(CC$27&gt;ProposalToGnatt[[#This Row],[Start Date]],CC$27&lt;ProposalToGnatt[[#This Row],[Start Date]]+ProposalToGnatt[[#This Row],[Days]]),$G$5,"")),"")</f>
        <v/>
      </c>
      <c r="CD61" s="36" t="str">
        <f ca="1">IFERROR(+IF(CD$27=ProposalToGnatt[[#This Row],[Start Date]],Milestone_Marker,IF(AND(CD$27&gt;ProposalToGnatt[[#This Row],[Start Date]],CD$27&lt;ProposalToGnatt[[#This Row],[Start Date]]+ProposalToGnatt[[#This Row],[Days]]),$G$5,"")),"")</f>
        <v/>
      </c>
      <c r="CE61" s="36" t="str">
        <f ca="1">IFERROR(+IF(CE$27=ProposalToGnatt[[#This Row],[Start Date]],Milestone_Marker,IF(AND(CE$27&gt;ProposalToGnatt[[#This Row],[Start Date]],CE$27&lt;ProposalToGnatt[[#This Row],[Start Date]]+ProposalToGnatt[[#This Row],[Days]]),$G$5,"")),"")</f>
        <v/>
      </c>
      <c r="CF61" s="36" t="str">
        <f ca="1">IFERROR(+IF(CF$27=ProposalToGnatt[[#This Row],[Start Date]],Milestone_Marker,IF(AND(CF$27&gt;ProposalToGnatt[[#This Row],[Start Date]],CF$27&lt;ProposalToGnatt[[#This Row],[Start Date]]+ProposalToGnatt[[#This Row],[Days]]),$G$5,"")),"")</f>
        <v/>
      </c>
      <c r="CG61" s="36" t="str">
        <f ca="1">IFERROR(+IF(CG$27=ProposalToGnatt[[#This Row],[Start Date]],Milestone_Marker,IF(AND(CG$27&gt;ProposalToGnatt[[#This Row],[Start Date]],CG$27&lt;ProposalToGnatt[[#This Row],[Start Date]]+ProposalToGnatt[[#This Row],[Days]]),$G$5,"")),"")</f>
        <v/>
      </c>
      <c r="CH61" s="36" t="str">
        <f ca="1">IFERROR(+IF(CH$27=ProposalToGnatt[[#This Row],[Start Date]],Milestone_Marker,IF(AND(CH$27&gt;ProposalToGnatt[[#This Row],[Start Date]],CH$27&lt;ProposalToGnatt[[#This Row],[Start Date]]+ProposalToGnatt[[#This Row],[Days]]),$G$5,"")),"")</f>
        <v/>
      </c>
      <c r="CI61" s="36" t="str">
        <f ca="1">IFERROR(+IF(CI$27=ProposalToGnatt[[#This Row],[Start Date]],Milestone_Marker,IF(AND(CI$27&gt;ProposalToGnatt[[#This Row],[Start Date]],CI$27&lt;ProposalToGnatt[[#This Row],[Start Date]]+ProposalToGnatt[[#This Row],[Days]]),$G$5,"")),"")</f>
        <v/>
      </c>
      <c r="CJ61" s="36" t="str">
        <f ca="1">IFERROR(+IF(CJ$27=ProposalToGnatt[[#This Row],[Start Date]],Milestone_Marker,IF(AND(CJ$27&gt;ProposalToGnatt[[#This Row],[Start Date]],CJ$27&lt;ProposalToGnatt[[#This Row],[Start Date]]+ProposalToGnatt[[#This Row],[Days]]),$G$5,"")),"")</f>
        <v/>
      </c>
      <c r="CK61" s="36" t="str">
        <f ca="1">IFERROR(+IF(CK$27=ProposalToGnatt[[#This Row],[Start Date]],Milestone_Marker,IF(AND(CK$27&gt;ProposalToGnatt[[#This Row],[Start Date]],CK$27&lt;ProposalToGnatt[[#This Row],[Start Date]]+ProposalToGnatt[[#This Row],[Days]]),$G$5,"")),"")</f>
        <v/>
      </c>
      <c r="CL61" s="36" t="str">
        <f ca="1">IFERROR(+IF(CL$27=ProposalToGnatt[[#This Row],[Start Date]],Milestone_Marker,IF(AND(CL$27&gt;ProposalToGnatt[[#This Row],[Start Date]],CL$27&lt;ProposalToGnatt[[#This Row],[Start Date]]+ProposalToGnatt[[#This Row],[Days]]),$G$5,"")),"")</f>
        <v/>
      </c>
      <c r="CM61" s="36" t="str">
        <f ca="1">IFERROR(+IF(CM$27=ProposalToGnatt[[#This Row],[Start Date]],Milestone_Marker,IF(AND(CM$27&gt;ProposalToGnatt[[#This Row],[Start Date]],CM$27&lt;ProposalToGnatt[[#This Row],[Start Date]]+ProposalToGnatt[[#This Row],[Days]]),$G$5,"")),"")</f>
        <v/>
      </c>
      <c r="CN61" s="36" t="str">
        <f ca="1">IFERROR(+IF(CN$27=ProposalToGnatt[[#This Row],[Start Date]],Milestone_Marker,IF(AND(CN$27&gt;ProposalToGnatt[[#This Row],[Start Date]],CN$27&lt;ProposalToGnatt[[#This Row],[Start Date]]+ProposalToGnatt[[#This Row],[Days]]),$G$5,"")),"")</f>
        <v/>
      </c>
      <c r="CO61" s="36" t="str">
        <f ca="1">IFERROR(+IF(CO$27=ProposalToGnatt[[#This Row],[Start Date]],Milestone_Marker,IF(AND(CO$27&gt;ProposalToGnatt[[#This Row],[Start Date]],CO$27&lt;ProposalToGnatt[[#This Row],[Start Date]]+ProposalToGnatt[[#This Row],[Days]]),$G$5,"")),"")</f>
        <v/>
      </c>
      <c r="CP61" s="36" t="str">
        <f ca="1">IFERROR(+IF(CP$27=ProposalToGnatt[[#This Row],[Start Date]],Milestone_Marker,IF(AND(CP$27&gt;ProposalToGnatt[[#This Row],[Start Date]],CP$27&lt;ProposalToGnatt[[#This Row],[Start Date]]+ProposalToGnatt[[#This Row],[Days]]),$G$5,"")),"")</f>
        <v/>
      </c>
      <c r="CQ61" s="36" t="str">
        <f ca="1">IFERROR(+IF(CQ$27=ProposalToGnatt[[#This Row],[Start Date]],Milestone_Marker,IF(AND(CQ$27&gt;ProposalToGnatt[[#This Row],[Start Date]],CQ$27&lt;ProposalToGnatt[[#This Row],[Start Date]]+ProposalToGnatt[[#This Row],[Days]]),$G$5,"")),"")</f>
        <v/>
      </c>
      <c r="CR61" s="36" t="str">
        <f ca="1">IFERROR(+IF(CR$27=ProposalToGnatt[[#This Row],[Start Date]],Milestone_Marker,IF(AND(CR$27&gt;ProposalToGnatt[[#This Row],[Start Date]],CR$27&lt;ProposalToGnatt[[#This Row],[Start Date]]+ProposalToGnatt[[#This Row],[Days]]),$G$5,"")),"")</f>
        <v/>
      </c>
      <c r="CS61" s="36" t="str">
        <f ca="1">IFERROR(+IF(CS$27=ProposalToGnatt[[#This Row],[Start Date]],Milestone_Marker,IF(AND(CS$27&gt;ProposalToGnatt[[#This Row],[Start Date]],CS$27&lt;ProposalToGnatt[[#This Row],[Start Date]]+ProposalToGnatt[[#This Row],[Days]]),$G$5,"")),"")</f>
        <v/>
      </c>
      <c r="CT61" s="36" t="str">
        <f ca="1">IFERROR(+IF(CT$27=ProposalToGnatt[[#This Row],[Start Date]],Milestone_Marker,IF(AND(CT$27&gt;ProposalToGnatt[[#This Row],[Start Date]],CT$27&lt;ProposalToGnatt[[#This Row],[Start Date]]+ProposalToGnatt[[#This Row],[Days]]),$G$5,"")),"")</f>
        <v/>
      </c>
      <c r="CU61" s="36" t="str">
        <f ca="1">IFERROR(+IF(CU$27=ProposalToGnatt[[#This Row],[Start Date]],Milestone_Marker,IF(AND(CU$27&gt;ProposalToGnatt[[#This Row],[Start Date]],CU$27&lt;ProposalToGnatt[[#This Row],[Start Date]]+ProposalToGnatt[[#This Row],[Days]]),$G$5,"")),"")</f>
        <v/>
      </c>
      <c r="CV61" s="36"/>
      <c r="CW61" s="36"/>
      <c r="CX61" s="36"/>
      <c r="CY61" s="36"/>
      <c r="CZ61" s="36"/>
      <c r="DA61" s="36"/>
      <c r="DB61" s="36"/>
      <c r="DC61" s="36"/>
      <c r="DD61" s="36"/>
      <c r="DE61" s="36"/>
      <c r="DF61" s="36"/>
      <c r="DG61" s="36"/>
      <c r="DH61" s="36"/>
      <c r="DI61" s="36"/>
      <c r="DJ61" s="36"/>
      <c r="DK61" s="36"/>
      <c r="DL61" s="36"/>
      <c r="DM61" s="36"/>
      <c r="DN61" s="36"/>
      <c r="DO61" s="36"/>
      <c r="DP61" s="36"/>
      <c r="DQ61" s="36"/>
      <c r="DR61" s="36"/>
      <c r="DS61" s="36"/>
      <c r="DT61" s="36"/>
      <c r="DU61" s="36"/>
    </row>
    <row r="62" spans="1:125" s="41" customFormat="1" ht="15" x14ac:dyDescent="0.25">
      <c r="A62"/>
      <c r="B62"/>
      <c r="C62"/>
      <c r="D62"/>
      <c r="E62"/>
      <c r="F62"/>
      <c r="G62" s="14"/>
      <c r="H62" s="14"/>
      <c r="I62"/>
      <c r="J62"/>
      <c r="K62" s="246"/>
      <c r="L62"/>
      <c r="M62" s="14"/>
      <c r="N62" s="299"/>
      <c r="O62" s="281"/>
      <c r="P62" s="36" t="str">
        <f ca="1">IFERROR(+IF(P$27=ProposalToGnatt[[#This Row],[Start Date]],Milestone_Marker,IF(AND(P$27&gt;ProposalToGnatt[[#This Row],[Start Date]],P$27&lt;ProposalToGnatt[[#This Row],[Start Date]]+ProposalToGnatt[[#This Row],[Days]]),$G$5,"")),"")</f>
        <v/>
      </c>
      <c r="Q62" s="36" t="str">
        <f ca="1">IFERROR(+IF(Q$27=ProposalToGnatt[[#This Row],[Start Date]],Milestone_Marker,IF(AND(Q$27&gt;ProposalToGnatt[[#This Row],[Start Date]],Q$27&lt;ProposalToGnatt[[#This Row],[Start Date]]+ProposalToGnatt[[#This Row],[Days]]),$G$5,"")),"")</f>
        <v/>
      </c>
      <c r="R62" s="36" t="str">
        <f ca="1">IFERROR(+IF(R$27=ProposalToGnatt[[#This Row],[Start Date]],Milestone_Marker,IF(AND(R$27&gt;ProposalToGnatt[[#This Row],[Start Date]],R$27&lt;ProposalToGnatt[[#This Row],[Start Date]]+ProposalToGnatt[[#This Row],[Days]]),$G$5,"")),"")</f>
        <v/>
      </c>
      <c r="S62" s="36" t="str">
        <f ca="1">IFERROR(+IF(S$27=ProposalToGnatt[[#This Row],[Start Date]],Milestone_Marker,IF(AND(S$27&gt;ProposalToGnatt[[#This Row],[Start Date]],S$27&lt;ProposalToGnatt[[#This Row],[Start Date]]+ProposalToGnatt[[#This Row],[Days]]),$G$5,"")),"")</f>
        <v/>
      </c>
      <c r="T62" s="36" t="str">
        <f ca="1">IFERROR(+IF(T$27=ProposalToGnatt[[#This Row],[Start Date]],Milestone_Marker,IF(AND(T$27&gt;ProposalToGnatt[[#This Row],[Start Date]],T$27&lt;ProposalToGnatt[[#This Row],[Start Date]]+ProposalToGnatt[[#This Row],[Days]]),$G$5,"")),"")</f>
        <v/>
      </c>
      <c r="U62" s="36" t="str">
        <f ca="1">IFERROR(+IF(U$27=ProposalToGnatt[[#This Row],[Start Date]],Milestone_Marker,IF(AND(U$27&gt;ProposalToGnatt[[#This Row],[Start Date]],U$27&lt;ProposalToGnatt[[#This Row],[Start Date]]+ProposalToGnatt[[#This Row],[Days]]),$G$5,"")),"")</f>
        <v/>
      </c>
      <c r="V62" s="36" t="str">
        <f ca="1">IFERROR(+IF(V$27=ProposalToGnatt[[#This Row],[Start Date]],Milestone_Marker,IF(AND(V$27&gt;ProposalToGnatt[[#This Row],[Start Date]],V$27&lt;ProposalToGnatt[[#This Row],[Start Date]]+ProposalToGnatt[[#This Row],[Days]]),$G$5,"")),"")</f>
        <v/>
      </c>
      <c r="W62" s="36" t="str">
        <f ca="1">IFERROR(+IF(W$27=ProposalToGnatt[[#This Row],[Start Date]],Milestone_Marker,IF(AND(W$27&gt;ProposalToGnatt[[#This Row],[Start Date]],W$27&lt;ProposalToGnatt[[#This Row],[Start Date]]+ProposalToGnatt[[#This Row],[Days]]),$G$5,"")),"")</f>
        <v/>
      </c>
      <c r="X62" s="36" t="str">
        <f ca="1">IFERROR(+IF(X$27=ProposalToGnatt[[#This Row],[Start Date]],Milestone_Marker,IF(AND(X$27&gt;ProposalToGnatt[[#This Row],[Start Date]],X$27&lt;ProposalToGnatt[[#This Row],[Start Date]]+ProposalToGnatt[[#This Row],[Days]]),$G$5,"")),"")</f>
        <v/>
      </c>
      <c r="Y62" s="36" t="str">
        <f ca="1">IFERROR(+IF(Y$27=ProposalToGnatt[[#This Row],[Start Date]],Milestone_Marker,IF(AND(Y$27&gt;ProposalToGnatt[[#This Row],[Start Date]],Y$27&lt;ProposalToGnatt[[#This Row],[Start Date]]+ProposalToGnatt[[#This Row],[Days]]),$G$5,"")),"")</f>
        <v/>
      </c>
      <c r="Z62" s="36" t="str">
        <f ca="1">IFERROR(+IF(Z$27=ProposalToGnatt[[#This Row],[Start Date]],Milestone_Marker,IF(AND(Z$27&gt;ProposalToGnatt[[#This Row],[Start Date]],Z$27&lt;ProposalToGnatt[[#This Row],[Start Date]]+ProposalToGnatt[[#This Row],[Days]]),$G$5,"")),"")</f>
        <v/>
      </c>
      <c r="AA62" s="36" t="str">
        <f ca="1">IFERROR(+IF(AA$27=ProposalToGnatt[[#This Row],[Start Date]],Milestone_Marker,IF(AND(AA$27&gt;ProposalToGnatt[[#This Row],[Start Date]],AA$27&lt;ProposalToGnatt[[#This Row],[Start Date]]+ProposalToGnatt[[#This Row],[Days]]),$G$5,"")),"")</f>
        <v/>
      </c>
      <c r="AB62" s="36" t="str">
        <f ca="1">IFERROR(+IF(AB$27=ProposalToGnatt[[#This Row],[Start Date]],Milestone_Marker,IF(AND(AB$27&gt;ProposalToGnatt[[#This Row],[Start Date]],AB$27&lt;ProposalToGnatt[[#This Row],[Start Date]]+ProposalToGnatt[[#This Row],[Days]]),$G$5,"")),"")</f>
        <v/>
      </c>
      <c r="AC62" s="36" t="str">
        <f ca="1">IFERROR(+IF(AC$27=ProposalToGnatt[[#This Row],[Start Date]],Milestone_Marker,IF(AND(AC$27&gt;ProposalToGnatt[[#This Row],[Start Date]],AC$27&lt;ProposalToGnatt[[#This Row],[Start Date]]+ProposalToGnatt[[#This Row],[Days]]),$G$5,"")),"")</f>
        <v/>
      </c>
      <c r="AD62" s="36" t="str">
        <f ca="1">IFERROR(+IF(AD$27=ProposalToGnatt[[#This Row],[Start Date]],Milestone_Marker,IF(AND(AD$27&gt;ProposalToGnatt[[#This Row],[Start Date]],AD$27&lt;ProposalToGnatt[[#This Row],[Start Date]]+ProposalToGnatt[[#This Row],[Days]]),$G$5,"")),"")</f>
        <v/>
      </c>
      <c r="AE62" s="36" t="str">
        <f ca="1">IFERROR(+IF(AE$27=ProposalToGnatt[[#This Row],[Start Date]],Milestone_Marker,IF(AND(AE$27&gt;ProposalToGnatt[[#This Row],[Start Date]],AE$27&lt;ProposalToGnatt[[#This Row],[Start Date]]+ProposalToGnatt[[#This Row],[Days]]),$G$5,"")),"")</f>
        <v/>
      </c>
      <c r="AF62" s="36" t="str">
        <f ca="1">IFERROR(+IF(AF$27=ProposalToGnatt[[#This Row],[Start Date]],Milestone_Marker,IF(AND(AF$27&gt;ProposalToGnatt[[#This Row],[Start Date]],AF$27&lt;ProposalToGnatt[[#This Row],[Start Date]]+ProposalToGnatt[[#This Row],[Days]]),$G$5,"")),"")</f>
        <v/>
      </c>
      <c r="AG62" s="36" t="str">
        <f ca="1">IFERROR(+IF(AG$27=ProposalToGnatt[[#This Row],[Start Date]],Milestone_Marker,IF(AND(AG$27&gt;ProposalToGnatt[[#This Row],[Start Date]],AG$27&lt;ProposalToGnatt[[#This Row],[Start Date]]+ProposalToGnatt[[#This Row],[Days]]),$G$5,"")),"")</f>
        <v/>
      </c>
      <c r="AH62" s="36" t="str">
        <f ca="1">IFERROR(+IF(AH$27=ProposalToGnatt[[#This Row],[Start Date]],Milestone_Marker,IF(AND(AH$27&gt;ProposalToGnatt[[#This Row],[Start Date]],AH$27&lt;ProposalToGnatt[[#This Row],[Start Date]]+ProposalToGnatt[[#This Row],[Days]]),$G$5,"")),"")</f>
        <v/>
      </c>
      <c r="AI62" s="36" t="str">
        <f ca="1">IFERROR(+IF(AI$27=ProposalToGnatt[[#This Row],[Start Date]],Milestone_Marker,IF(AND(AI$27&gt;ProposalToGnatt[[#This Row],[Start Date]],AI$27&lt;ProposalToGnatt[[#This Row],[Start Date]]+ProposalToGnatt[[#This Row],[Days]]),$G$5,"")),"")</f>
        <v/>
      </c>
      <c r="AJ62" s="36" t="str">
        <f ca="1">IFERROR(+IF(AJ$27=ProposalToGnatt[[#This Row],[Start Date]],Milestone_Marker,IF(AND(AJ$27&gt;ProposalToGnatt[[#This Row],[Start Date]],AJ$27&lt;ProposalToGnatt[[#This Row],[Start Date]]+ProposalToGnatt[[#This Row],[Days]]),$G$5,"")),"")</f>
        <v/>
      </c>
      <c r="AK62" s="36" t="str">
        <f ca="1">IFERROR(+IF(AK$27=ProposalToGnatt[[#This Row],[Start Date]],Milestone_Marker,IF(AND(AK$27&gt;ProposalToGnatt[[#This Row],[Start Date]],AK$27&lt;ProposalToGnatt[[#This Row],[Start Date]]+ProposalToGnatt[[#This Row],[Days]]),$G$5,"")),"")</f>
        <v/>
      </c>
      <c r="AL62" s="36" t="str">
        <f ca="1">IFERROR(+IF(AL$27=ProposalToGnatt[[#This Row],[Start Date]],Milestone_Marker,IF(AND(AL$27&gt;ProposalToGnatt[[#This Row],[Start Date]],AL$27&lt;ProposalToGnatt[[#This Row],[Start Date]]+ProposalToGnatt[[#This Row],[Days]]),$G$5,"")),"")</f>
        <v/>
      </c>
      <c r="AM62" s="36" t="str">
        <f ca="1">IFERROR(+IF(AM$27=ProposalToGnatt[[#This Row],[Start Date]],Milestone_Marker,IF(AND(AM$27&gt;ProposalToGnatt[[#This Row],[Start Date]],AM$27&lt;ProposalToGnatt[[#This Row],[Start Date]]+ProposalToGnatt[[#This Row],[Days]]),$G$5,"")),"")</f>
        <v/>
      </c>
      <c r="AN62" s="36" t="str">
        <f ca="1">IFERROR(+IF(AN$27=ProposalToGnatt[[#This Row],[Start Date]],Milestone_Marker,IF(AND(AN$27&gt;ProposalToGnatt[[#This Row],[Start Date]],AN$27&lt;ProposalToGnatt[[#This Row],[Start Date]]+ProposalToGnatt[[#This Row],[Days]]),$G$5,"")),"")</f>
        <v/>
      </c>
      <c r="AO62" s="36" t="str">
        <f ca="1">IFERROR(+IF(AO$27=ProposalToGnatt[[#This Row],[Start Date]],Milestone_Marker,IF(AND(AO$27&gt;ProposalToGnatt[[#This Row],[Start Date]],AO$27&lt;ProposalToGnatt[[#This Row],[Start Date]]+ProposalToGnatt[[#This Row],[Days]]),$G$5,"")),"")</f>
        <v/>
      </c>
      <c r="AP62" s="36" t="str">
        <f ca="1">IFERROR(+IF(AP$27=ProposalToGnatt[[#This Row],[Start Date]],Milestone_Marker,IF(AND(AP$27&gt;ProposalToGnatt[[#This Row],[Start Date]],AP$27&lt;ProposalToGnatt[[#This Row],[Start Date]]+ProposalToGnatt[[#This Row],[Days]]),$G$5,"")),"")</f>
        <v/>
      </c>
      <c r="AQ62" s="36" t="str">
        <f ca="1">IFERROR(+IF(AQ$27=ProposalToGnatt[[#This Row],[Start Date]],Milestone_Marker,IF(AND(AQ$27&gt;ProposalToGnatt[[#This Row],[Start Date]],AQ$27&lt;ProposalToGnatt[[#This Row],[Start Date]]+ProposalToGnatt[[#This Row],[Days]]),$G$5,"")),"")</f>
        <v/>
      </c>
      <c r="AR62" s="36" t="str">
        <f ca="1">IFERROR(+IF(AR$27=ProposalToGnatt[[#This Row],[Start Date]],Milestone_Marker,IF(AND(AR$27&gt;ProposalToGnatt[[#This Row],[Start Date]],AR$27&lt;ProposalToGnatt[[#This Row],[Start Date]]+ProposalToGnatt[[#This Row],[Days]]),$G$5,"")),"")</f>
        <v/>
      </c>
      <c r="AS62" s="36" t="str">
        <f ca="1">IFERROR(+IF(AS$27=ProposalToGnatt[[#This Row],[Start Date]],Milestone_Marker,IF(AND(AS$27&gt;ProposalToGnatt[[#This Row],[Start Date]],AS$27&lt;ProposalToGnatt[[#This Row],[Start Date]]+ProposalToGnatt[[#This Row],[Days]]),$G$5,"")),"")</f>
        <v/>
      </c>
      <c r="AT62" s="36" t="str">
        <f ca="1">IFERROR(+IF(AT$27=ProposalToGnatt[[#This Row],[Start Date]],Milestone_Marker,IF(AND(AT$27&gt;ProposalToGnatt[[#This Row],[Start Date]],AT$27&lt;ProposalToGnatt[[#This Row],[Start Date]]+ProposalToGnatt[[#This Row],[Days]]),$G$5,"")),"")</f>
        <v/>
      </c>
      <c r="AU62" s="36" t="str">
        <f ca="1">IFERROR(+IF(AU$27=ProposalToGnatt[[#This Row],[Start Date]],Milestone_Marker,IF(AND(AU$27&gt;ProposalToGnatt[[#This Row],[Start Date]],AU$27&lt;ProposalToGnatt[[#This Row],[Start Date]]+ProposalToGnatt[[#This Row],[Days]]),$G$5,"")),"")</f>
        <v/>
      </c>
      <c r="AV62" s="36" t="str">
        <f ca="1">IFERROR(+IF(AV$27=ProposalToGnatt[[#This Row],[Start Date]],Milestone_Marker,IF(AND(AV$27&gt;ProposalToGnatt[[#This Row],[Start Date]],AV$27&lt;ProposalToGnatt[[#This Row],[Start Date]]+ProposalToGnatt[[#This Row],[Days]]),$G$5,"")),"")</f>
        <v/>
      </c>
      <c r="AW62" s="36" t="str">
        <f ca="1">IFERROR(+IF(AW$27=ProposalToGnatt[[#This Row],[Start Date]],Milestone_Marker,IF(AND(AW$27&gt;ProposalToGnatt[[#This Row],[Start Date]],AW$27&lt;ProposalToGnatt[[#This Row],[Start Date]]+ProposalToGnatt[[#This Row],[Days]]),$G$5,"")),"")</f>
        <v/>
      </c>
      <c r="AX62" s="36" t="str">
        <f ca="1">IFERROR(+IF(AX$27=ProposalToGnatt[[#This Row],[Start Date]],Milestone_Marker,IF(AND(AX$27&gt;ProposalToGnatt[[#This Row],[Start Date]],AX$27&lt;ProposalToGnatt[[#This Row],[Start Date]]+ProposalToGnatt[[#This Row],[Days]]),$G$5,"")),"")</f>
        <v/>
      </c>
      <c r="AY62" s="36" t="str">
        <f ca="1">IFERROR(+IF(AY$27=ProposalToGnatt[[#This Row],[Start Date]],Milestone_Marker,IF(AND(AY$27&gt;ProposalToGnatt[[#This Row],[Start Date]],AY$27&lt;ProposalToGnatt[[#This Row],[Start Date]]+ProposalToGnatt[[#This Row],[Days]]),$G$5,"")),"")</f>
        <v/>
      </c>
      <c r="AZ62" s="36" t="str">
        <f ca="1">IFERROR(+IF(AZ$27=ProposalToGnatt[[#This Row],[Start Date]],Milestone_Marker,IF(AND(AZ$27&gt;ProposalToGnatt[[#This Row],[Start Date]],AZ$27&lt;ProposalToGnatt[[#This Row],[Start Date]]+ProposalToGnatt[[#This Row],[Days]]),$G$5,"")),"")</f>
        <v/>
      </c>
      <c r="BA62" s="36" t="str">
        <f ca="1">IFERROR(+IF(BA$27=ProposalToGnatt[[#This Row],[Start Date]],Milestone_Marker,IF(AND(BA$27&gt;ProposalToGnatt[[#This Row],[Start Date]],BA$27&lt;ProposalToGnatt[[#This Row],[Start Date]]+ProposalToGnatt[[#This Row],[Days]]),$G$5,"")),"")</f>
        <v/>
      </c>
      <c r="BB62" s="36" t="str">
        <f ca="1">IFERROR(+IF(BB$27=ProposalToGnatt[[#This Row],[Start Date]],Milestone_Marker,IF(AND(BB$27&gt;ProposalToGnatt[[#This Row],[Start Date]],BB$27&lt;ProposalToGnatt[[#This Row],[Start Date]]+ProposalToGnatt[[#This Row],[Days]]),$G$5,"")),"")</f>
        <v/>
      </c>
      <c r="BC62" s="36" t="str">
        <f ca="1">IFERROR(+IF(BC$27=ProposalToGnatt[[#This Row],[Start Date]],Milestone_Marker,IF(AND(BC$27&gt;ProposalToGnatt[[#This Row],[Start Date]],BC$27&lt;ProposalToGnatt[[#This Row],[Start Date]]+ProposalToGnatt[[#This Row],[Days]]),$G$5,"")),"")</f>
        <v/>
      </c>
      <c r="BD62" s="36" t="str">
        <f ca="1">IFERROR(+IF(BD$27=ProposalToGnatt[[#This Row],[Start Date]],Milestone_Marker,IF(AND(BD$27&gt;ProposalToGnatt[[#This Row],[Start Date]],BD$27&lt;ProposalToGnatt[[#This Row],[Start Date]]+ProposalToGnatt[[#This Row],[Days]]),$G$5,"")),"")</f>
        <v/>
      </c>
      <c r="BE62" s="36" t="str">
        <f ca="1">IFERROR(+IF(BE$27=ProposalToGnatt[[#This Row],[Start Date]],Milestone_Marker,IF(AND(BE$27&gt;ProposalToGnatt[[#This Row],[Start Date]],BE$27&lt;ProposalToGnatt[[#This Row],[Start Date]]+ProposalToGnatt[[#This Row],[Days]]),$G$5,"")),"")</f>
        <v/>
      </c>
      <c r="BF62" s="36" t="str">
        <f ca="1">IFERROR(+IF(BF$27=ProposalToGnatt[[#This Row],[Start Date]],Milestone_Marker,IF(AND(BF$27&gt;ProposalToGnatt[[#This Row],[Start Date]],BF$27&lt;ProposalToGnatt[[#This Row],[Start Date]]+ProposalToGnatt[[#This Row],[Days]]),$G$5,"")),"")</f>
        <v/>
      </c>
      <c r="BG62" s="36" t="str">
        <f ca="1">IFERROR(+IF(BG$27=ProposalToGnatt[[#This Row],[Start Date]],Milestone_Marker,IF(AND(BG$27&gt;ProposalToGnatt[[#This Row],[Start Date]],BG$27&lt;ProposalToGnatt[[#This Row],[Start Date]]+ProposalToGnatt[[#This Row],[Days]]),$G$5,"")),"")</f>
        <v/>
      </c>
      <c r="BH62" s="36" t="str">
        <f ca="1">IFERROR(+IF(BH$27=ProposalToGnatt[[#This Row],[Start Date]],Milestone_Marker,IF(AND(BH$27&gt;ProposalToGnatt[[#This Row],[Start Date]],BH$27&lt;ProposalToGnatt[[#This Row],[Start Date]]+ProposalToGnatt[[#This Row],[Days]]),$G$5,"")),"")</f>
        <v/>
      </c>
      <c r="BI62" s="36" t="str">
        <f ca="1">IFERROR(+IF(BI$27=ProposalToGnatt[[#This Row],[Start Date]],Milestone_Marker,IF(AND(BI$27&gt;ProposalToGnatt[[#This Row],[Start Date]],BI$27&lt;ProposalToGnatt[[#This Row],[Start Date]]+ProposalToGnatt[[#This Row],[Days]]),$G$5,"")),"")</f>
        <v/>
      </c>
      <c r="BJ62" s="36" t="str">
        <f ca="1">IFERROR(+IF(BJ$27=ProposalToGnatt[[#This Row],[Start Date]],Milestone_Marker,IF(AND(BJ$27&gt;ProposalToGnatt[[#This Row],[Start Date]],BJ$27&lt;ProposalToGnatt[[#This Row],[Start Date]]+ProposalToGnatt[[#This Row],[Days]]),$G$5,"")),"")</f>
        <v/>
      </c>
      <c r="BK62" s="36" t="str">
        <f ca="1">IFERROR(+IF(BK$27=ProposalToGnatt[[#This Row],[Start Date]],Milestone_Marker,IF(AND(BK$27&gt;ProposalToGnatt[[#This Row],[Start Date]],BK$27&lt;ProposalToGnatt[[#This Row],[Start Date]]+ProposalToGnatt[[#This Row],[Days]]),$G$5,"")),"")</f>
        <v/>
      </c>
      <c r="BL62" s="36" t="str">
        <f ca="1">IFERROR(+IF(BL$27=ProposalToGnatt[[#This Row],[Start Date]],Milestone_Marker,IF(AND(BL$27&gt;ProposalToGnatt[[#This Row],[Start Date]],BL$27&lt;ProposalToGnatt[[#This Row],[Start Date]]+ProposalToGnatt[[#This Row],[Days]]),$G$5,"")),"")</f>
        <v/>
      </c>
      <c r="BM62" s="36" t="str">
        <f ca="1">IFERROR(+IF(BM$27=ProposalToGnatt[[#This Row],[Start Date]],Milestone_Marker,IF(AND(BM$27&gt;ProposalToGnatt[[#This Row],[Start Date]],BM$27&lt;ProposalToGnatt[[#This Row],[Start Date]]+ProposalToGnatt[[#This Row],[Days]]),$G$5,"")),"")</f>
        <v/>
      </c>
      <c r="BN62" s="36" t="str">
        <f ca="1">IFERROR(+IF(BN$27=ProposalToGnatt[[#This Row],[Start Date]],Milestone_Marker,IF(AND(BN$27&gt;ProposalToGnatt[[#This Row],[Start Date]],BN$27&lt;ProposalToGnatt[[#This Row],[Start Date]]+ProposalToGnatt[[#This Row],[Days]]),$G$5,"")),"")</f>
        <v/>
      </c>
      <c r="BO62" s="36" t="str">
        <f ca="1">IFERROR(+IF(BO$27=ProposalToGnatt[[#This Row],[Start Date]],Milestone_Marker,IF(AND(BO$27&gt;ProposalToGnatt[[#This Row],[Start Date]],BO$27&lt;ProposalToGnatt[[#This Row],[Start Date]]+ProposalToGnatt[[#This Row],[Days]]),$G$5,"")),"")</f>
        <v/>
      </c>
      <c r="BP62" s="36" t="str">
        <f ca="1">IFERROR(+IF(BP$27=ProposalToGnatt[[#This Row],[Start Date]],Milestone_Marker,IF(AND(BP$27&gt;ProposalToGnatt[[#This Row],[Start Date]],BP$27&lt;ProposalToGnatt[[#This Row],[Start Date]]+ProposalToGnatt[[#This Row],[Days]]),$G$5,"")),"")</f>
        <v/>
      </c>
      <c r="BQ62" s="36" t="str">
        <f ca="1">IFERROR(+IF(BQ$27=ProposalToGnatt[[#This Row],[Start Date]],Milestone_Marker,IF(AND(BQ$27&gt;ProposalToGnatt[[#This Row],[Start Date]],BQ$27&lt;ProposalToGnatt[[#This Row],[Start Date]]+ProposalToGnatt[[#This Row],[Days]]),$G$5,"")),"")</f>
        <v/>
      </c>
      <c r="BR62" s="36" t="str">
        <f ca="1">IFERROR(+IF(BR$27=ProposalToGnatt[[#This Row],[Start Date]],Milestone_Marker,IF(AND(BR$27&gt;ProposalToGnatt[[#This Row],[Start Date]],BR$27&lt;ProposalToGnatt[[#This Row],[Start Date]]+ProposalToGnatt[[#This Row],[Days]]),$G$5,"")),"")</f>
        <v/>
      </c>
      <c r="BS62" s="36" t="str">
        <f ca="1">IFERROR(+IF(BS$27=ProposalToGnatt[[#This Row],[Start Date]],Milestone_Marker,IF(AND(BS$27&gt;ProposalToGnatt[[#This Row],[Start Date]],BS$27&lt;ProposalToGnatt[[#This Row],[Start Date]]+ProposalToGnatt[[#This Row],[Days]]),$G$5,"")),"")</f>
        <v/>
      </c>
      <c r="BT62" s="36" t="str">
        <f ca="1">IFERROR(+IF(BT$27=ProposalToGnatt[[#This Row],[Start Date]],Milestone_Marker,IF(AND(BT$27&gt;ProposalToGnatt[[#This Row],[Start Date]],BT$27&lt;ProposalToGnatt[[#This Row],[Start Date]]+ProposalToGnatt[[#This Row],[Days]]),$G$5,"")),"")</f>
        <v/>
      </c>
      <c r="BU62" s="36" t="str">
        <f ca="1">IFERROR(+IF(BU$27=ProposalToGnatt[[#This Row],[Start Date]],Milestone_Marker,IF(AND(BU$27&gt;ProposalToGnatt[[#This Row],[Start Date]],BU$27&lt;ProposalToGnatt[[#This Row],[Start Date]]+ProposalToGnatt[[#This Row],[Days]]),$G$5,"")),"")</f>
        <v/>
      </c>
      <c r="BV62" s="36" t="str">
        <f ca="1">IFERROR(+IF(BV$27=ProposalToGnatt[[#This Row],[Start Date]],Milestone_Marker,IF(AND(BV$27&gt;ProposalToGnatt[[#This Row],[Start Date]],BV$27&lt;ProposalToGnatt[[#This Row],[Start Date]]+ProposalToGnatt[[#This Row],[Days]]),$G$5,"")),"")</f>
        <v/>
      </c>
      <c r="BW62" s="36" t="str">
        <f ca="1">IFERROR(+IF(BW$27=ProposalToGnatt[[#This Row],[Start Date]],Milestone_Marker,IF(AND(BW$27&gt;ProposalToGnatt[[#This Row],[Start Date]],BW$27&lt;ProposalToGnatt[[#This Row],[Start Date]]+ProposalToGnatt[[#This Row],[Days]]),$G$5,"")),"")</f>
        <v/>
      </c>
      <c r="BX62" s="36" t="str">
        <f ca="1">IFERROR(+IF(BX$27=ProposalToGnatt[[#This Row],[Start Date]],Milestone_Marker,IF(AND(BX$27&gt;ProposalToGnatt[[#This Row],[Start Date]],BX$27&lt;ProposalToGnatt[[#This Row],[Start Date]]+ProposalToGnatt[[#This Row],[Days]]),$G$5,"")),"")</f>
        <v/>
      </c>
      <c r="BY62" s="36" t="str">
        <f ca="1">IFERROR(+IF(BY$27=ProposalToGnatt[[#This Row],[Start Date]],Milestone_Marker,IF(AND(BY$27&gt;ProposalToGnatt[[#This Row],[Start Date]],BY$27&lt;ProposalToGnatt[[#This Row],[Start Date]]+ProposalToGnatt[[#This Row],[Days]]),$G$5,"")),"")</f>
        <v/>
      </c>
      <c r="BZ62" s="36" t="str">
        <f ca="1">IFERROR(+IF(BZ$27=ProposalToGnatt[[#This Row],[Start Date]],Milestone_Marker,IF(AND(BZ$27&gt;ProposalToGnatt[[#This Row],[Start Date]],BZ$27&lt;ProposalToGnatt[[#This Row],[Start Date]]+ProposalToGnatt[[#This Row],[Days]]),$G$5,"")),"")</f>
        <v/>
      </c>
      <c r="CA62" s="36" t="str">
        <f ca="1">IFERROR(+IF(CA$27=ProposalToGnatt[[#This Row],[Start Date]],Milestone_Marker,IF(AND(CA$27&gt;ProposalToGnatt[[#This Row],[Start Date]],CA$27&lt;ProposalToGnatt[[#This Row],[Start Date]]+ProposalToGnatt[[#This Row],[Days]]),$G$5,"")),"")</f>
        <v/>
      </c>
      <c r="CB62" s="36" t="str">
        <f ca="1">IFERROR(+IF(CB$27=ProposalToGnatt[[#This Row],[Start Date]],Milestone_Marker,IF(AND(CB$27&gt;ProposalToGnatt[[#This Row],[Start Date]],CB$27&lt;ProposalToGnatt[[#This Row],[Start Date]]+ProposalToGnatt[[#This Row],[Days]]),$G$5,"")),"")</f>
        <v/>
      </c>
      <c r="CC62" s="36" t="str">
        <f ca="1">IFERROR(+IF(CC$27=ProposalToGnatt[[#This Row],[Start Date]],Milestone_Marker,IF(AND(CC$27&gt;ProposalToGnatt[[#This Row],[Start Date]],CC$27&lt;ProposalToGnatt[[#This Row],[Start Date]]+ProposalToGnatt[[#This Row],[Days]]),$G$5,"")),"")</f>
        <v/>
      </c>
      <c r="CD62" s="36" t="str">
        <f ca="1">IFERROR(+IF(CD$27=ProposalToGnatt[[#This Row],[Start Date]],Milestone_Marker,IF(AND(CD$27&gt;ProposalToGnatt[[#This Row],[Start Date]],CD$27&lt;ProposalToGnatt[[#This Row],[Start Date]]+ProposalToGnatt[[#This Row],[Days]]),$G$5,"")),"")</f>
        <v/>
      </c>
      <c r="CE62" s="36" t="str">
        <f ca="1">IFERROR(+IF(CE$27=ProposalToGnatt[[#This Row],[Start Date]],Milestone_Marker,IF(AND(CE$27&gt;ProposalToGnatt[[#This Row],[Start Date]],CE$27&lt;ProposalToGnatt[[#This Row],[Start Date]]+ProposalToGnatt[[#This Row],[Days]]),$G$5,"")),"")</f>
        <v/>
      </c>
      <c r="CF62" s="36" t="str">
        <f ca="1">IFERROR(+IF(CF$27=ProposalToGnatt[[#This Row],[Start Date]],Milestone_Marker,IF(AND(CF$27&gt;ProposalToGnatt[[#This Row],[Start Date]],CF$27&lt;ProposalToGnatt[[#This Row],[Start Date]]+ProposalToGnatt[[#This Row],[Days]]),$G$5,"")),"")</f>
        <v/>
      </c>
      <c r="CG62" s="36" t="str">
        <f ca="1">IFERROR(+IF(CG$27=ProposalToGnatt[[#This Row],[Start Date]],Milestone_Marker,IF(AND(CG$27&gt;ProposalToGnatt[[#This Row],[Start Date]],CG$27&lt;ProposalToGnatt[[#This Row],[Start Date]]+ProposalToGnatt[[#This Row],[Days]]),$G$5,"")),"")</f>
        <v/>
      </c>
      <c r="CH62" s="36" t="str">
        <f ca="1">IFERROR(+IF(CH$27=ProposalToGnatt[[#This Row],[Start Date]],Milestone_Marker,IF(AND(CH$27&gt;ProposalToGnatt[[#This Row],[Start Date]],CH$27&lt;ProposalToGnatt[[#This Row],[Start Date]]+ProposalToGnatt[[#This Row],[Days]]),$G$5,"")),"")</f>
        <v/>
      </c>
      <c r="CI62" s="36" t="str">
        <f ca="1">IFERROR(+IF(CI$27=ProposalToGnatt[[#This Row],[Start Date]],Milestone_Marker,IF(AND(CI$27&gt;ProposalToGnatt[[#This Row],[Start Date]],CI$27&lt;ProposalToGnatt[[#This Row],[Start Date]]+ProposalToGnatt[[#This Row],[Days]]),$G$5,"")),"")</f>
        <v/>
      </c>
      <c r="CJ62" s="36" t="str">
        <f ca="1">IFERROR(+IF(CJ$27=ProposalToGnatt[[#This Row],[Start Date]],Milestone_Marker,IF(AND(CJ$27&gt;ProposalToGnatt[[#This Row],[Start Date]],CJ$27&lt;ProposalToGnatt[[#This Row],[Start Date]]+ProposalToGnatt[[#This Row],[Days]]),$G$5,"")),"")</f>
        <v/>
      </c>
      <c r="CK62" s="36" t="str">
        <f ca="1">IFERROR(+IF(CK$27=ProposalToGnatt[[#This Row],[Start Date]],Milestone_Marker,IF(AND(CK$27&gt;ProposalToGnatt[[#This Row],[Start Date]],CK$27&lt;ProposalToGnatt[[#This Row],[Start Date]]+ProposalToGnatt[[#This Row],[Days]]),$G$5,"")),"")</f>
        <v/>
      </c>
      <c r="CL62" s="36" t="str">
        <f ca="1">IFERROR(+IF(CL$27=ProposalToGnatt[[#This Row],[Start Date]],Milestone_Marker,IF(AND(CL$27&gt;ProposalToGnatt[[#This Row],[Start Date]],CL$27&lt;ProposalToGnatt[[#This Row],[Start Date]]+ProposalToGnatt[[#This Row],[Days]]),$G$5,"")),"")</f>
        <v/>
      </c>
      <c r="CM62" s="36" t="str">
        <f ca="1">IFERROR(+IF(CM$27=ProposalToGnatt[[#This Row],[Start Date]],Milestone_Marker,IF(AND(CM$27&gt;ProposalToGnatt[[#This Row],[Start Date]],CM$27&lt;ProposalToGnatt[[#This Row],[Start Date]]+ProposalToGnatt[[#This Row],[Days]]),$G$5,"")),"")</f>
        <v/>
      </c>
      <c r="CN62" s="36" t="str">
        <f ca="1">IFERROR(+IF(CN$27=ProposalToGnatt[[#This Row],[Start Date]],Milestone_Marker,IF(AND(CN$27&gt;ProposalToGnatt[[#This Row],[Start Date]],CN$27&lt;ProposalToGnatt[[#This Row],[Start Date]]+ProposalToGnatt[[#This Row],[Days]]),$G$5,"")),"")</f>
        <v/>
      </c>
      <c r="CO62" s="36" t="str">
        <f ca="1">IFERROR(+IF(CO$27=ProposalToGnatt[[#This Row],[Start Date]],Milestone_Marker,IF(AND(CO$27&gt;ProposalToGnatt[[#This Row],[Start Date]],CO$27&lt;ProposalToGnatt[[#This Row],[Start Date]]+ProposalToGnatt[[#This Row],[Days]]),$G$5,"")),"")</f>
        <v/>
      </c>
      <c r="CP62" s="36" t="str">
        <f ca="1">IFERROR(+IF(CP$27=ProposalToGnatt[[#This Row],[Start Date]],Milestone_Marker,IF(AND(CP$27&gt;ProposalToGnatt[[#This Row],[Start Date]],CP$27&lt;ProposalToGnatt[[#This Row],[Start Date]]+ProposalToGnatt[[#This Row],[Days]]),$G$5,"")),"")</f>
        <v/>
      </c>
      <c r="CQ62" s="36" t="str">
        <f ca="1">IFERROR(+IF(CQ$27=ProposalToGnatt[[#This Row],[Start Date]],Milestone_Marker,IF(AND(CQ$27&gt;ProposalToGnatt[[#This Row],[Start Date]],CQ$27&lt;ProposalToGnatt[[#This Row],[Start Date]]+ProposalToGnatt[[#This Row],[Days]]),$G$5,"")),"")</f>
        <v/>
      </c>
      <c r="CR62" s="36" t="str">
        <f ca="1">IFERROR(+IF(CR$27=ProposalToGnatt[[#This Row],[Start Date]],Milestone_Marker,IF(AND(CR$27&gt;ProposalToGnatt[[#This Row],[Start Date]],CR$27&lt;ProposalToGnatt[[#This Row],[Start Date]]+ProposalToGnatt[[#This Row],[Days]]),$G$5,"")),"")</f>
        <v/>
      </c>
      <c r="CS62" s="36" t="str">
        <f ca="1">IFERROR(+IF(CS$27=ProposalToGnatt[[#This Row],[Start Date]],Milestone_Marker,IF(AND(CS$27&gt;ProposalToGnatt[[#This Row],[Start Date]],CS$27&lt;ProposalToGnatt[[#This Row],[Start Date]]+ProposalToGnatt[[#This Row],[Days]]),$G$5,"")),"")</f>
        <v/>
      </c>
      <c r="CT62" s="36" t="str">
        <f ca="1">IFERROR(+IF(CT$27=ProposalToGnatt[[#This Row],[Start Date]],Milestone_Marker,IF(AND(CT$27&gt;ProposalToGnatt[[#This Row],[Start Date]],CT$27&lt;ProposalToGnatt[[#This Row],[Start Date]]+ProposalToGnatt[[#This Row],[Days]]),$G$5,"")),"")</f>
        <v/>
      </c>
      <c r="CU62" s="36" t="str">
        <f ca="1">IFERROR(+IF(CU$27=ProposalToGnatt[[#This Row],[Start Date]],Milestone_Marker,IF(AND(CU$27&gt;ProposalToGnatt[[#This Row],[Start Date]],CU$27&lt;ProposalToGnatt[[#This Row],[Start Date]]+ProposalToGnatt[[#This Row],[Days]]),$G$5,"")),"")</f>
        <v/>
      </c>
      <c r="CV62" s="36"/>
      <c r="CW62" s="36"/>
      <c r="CX62" s="36"/>
      <c r="CY62" s="36"/>
      <c r="CZ62" s="36"/>
      <c r="DA62" s="36"/>
      <c r="DB62" s="36"/>
      <c r="DC62" s="36"/>
      <c r="DD62" s="36"/>
      <c r="DE62" s="36"/>
      <c r="DF62" s="36"/>
      <c r="DG62" s="36"/>
      <c r="DH62" s="36"/>
      <c r="DI62" s="36"/>
      <c r="DJ62" s="36"/>
      <c r="DK62" s="36"/>
      <c r="DL62" s="36"/>
      <c r="DM62" s="36"/>
      <c r="DN62" s="36"/>
      <c r="DO62" s="36"/>
      <c r="DP62" s="36"/>
      <c r="DQ62" s="36"/>
      <c r="DR62" s="36"/>
      <c r="DS62" s="36"/>
      <c r="DT62" s="36"/>
      <c r="DU62" s="36"/>
    </row>
    <row r="63" spans="1:125" s="41" customFormat="1" ht="15" x14ac:dyDescent="0.25">
      <c r="A63"/>
      <c r="B63"/>
      <c r="C63"/>
      <c r="D63"/>
      <c r="E63"/>
      <c r="F63"/>
      <c r="G63" s="14"/>
      <c r="H63" s="14"/>
      <c r="I63"/>
      <c r="J63"/>
      <c r="K63" s="246"/>
      <c r="L63"/>
      <c r="M63" s="14"/>
      <c r="N63" s="299"/>
      <c r="O63" s="281"/>
      <c r="P63" s="36" t="str">
        <f ca="1">IFERROR(+IF(P$27=ProposalToGnatt[[#This Row],[Start Date]],Milestone_Marker,IF(AND(P$27&gt;ProposalToGnatt[[#This Row],[Start Date]],P$27&lt;ProposalToGnatt[[#This Row],[Start Date]]+ProposalToGnatt[[#This Row],[Days]]),$G$5,"")),"")</f>
        <v/>
      </c>
      <c r="Q63" s="36" t="str">
        <f ca="1">IFERROR(+IF(Q$27=ProposalToGnatt[[#This Row],[Start Date]],Milestone_Marker,IF(AND(Q$27&gt;ProposalToGnatt[[#This Row],[Start Date]],Q$27&lt;ProposalToGnatt[[#This Row],[Start Date]]+ProposalToGnatt[[#This Row],[Days]]),$G$5,"")),"")</f>
        <v/>
      </c>
      <c r="R63" s="36" t="str">
        <f ca="1">IFERROR(+IF(R$27=ProposalToGnatt[[#This Row],[Start Date]],Milestone_Marker,IF(AND(R$27&gt;ProposalToGnatt[[#This Row],[Start Date]],R$27&lt;ProposalToGnatt[[#This Row],[Start Date]]+ProposalToGnatt[[#This Row],[Days]]),$G$5,"")),"")</f>
        <v/>
      </c>
      <c r="S63" s="36" t="str">
        <f ca="1">IFERROR(+IF(S$27=ProposalToGnatt[[#This Row],[Start Date]],Milestone_Marker,IF(AND(S$27&gt;ProposalToGnatt[[#This Row],[Start Date]],S$27&lt;ProposalToGnatt[[#This Row],[Start Date]]+ProposalToGnatt[[#This Row],[Days]]),$G$5,"")),"")</f>
        <v/>
      </c>
      <c r="T63" s="36" t="str">
        <f ca="1">IFERROR(+IF(T$27=ProposalToGnatt[[#This Row],[Start Date]],Milestone_Marker,IF(AND(T$27&gt;ProposalToGnatt[[#This Row],[Start Date]],T$27&lt;ProposalToGnatt[[#This Row],[Start Date]]+ProposalToGnatt[[#This Row],[Days]]),$G$5,"")),"")</f>
        <v/>
      </c>
      <c r="U63" s="36" t="str">
        <f ca="1">IFERROR(+IF(U$27=ProposalToGnatt[[#This Row],[Start Date]],Milestone_Marker,IF(AND(U$27&gt;ProposalToGnatt[[#This Row],[Start Date]],U$27&lt;ProposalToGnatt[[#This Row],[Start Date]]+ProposalToGnatt[[#This Row],[Days]]),$G$5,"")),"")</f>
        <v/>
      </c>
      <c r="V63" s="36" t="str">
        <f ca="1">IFERROR(+IF(V$27=ProposalToGnatt[[#This Row],[Start Date]],Milestone_Marker,IF(AND(V$27&gt;ProposalToGnatt[[#This Row],[Start Date]],V$27&lt;ProposalToGnatt[[#This Row],[Start Date]]+ProposalToGnatt[[#This Row],[Days]]),$G$5,"")),"")</f>
        <v/>
      </c>
      <c r="W63" s="36" t="str">
        <f ca="1">IFERROR(+IF(W$27=ProposalToGnatt[[#This Row],[Start Date]],Milestone_Marker,IF(AND(W$27&gt;ProposalToGnatt[[#This Row],[Start Date]],W$27&lt;ProposalToGnatt[[#This Row],[Start Date]]+ProposalToGnatt[[#This Row],[Days]]),$G$5,"")),"")</f>
        <v/>
      </c>
      <c r="X63" s="36" t="str">
        <f ca="1">IFERROR(+IF(X$27=ProposalToGnatt[[#This Row],[Start Date]],Milestone_Marker,IF(AND(X$27&gt;ProposalToGnatt[[#This Row],[Start Date]],X$27&lt;ProposalToGnatt[[#This Row],[Start Date]]+ProposalToGnatt[[#This Row],[Days]]),$G$5,"")),"")</f>
        <v/>
      </c>
      <c r="Y63" s="36" t="str">
        <f ca="1">IFERROR(+IF(Y$27=ProposalToGnatt[[#This Row],[Start Date]],Milestone_Marker,IF(AND(Y$27&gt;ProposalToGnatt[[#This Row],[Start Date]],Y$27&lt;ProposalToGnatt[[#This Row],[Start Date]]+ProposalToGnatt[[#This Row],[Days]]),$G$5,"")),"")</f>
        <v/>
      </c>
      <c r="Z63" s="36" t="str">
        <f ca="1">IFERROR(+IF(Z$27=ProposalToGnatt[[#This Row],[Start Date]],Milestone_Marker,IF(AND(Z$27&gt;ProposalToGnatt[[#This Row],[Start Date]],Z$27&lt;ProposalToGnatt[[#This Row],[Start Date]]+ProposalToGnatt[[#This Row],[Days]]),$G$5,"")),"")</f>
        <v/>
      </c>
      <c r="AA63" s="36" t="str">
        <f ca="1">IFERROR(+IF(AA$27=ProposalToGnatt[[#This Row],[Start Date]],Milestone_Marker,IF(AND(AA$27&gt;ProposalToGnatt[[#This Row],[Start Date]],AA$27&lt;ProposalToGnatt[[#This Row],[Start Date]]+ProposalToGnatt[[#This Row],[Days]]),$G$5,"")),"")</f>
        <v/>
      </c>
      <c r="AB63" s="36" t="str">
        <f ca="1">IFERROR(+IF(AB$27=ProposalToGnatt[[#This Row],[Start Date]],Milestone_Marker,IF(AND(AB$27&gt;ProposalToGnatt[[#This Row],[Start Date]],AB$27&lt;ProposalToGnatt[[#This Row],[Start Date]]+ProposalToGnatt[[#This Row],[Days]]),$G$5,"")),"")</f>
        <v/>
      </c>
      <c r="AC63" s="36" t="str">
        <f ca="1">IFERROR(+IF(AC$27=ProposalToGnatt[[#This Row],[Start Date]],Milestone_Marker,IF(AND(AC$27&gt;ProposalToGnatt[[#This Row],[Start Date]],AC$27&lt;ProposalToGnatt[[#This Row],[Start Date]]+ProposalToGnatt[[#This Row],[Days]]),$G$5,"")),"")</f>
        <v/>
      </c>
      <c r="AD63" s="36" t="str">
        <f ca="1">IFERROR(+IF(AD$27=ProposalToGnatt[[#This Row],[Start Date]],Milestone_Marker,IF(AND(AD$27&gt;ProposalToGnatt[[#This Row],[Start Date]],AD$27&lt;ProposalToGnatt[[#This Row],[Start Date]]+ProposalToGnatt[[#This Row],[Days]]),$G$5,"")),"")</f>
        <v/>
      </c>
      <c r="AE63" s="36" t="str">
        <f ca="1">IFERROR(+IF(AE$27=ProposalToGnatt[[#This Row],[Start Date]],Milestone_Marker,IF(AND(AE$27&gt;ProposalToGnatt[[#This Row],[Start Date]],AE$27&lt;ProposalToGnatt[[#This Row],[Start Date]]+ProposalToGnatt[[#This Row],[Days]]),$G$5,"")),"")</f>
        <v/>
      </c>
      <c r="AF63" s="36" t="str">
        <f ca="1">IFERROR(+IF(AF$27=ProposalToGnatt[[#This Row],[Start Date]],Milestone_Marker,IF(AND(AF$27&gt;ProposalToGnatt[[#This Row],[Start Date]],AF$27&lt;ProposalToGnatt[[#This Row],[Start Date]]+ProposalToGnatt[[#This Row],[Days]]),$G$5,"")),"")</f>
        <v/>
      </c>
      <c r="AG63" s="36" t="str">
        <f ca="1">IFERROR(+IF(AG$27=ProposalToGnatt[[#This Row],[Start Date]],Milestone_Marker,IF(AND(AG$27&gt;ProposalToGnatt[[#This Row],[Start Date]],AG$27&lt;ProposalToGnatt[[#This Row],[Start Date]]+ProposalToGnatt[[#This Row],[Days]]),$G$5,"")),"")</f>
        <v/>
      </c>
      <c r="AH63" s="36" t="str">
        <f ca="1">IFERROR(+IF(AH$27=ProposalToGnatt[[#This Row],[Start Date]],Milestone_Marker,IF(AND(AH$27&gt;ProposalToGnatt[[#This Row],[Start Date]],AH$27&lt;ProposalToGnatt[[#This Row],[Start Date]]+ProposalToGnatt[[#This Row],[Days]]),$G$5,"")),"")</f>
        <v/>
      </c>
      <c r="AI63" s="36" t="str">
        <f ca="1">IFERROR(+IF(AI$27=ProposalToGnatt[[#This Row],[Start Date]],Milestone_Marker,IF(AND(AI$27&gt;ProposalToGnatt[[#This Row],[Start Date]],AI$27&lt;ProposalToGnatt[[#This Row],[Start Date]]+ProposalToGnatt[[#This Row],[Days]]),$G$5,"")),"")</f>
        <v/>
      </c>
      <c r="AJ63" s="36" t="str">
        <f ca="1">IFERROR(+IF(AJ$27=ProposalToGnatt[[#This Row],[Start Date]],Milestone_Marker,IF(AND(AJ$27&gt;ProposalToGnatt[[#This Row],[Start Date]],AJ$27&lt;ProposalToGnatt[[#This Row],[Start Date]]+ProposalToGnatt[[#This Row],[Days]]),$G$5,"")),"")</f>
        <v/>
      </c>
      <c r="AK63" s="36" t="str">
        <f ca="1">IFERROR(+IF(AK$27=ProposalToGnatt[[#This Row],[Start Date]],Milestone_Marker,IF(AND(AK$27&gt;ProposalToGnatt[[#This Row],[Start Date]],AK$27&lt;ProposalToGnatt[[#This Row],[Start Date]]+ProposalToGnatt[[#This Row],[Days]]),$G$5,"")),"")</f>
        <v/>
      </c>
      <c r="AL63" s="36" t="str">
        <f ca="1">IFERROR(+IF(AL$27=ProposalToGnatt[[#This Row],[Start Date]],Milestone_Marker,IF(AND(AL$27&gt;ProposalToGnatt[[#This Row],[Start Date]],AL$27&lt;ProposalToGnatt[[#This Row],[Start Date]]+ProposalToGnatt[[#This Row],[Days]]),$G$5,"")),"")</f>
        <v/>
      </c>
      <c r="AM63" s="36" t="str">
        <f ca="1">IFERROR(+IF(AM$27=ProposalToGnatt[[#This Row],[Start Date]],Milestone_Marker,IF(AND(AM$27&gt;ProposalToGnatt[[#This Row],[Start Date]],AM$27&lt;ProposalToGnatt[[#This Row],[Start Date]]+ProposalToGnatt[[#This Row],[Days]]),$G$5,"")),"")</f>
        <v/>
      </c>
      <c r="AN63" s="36" t="str">
        <f ca="1">IFERROR(+IF(AN$27=ProposalToGnatt[[#This Row],[Start Date]],Milestone_Marker,IF(AND(AN$27&gt;ProposalToGnatt[[#This Row],[Start Date]],AN$27&lt;ProposalToGnatt[[#This Row],[Start Date]]+ProposalToGnatt[[#This Row],[Days]]),$G$5,"")),"")</f>
        <v/>
      </c>
      <c r="AO63" s="36" t="str">
        <f ca="1">IFERROR(+IF(AO$27=ProposalToGnatt[[#This Row],[Start Date]],Milestone_Marker,IF(AND(AO$27&gt;ProposalToGnatt[[#This Row],[Start Date]],AO$27&lt;ProposalToGnatt[[#This Row],[Start Date]]+ProposalToGnatt[[#This Row],[Days]]),$G$5,"")),"")</f>
        <v/>
      </c>
      <c r="AP63" s="36" t="str">
        <f ca="1">IFERROR(+IF(AP$27=ProposalToGnatt[[#This Row],[Start Date]],Milestone_Marker,IF(AND(AP$27&gt;ProposalToGnatt[[#This Row],[Start Date]],AP$27&lt;ProposalToGnatt[[#This Row],[Start Date]]+ProposalToGnatt[[#This Row],[Days]]),$G$5,"")),"")</f>
        <v/>
      </c>
      <c r="AQ63" s="36" t="str">
        <f ca="1">IFERROR(+IF(AQ$27=ProposalToGnatt[[#This Row],[Start Date]],Milestone_Marker,IF(AND(AQ$27&gt;ProposalToGnatt[[#This Row],[Start Date]],AQ$27&lt;ProposalToGnatt[[#This Row],[Start Date]]+ProposalToGnatt[[#This Row],[Days]]),$G$5,"")),"")</f>
        <v/>
      </c>
      <c r="AR63" s="36" t="str">
        <f ca="1">IFERROR(+IF(AR$27=ProposalToGnatt[[#This Row],[Start Date]],Milestone_Marker,IF(AND(AR$27&gt;ProposalToGnatt[[#This Row],[Start Date]],AR$27&lt;ProposalToGnatt[[#This Row],[Start Date]]+ProposalToGnatt[[#This Row],[Days]]),$G$5,"")),"")</f>
        <v/>
      </c>
      <c r="AS63" s="36" t="str">
        <f ca="1">IFERROR(+IF(AS$27=ProposalToGnatt[[#This Row],[Start Date]],Milestone_Marker,IF(AND(AS$27&gt;ProposalToGnatt[[#This Row],[Start Date]],AS$27&lt;ProposalToGnatt[[#This Row],[Start Date]]+ProposalToGnatt[[#This Row],[Days]]),$G$5,"")),"")</f>
        <v/>
      </c>
      <c r="AT63" s="36" t="str">
        <f ca="1">IFERROR(+IF(AT$27=ProposalToGnatt[[#This Row],[Start Date]],Milestone_Marker,IF(AND(AT$27&gt;ProposalToGnatt[[#This Row],[Start Date]],AT$27&lt;ProposalToGnatt[[#This Row],[Start Date]]+ProposalToGnatt[[#This Row],[Days]]),$G$5,"")),"")</f>
        <v/>
      </c>
      <c r="AU63" s="36" t="str">
        <f ca="1">IFERROR(+IF(AU$27=ProposalToGnatt[[#This Row],[Start Date]],Milestone_Marker,IF(AND(AU$27&gt;ProposalToGnatt[[#This Row],[Start Date]],AU$27&lt;ProposalToGnatt[[#This Row],[Start Date]]+ProposalToGnatt[[#This Row],[Days]]),$G$5,"")),"")</f>
        <v/>
      </c>
      <c r="AV63" s="36" t="str">
        <f ca="1">IFERROR(+IF(AV$27=ProposalToGnatt[[#This Row],[Start Date]],Milestone_Marker,IF(AND(AV$27&gt;ProposalToGnatt[[#This Row],[Start Date]],AV$27&lt;ProposalToGnatt[[#This Row],[Start Date]]+ProposalToGnatt[[#This Row],[Days]]),$G$5,"")),"")</f>
        <v/>
      </c>
      <c r="AW63" s="36" t="str">
        <f ca="1">IFERROR(+IF(AW$27=ProposalToGnatt[[#This Row],[Start Date]],Milestone_Marker,IF(AND(AW$27&gt;ProposalToGnatt[[#This Row],[Start Date]],AW$27&lt;ProposalToGnatt[[#This Row],[Start Date]]+ProposalToGnatt[[#This Row],[Days]]),$G$5,"")),"")</f>
        <v/>
      </c>
      <c r="AX63" s="36" t="str">
        <f ca="1">IFERROR(+IF(AX$27=ProposalToGnatt[[#This Row],[Start Date]],Milestone_Marker,IF(AND(AX$27&gt;ProposalToGnatt[[#This Row],[Start Date]],AX$27&lt;ProposalToGnatt[[#This Row],[Start Date]]+ProposalToGnatt[[#This Row],[Days]]),$G$5,"")),"")</f>
        <v/>
      </c>
      <c r="AY63" s="36" t="str">
        <f ca="1">IFERROR(+IF(AY$27=ProposalToGnatt[[#This Row],[Start Date]],Milestone_Marker,IF(AND(AY$27&gt;ProposalToGnatt[[#This Row],[Start Date]],AY$27&lt;ProposalToGnatt[[#This Row],[Start Date]]+ProposalToGnatt[[#This Row],[Days]]),$G$5,"")),"")</f>
        <v/>
      </c>
      <c r="AZ63" s="36" t="str">
        <f ca="1">IFERROR(+IF(AZ$27=ProposalToGnatt[[#This Row],[Start Date]],Milestone_Marker,IF(AND(AZ$27&gt;ProposalToGnatt[[#This Row],[Start Date]],AZ$27&lt;ProposalToGnatt[[#This Row],[Start Date]]+ProposalToGnatt[[#This Row],[Days]]),$G$5,"")),"")</f>
        <v/>
      </c>
      <c r="BA63" s="36" t="str">
        <f ca="1">IFERROR(+IF(BA$27=ProposalToGnatt[[#This Row],[Start Date]],Milestone_Marker,IF(AND(BA$27&gt;ProposalToGnatt[[#This Row],[Start Date]],BA$27&lt;ProposalToGnatt[[#This Row],[Start Date]]+ProposalToGnatt[[#This Row],[Days]]),$G$5,"")),"")</f>
        <v/>
      </c>
      <c r="BB63" s="36" t="str">
        <f ca="1">IFERROR(+IF(BB$27=ProposalToGnatt[[#This Row],[Start Date]],Milestone_Marker,IF(AND(BB$27&gt;ProposalToGnatt[[#This Row],[Start Date]],BB$27&lt;ProposalToGnatt[[#This Row],[Start Date]]+ProposalToGnatt[[#This Row],[Days]]),$G$5,"")),"")</f>
        <v/>
      </c>
      <c r="BC63" s="36" t="str">
        <f ca="1">IFERROR(+IF(BC$27=ProposalToGnatt[[#This Row],[Start Date]],Milestone_Marker,IF(AND(BC$27&gt;ProposalToGnatt[[#This Row],[Start Date]],BC$27&lt;ProposalToGnatt[[#This Row],[Start Date]]+ProposalToGnatt[[#This Row],[Days]]),$G$5,"")),"")</f>
        <v/>
      </c>
      <c r="BD63" s="36" t="str">
        <f ca="1">IFERROR(+IF(BD$27=ProposalToGnatt[[#This Row],[Start Date]],Milestone_Marker,IF(AND(BD$27&gt;ProposalToGnatt[[#This Row],[Start Date]],BD$27&lt;ProposalToGnatt[[#This Row],[Start Date]]+ProposalToGnatt[[#This Row],[Days]]),$G$5,"")),"")</f>
        <v/>
      </c>
      <c r="BE63" s="36" t="str">
        <f ca="1">IFERROR(+IF(BE$27=ProposalToGnatt[[#This Row],[Start Date]],Milestone_Marker,IF(AND(BE$27&gt;ProposalToGnatt[[#This Row],[Start Date]],BE$27&lt;ProposalToGnatt[[#This Row],[Start Date]]+ProposalToGnatt[[#This Row],[Days]]),$G$5,"")),"")</f>
        <v/>
      </c>
      <c r="BF63" s="36" t="str">
        <f ca="1">IFERROR(+IF(BF$27=ProposalToGnatt[[#This Row],[Start Date]],Milestone_Marker,IF(AND(BF$27&gt;ProposalToGnatt[[#This Row],[Start Date]],BF$27&lt;ProposalToGnatt[[#This Row],[Start Date]]+ProposalToGnatt[[#This Row],[Days]]),$G$5,"")),"")</f>
        <v/>
      </c>
      <c r="BG63" s="36" t="str">
        <f ca="1">IFERROR(+IF(BG$27=ProposalToGnatt[[#This Row],[Start Date]],Milestone_Marker,IF(AND(BG$27&gt;ProposalToGnatt[[#This Row],[Start Date]],BG$27&lt;ProposalToGnatt[[#This Row],[Start Date]]+ProposalToGnatt[[#This Row],[Days]]),$G$5,"")),"")</f>
        <v/>
      </c>
      <c r="BH63" s="36" t="str">
        <f ca="1">IFERROR(+IF(BH$27=ProposalToGnatt[[#This Row],[Start Date]],Milestone_Marker,IF(AND(BH$27&gt;ProposalToGnatt[[#This Row],[Start Date]],BH$27&lt;ProposalToGnatt[[#This Row],[Start Date]]+ProposalToGnatt[[#This Row],[Days]]),$G$5,"")),"")</f>
        <v/>
      </c>
      <c r="BI63" s="36" t="str">
        <f ca="1">IFERROR(+IF(BI$27=ProposalToGnatt[[#This Row],[Start Date]],Milestone_Marker,IF(AND(BI$27&gt;ProposalToGnatt[[#This Row],[Start Date]],BI$27&lt;ProposalToGnatt[[#This Row],[Start Date]]+ProposalToGnatt[[#This Row],[Days]]),$G$5,"")),"")</f>
        <v/>
      </c>
      <c r="BJ63" s="36" t="str">
        <f ca="1">IFERROR(+IF(BJ$27=ProposalToGnatt[[#This Row],[Start Date]],Milestone_Marker,IF(AND(BJ$27&gt;ProposalToGnatt[[#This Row],[Start Date]],BJ$27&lt;ProposalToGnatt[[#This Row],[Start Date]]+ProposalToGnatt[[#This Row],[Days]]),$G$5,"")),"")</f>
        <v/>
      </c>
      <c r="BK63" s="36" t="str">
        <f ca="1">IFERROR(+IF(BK$27=ProposalToGnatt[[#This Row],[Start Date]],Milestone_Marker,IF(AND(BK$27&gt;ProposalToGnatt[[#This Row],[Start Date]],BK$27&lt;ProposalToGnatt[[#This Row],[Start Date]]+ProposalToGnatt[[#This Row],[Days]]),$G$5,"")),"")</f>
        <v/>
      </c>
      <c r="BL63" s="36" t="str">
        <f ca="1">IFERROR(+IF(BL$27=ProposalToGnatt[[#This Row],[Start Date]],Milestone_Marker,IF(AND(BL$27&gt;ProposalToGnatt[[#This Row],[Start Date]],BL$27&lt;ProposalToGnatt[[#This Row],[Start Date]]+ProposalToGnatt[[#This Row],[Days]]),$G$5,"")),"")</f>
        <v/>
      </c>
      <c r="BM63" s="36" t="str">
        <f ca="1">IFERROR(+IF(BM$27=ProposalToGnatt[[#This Row],[Start Date]],Milestone_Marker,IF(AND(BM$27&gt;ProposalToGnatt[[#This Row],[Start Date]],BM$27&lt;ProposalToGnatt[[#This Row],[Start Date]]+ProposalToGnatt[[#This Row],[Days]]),$G$5,"")),"")</f>
        <v/>
      </c>
      <c r="BN63" s="36" t="str">
        <f ca="1">IFERROR(+IF(BN$27=ProposalToGnatt[[#This Row],[Start Date]],Milestone_Marker,IF(AND(BN$27&gt;ProposalToGnatt[[#This Row],[Start Date]],BN$27&lt;ProposalToGnatt[[#This Row],[Start Date]]+ProposalToGnatt[[#This Row],[Days]]),$G$5,"")),"")</f>
        <v/>
      </c>
      <c r="BO63" s="36" t="str">
        <f ca="1">IFERROR(+IF(BO$27=ProposalToGnatt[[#This Row],[Start Date]],Milestone_Marker,IF(AND(BO$27&gt;ProposalToGnatt[[#This Row],[Start Date]],BO$27&lt;ProposalToGnatt[[#This Row],[Start Date]]+ProposalToGnatt[[#This Row],[Days]]),$G$5,"")),"")</f>
        <v/>
      </c>
      <c r="BP63" s="36" t="str">
        <f ca="1">IFERROR(+IF(BP$27=ProposalToGnatt[[#This Row],[Start Date]],Milestone_Marker,IF(AND(BP$27&gt;ProposalToGnatt[[#This Row],[Start Date]],BP$27&lt;ProposalToGnatt[[#This Row],[Start Date]]+ProposalToGnatt[[#This Row],[Days]]),$G$5,"")),"")</f>
        <v/>
      </c>
      <c r="BQ63" s="36" t="str">
        <f ca="1">IFERROR(+IF(BQ$27=ProposalToGnatt[[#This Row],[Start Date]],Milestone_Marker,IF(AND(BQ$27&gt;ProposalToGnatt[[#This Row],[Start Date]],BQ$27&lt;ProposalToGnatt[[#This Row],[Start Date]]+ProposalToGnatt[[#This Row],[Days]]),$G$5,"")),"")</f>
        <v/>
      </c>
      <c r="BR63" s="36" t="str">
        <f ca="1">IFERROR(+IF(BR$27=ProposalToGnatt[[#This Row],[Start Date]],Milestone_Marker,IF(AND(BR$27&gt;ProposalToGnatt[[#This Row],[Start Date]],BR$27&lt;ProposalToGnatt[[#This Row],[Start Date]]+ProposalToGnatt[[#This Row],[Days]]),$G$5,"")),"")</f>
        <v/>
      </c>
      <c r="BS63" s="36" t="str">
        <f ca="1">IFERROR(+IF(BS$27=ProposalToGnatt[[#This Row],[Start Date]],Milestone_Marker,IF(AND(BS$27&gt;ProposalToGnatt[[#This Row],[Start Date]],BS$27&lt;ProposalToGnatt[[#This Row],[Start Date]]+ProposalToGnatt[[#This Row],[Days]]),$G$5,"")),"")</f>
        <v/>
      </c>
      <c r="BT63" s="36" t="str">
        <f ca="1">IFERROR(+IF(BT$27=ProposalToGnatt[[#This Row],[Start Date]],Milestone_Marker,IF(AND(BT$27&gt;ProposalToGnatt[[#This Row],[Start Date]],BT$27&lt;ProposalToGnatt[[#This Row],[Start Date]]+ProposalToGnatt[[#This Row],[Days]]),$G$5,"")),"")</f>
        <v/>
      </c>
      <c r="BU63" s="36" t="str">
        <f ca="1">IFERROR(+IF(BU$27=ProposalToGnatt[[#This Row],[Start Date]],Milestone_Marker,IF(AND(BU$27&gt;ProposalToGnatt[[#This Row],[Start Date]],BU$27&lt;ProposalToGnatt[[#This Row],[Start Date]]+ProposalToGnatt[[#This Row],[Days]]),$G$5,"")),"")</f>
        <v/>
      </c>
      <c r="BV63" s="36" t="str">
        <f ca="1">IFERROR(+IF(BV$27=ProposalToGnatt[[#This Row],[Start Date]],Milestone_Marker,IF(AND(BV$27&gt;ProposalToGnatt[[#This Row],[Start Date]],BV$27&lt;ProposalToGnatt[[#This Row],[Start Date]]+ProposalToGnatt[[#This Row],[Days]]),$G$5,"")),"")</f>
        <v/>
      </c>
      <c r="BW63" s="36" t="str">
        <f ca="1">IFERROR(+IF(BW$27=ProposalToGnatt[[#This Row],[Start Date]],Milestone_Marker,IF(AND(BW$27&gt;ProposalToGnatt[[#This Row],[Start Date]],BW$27&lt;ProposalToGnatt[[#This Row],[Start Date]]+ProposalToGnatt[[#This Row],[Days]]),$G$5,"")),"")</f>
        <v/>
      </c>
      <c r="BX63" s="36" t="str">
        <f ca="1">IFERROR(+IF(BX$27=ProposalToGnatt[[#This Row],[Start Date]],Milestone_Marker,IF(AND(BX$27&gt;ProposalToGnatt[[#This Row],[Start Date]],BX$27&lt;ProposalToGnatt[[#This Row],[Start Date]]+ProposalToGnatt[[#This Row],[Days]]),$G$5,"")),"")</f>
        <v/>
      </c>
      <c r="BY63" s="36" t="str">
        <f ca="1">IFERROR(+IF(BY$27=ProposalToGnatt[[#This Row],[Start Date]],Milestone_Marker,IF(AND(BY$27&gt;ProposalToGnatt[[#This Row],[Start Date]],BY$27&lt;ProposalToGnatt[[#This Row],[Start Date]]+ProposalToGnatt[[#This Row],[Days]]),$G$5,"")),"")</f>
        <v/>
      </c>
      <c r="BZ63" s="36" t="str">
        <f ca="1">IFERROR(+IF(BZ$27=ProposalToGnatt[[#This Row],[Start Date]],Milestone_Marker,IF(AND(BZ$27&gt;ProposalToGnatt[[#This Row],[Start Date]],BZ$27&lt;ProposalToGnatt[[#This Row],[Start Date]]+ProposalToGnatt[[#This Row],[Days]]),$G$5,"")),"")</f>
        <v/>
      </c>
      <c r="CA63" s="36" t="str">
        <f ca="1">IFERROR(+IF(CA$27=ProposalToGnatt[[#This Row],[Start Date]],Milestone_Marker,IF(AND(CA$27&gt;ProposalToGnatt[[#This Row],[Start Date]],CA$27&lt;ProposalToGnatt[[#This Row],[Start Date]]+ProposalToGnatt[[#This Row],[Days]]),$G$5,"")),"")</f>
        <v/>
      </c>
      <c r="CB63" s="36" t="str">
        <f ca="1">IFERROR(+IF(CB$27=ProposalToGnatt[[#This Row],[Start Date]],Milestone_Marker,IF(AND(CB$27&gt;ProposalToGnatt[[#This Row],[Start Date]],CB$27&lt;ProposalToGnatt[[#This Row],[Start Date]]+ProposalToGnatt[[#This Row],[Days]]),$G$5,"")),"")</f>
        <v/>
      </c>
      <c r="CC63" s="36" t="str">
        <f ca="1">IFERROR(+IF(CC$27=ProposalToGnatt[[#This Row],[Start Date]],Milestone_Marker,IF(AND(CC$27&gt;ProposalToGnatt[[#This Row],[Start Date]],CC$27&lt;ProposalToGnatt[[#This Row],[Start Date]]+ProposalToGnatt[[#This Row],[Days]]),$G$5,"")),"")</f>
        <v/>
      </c>
      <c r="CD63" s="36" t="str">
        <f ca="1">IFERROR(+IF(CD$27=ProposalToGnatt[[#This Row],[Start Date]],Milestone_Marker,IF(AND(CD$27&gt;ProposalToGnatt[[#This Row],[Start Date]],CD$27&lt;ProposalToGnatt[[#This Row],[Start Date]]+ProposalToGnatt[[#This Row],[Days]]),$G$5,"")),"")</f>
        <v/>
      </c>
      <c r="CE63" s="36" t="str">
        <f ca="1">IFERROR(+IF(CE$27=ProposalToGnatt[[#This Row],[Start Date]],Milestone_Marker,IF(AND(CE$27&gt;ProposalToGnatt[[#This Row],[Start Date]],CE$27&lt;ProposalToGnatt[[#This Row],[Start Date]]+ProposalToGnatt[[#This Row],[Days]]),$G$5,"")),"")</f>
        <v/>
      </c>
      <c r="CF63" s="36" t="str">
        <f ca="1">IFERROR(+IF(CF$27=ProposalToGnatt[[#This Row],[Start Date]],Milestone_Marker,IF(AND(CF$27&gt;ProposalToGnatt[[#This Row],[Start Date]],CF$27&lt;ProposalToGnatt[[#This Row],[Start Date]]+ProposalToGnatt[[#This Row],[Days]]),$G$5,"")),"")</f>
        <v/>
      </c>
      <c r="CG63" s="36" t="str">
        <f ca="1">IFERROR(+IF(CG$27=ProposalToGnatt[[#This Row],[Start Date]],Milestone_Marker,IF(AND(CG$27&gt;ProposalToGnatt[[#This Row],[Start Date]],CG$27&lt;ProposalToGnatt[[#This Row],[Start Date]]+ProposalToGnatt[[#This Row],[Days]]),$G$5,"")),"")</f>
        <v/>
      </c>
      <c r="CH63" s="36" t="str">
        <f ca="1">IFERROR(+IF(CH$27=ProposalToGnatt[[#This Row],[Start Date]],Milestone_Marker,IF(AND(CH$27&gt;ProposalToGnatt[[#This Row],[Start Date]],CH$27&lt;ProposalToGnatt[[#This Row],[Start Date]]+ProposalToGnatt[[#This Row],[Days]]),$G$5,"")),"")</f>
        <v/>
      </c>
      <c r="CI63" s="36" t="str">
        <f ca="1">IFERROR(+IF(CI$27=ProposalToGnatt[[#This Row],[Start Date]],Milestone_Marker,IF(AND(CI$27&gt;ProposalToGnatt[[#This Row],[Start Date]],CI$27&lt;ProposalToGnatt[[#This Row],[Start Date]]+ProposalToGnatt[[#This Row],[Days]]),$G$5,"")),"")</f>
        <v/>
      </c>
      <c r="CJ63" s="36" t="str">
        <f ca="1">IFERROR(+IF(CJ$27=ProposalToGnatt[[#This Row],[Start Date]],Milestone_Marker,IF(AND(CJ$27&gt;ProposalToGnatt[[#This Row],[Start Date]],CJ$27&lt;ProposalToGnatt[[#This Row],[Start Date]]+ProposalToGnatt[[#This Row],[Days]]),$G$5,"")),"")</f>
        <v/>
      </c>
      <c r="CK63" s="36" t="str">
        <f ca="1">IFERROR(+IF(CK$27=ProposalToGnatt[[#This Row],[Start Date]],Milestone_Marker,IF(AND(CK$27&gt;ProposalToGnatt[[#This Row],[Start Date]],CK$27&lt;ProposalToGnatt[[#This Row],[Start Date]]+ProposalToGnatt[[#This Row],[Days]]),$G$5,"")),"")</f>
        <v/>
      </c>
      <c r="CL63" s="36" t="str">
        <f ca="1">IFERROR(+IF(CL$27=ProposalToGnatt[[#This Row],[Start Date]],Milestone_Marker,IF(AND(CL$27&gt;ProposalToGnatt[[#This Row],[Start Date]],CL$27&lt;ProposalToGnatt[[#This Row],[Start Date]]+ProposalToGnatt[[#This Row],[Days]]),$G$5,"")),"")</f>
        <v/>
      </c>
      <c r="CM63" s="36" t="str">
        <f ca="1">IFERROR(+IF(CM$27=ProposalToGnatt[[#This Row],[Start Date]],Milestone_Marker,IF(AND(CM$27&gt;ProposalToGnatt[[#This Row],[Start Date]],CM$27&lt;ProposalToGnatt[[#This Row],[Start Date]]+ProposalToGnatt[[#This Row],[Days]]),$G$5,"")),"")</f>
        <v/>
      </c>
      <c r="CN63" s="36" t="str">
        <f ca="1">IFERROR(+IF(CN$27=ProposalToGnatt[[#This Row],[Start Date]],Milestone_Marker,IF(AND(CN$27&gt;ProposalToGnatt[[#This Row],[Start Date]],CN$27&lt;ProposalToGnatt[[#This Row],[Start Date]]+ProposalToGnatt[[#This Row],[Days]]),$G$5,"")),"")</f>
        <v/>
      </c>
      <c r="CO63" s="36" t="str">
        <f ca="1">IFERROR(+IF(CO$27=ProposalToGnatt[[#This Row],[Start Date]],Milestone_Marker,IF(AND(CO$27&gt;ProposalToGnatt[[#This Row],[Start Date]],CO$27&lt;ProposalToGnatt[[#This Row],[Start Date]]+ProposalToGnatt[[#This Row],[Days]]),$G$5,"")),"")</f>
        <v/>
      </c>
      <c r="CP63" s="36" t="str">
        <f ca="1">IFERROR(+IF(CP$27=ProposalToGnatt[[#This Row],[Start Date]],Milestone_Marker,IF(AND(CP$27&gt;ProposalToGnatt[[#This Row],[Start Date]],CP$27&lt;ProposalToGnatt[[#This Row],[Start Date]]+ProposalToGnatt[[#This Row],[Days]]),$G$5,"")),"")</f>
        <v/>
      </c>
      <c r="CQ63" s="36" t="str">
        <f ca="1">IFERROR(+IF(CQ$27=ProposalToGnatt[[#This Row],[Start Date]],Milestone_Marker,IF(AND(CQ$27&gt;ProposalToGnatt[[#This Row],[Start Date]],CQ$27&lt;ProposalToGnatt[[#This Row],[Start Date]]+ProposalToGnatt[[#This Row],[Days]]),$G$5,"")),"")</f>
        <v/>
      </c>
      <c r="CR63" s="36" t="str">
        <f ca="1">IFERROR(+IF(CR$27=ProposalToGnatt[[#This Row],[Start Date]],Milestone_Marker,IF(AND(CR$27&gt;ProposalToGnatt[[#This Row],[Start Date]],CR$27&lt;ProposalToGnatt[[#This Row],[Start Date]]+ProposalToGnatt[[#This Row],[Days]]),$G$5,"")),"")</f>
        <v/>
      </c>
      <c r="CS63" s="36" t="str">
        <f ca="1">IFERROR(+IF(CS$27=ProposalToGnatt[[#This Row],[Start Date]],Milestone_Marker,IF(AND(CS$27&gt;ProposalToGnatt[[#This Row],[Start Date]],CS$27&lt;ProposalToGnatt[[#This Row],[Start Date]]+ProposalToGnatt[[#This Row],[Days]]),$G$5,"")),"")</f>
        <v/>
      </c>
      <c r="CT63" s="36" t="str">
        <f ca="1">IFERROR(+IF(CT$27=ProposalToGnatt[[#This Row],[Start Date]],Milestone_Marker,IF(AND(CT$27&gt;ProposalToGnatt[[#This Row],[Start Date]],CT$27&lt;ProposalToGnatt[[#This Row],[Start Date]]+ProposalToGnatt[[#This Row],[Days]]),$G$5,"")),"")</f>
        <v/>
      </c>
      <c r="CU63" s="36" t="str">
        <f ca="1">IFERROR(+IF(CU$27=ProposalToGnatt[[#This Row],[Start Date]],Milestone_Marker,IF(AND(CU$27&gt;ProposalToGnatt[[#This Row],[Start Date]],CU$27&lt;ProposalToGnatt[[#This Row],[Start Date]]+ProposalToGnatt[[#This Row],[Days]]),$G$5,"")),"")</f>
        <v/>
      </c>
      <c r="CV63" s="36"/>
      <c r="CW63" s="36"/>
      <c r="CX63" s="36"/>
      <c r="CY63" s="36"/>
      <c r="CZ63" s="36"/>
      <c r="DA63" s="36"/>
      <c r="DB63" s="36"/>
      <c r="DC63" s="36"/>
      <c r="DD63" s="36"/>
      <c r="DE63" s="36"/>
      <c r="DF63" s="36"/>
      <c r="DG63" s="36"/>
      <c r="DH63" s="36"/>
      <c r="DI63" s="36"/>
      <c r="DJ63" s="36"/>
      <c r="DK63" s="36"/>
      <c r="DL63" s="36"/>
      <c r="DM63" s="36"/>
      <c r="DN63" s="36"/>
      <c r="DO63" s="36"/>
      <c r="DP63" s="36"/>
      <c r="DQ63" s="36"/>
      <c r="DR63" s="36"/>
      <c r="DS63" s="36"/>
      <c r="DT63" s="36"/>
      <c r="DU63" s="36"/>
    </row>
    <row r="64" spans="1:125" s="41" customFormat="1" ht="15" x14ac:dyDescent="0.25">
      <c r="A64"/>
      <c r="B64"/>
      <c r="C64"/>
      <c r="D64"/>
      <c r="E64"/>
      <c r="F64"/>
      <c r="G64" s="14"/>
      <c r="H64" s="14"/>
      <c r="I64"/>
      <c r="J64"/>
      <c r="K64" s="246"/>
      <c r="L64"/>
      <c r="M64" s="14"/>
      <c r="N64" s="299"/>
      <c r="O64" s="281"/>
      <c r="P64" s="36" t="str">
        <f ca="1">IFERROR(+IF(P$27=ProposalToGnatt[[#This Row],[Start Date]],Milestone_Marker,IF(AND(P$27&gt;ProposalToGnatt[[#This Row],[Start Date]],P$27&lt;ProposalToGnatt[[#This Row],[Start Date]]+ProposalToGnatt[[#This Row],[Days]]),$G$5,"")),"")</f>
        <v/>
      </c>
      <c r="Q64" s="36" t="str">
        <f ca="1">IFERROR(+IF(Q$27=ProposalToGnatt[[#This Row],[Start Date]],Milestone_Marker,IF(AND(Q$27&gt;ProposalToGnatt[[#This Row],[Start Date]],Q$27&lt;ProposalToGnatt[[#This Row],[Start Date]]+ProposalToGnatt[[#This Row],[Days]]),$G$5,"")),"")</f>
        <v/>
      </c>
      <c r="R64" s="36" t="str">
        <f ca="1">IFERROR(+IF(R$27=ProposalToGnatt[[#This Row],[Start Date]],Milestone_Marker,IF(AND(R$27&gt;ProposalToGnatt[[#This Row],[Start Date]],R$27&lt;ProposalToGnatt[[#This Row],[Start Date]]+ProposalToGnatt[[#This Row],[Days]]),$G$5,"")),"")</f>
        <v/>
      </c>
      <c r="S64" s="36" t="str">
        <f ca="1">IFERROR(+IF(S$27=ProposalToGnatt[[#This Row],[Start Date]],Milestone_Marker,IF(AND(S$27&gt;ProposalToGnatt[[#This Row],[Start Date]],S$27&lt;ProposalToGnatt[[#This Row],[Start Date]]+ProposalToGnatt[[#This Row],[Days]]),$G$5,"")),"")</f>
        <v/>
      </c>
      <c r="T64" s="36" t="str">
        <f ca="1">IFERROR(+IF(T$27=ProposalToGnatt[[#This Row],[Start Date]],Milestone_Marker,IF(AND(T$27&gt;ProposalToGnatt[[#This Row],[Start Date]],T$27&lt;ProposalToGnatt[[#This Row],[Start Date]]+ProposalToGnatt[[#This Row],[Days]]),$G$5,"")),"")</f>
        <v/>
      </c>
      <c r="U64" s="36" t="str">
        <f ca="1">IFERROR(+IF(U$27=ProposalToGnatt[[#This Row],[Start Date]],Milestone_Marker,IF(AND(U$27&gt;ProposalToGnatt[[#This Row],[Start Date]],U$27&lt;ProposalToGnatt[[#This Row],[Start Date]]+ProposalToGnatt[[#This Row],[Days]]),$G$5,"")),"")</f>
        <v/>
      </c>
      <c r="V64" s="36" t="str">
        <f ca="1">IFERROR(+IF(V$27=ProposalToGnatt[[#This Row],[Start Date]],Milestone_Marker,IF(AND(V$27&gt;ProposalToGnatt[[#This Row],[Start Date]],V$27&lt;ProposalToGnatt[[#This Row],[Start Date]]+ProposalToGnatt[[#This Row],[Days]]),$G$5,"")),"")</f>
        <v/>
      </c>
      <c r="W64" s="36" t="str">
        <f ca="1">IFERROR(+IF(W$27=ProposalToGnatt[[#This Row],[Start Date]],Milestone_Marker,IF(AND(W$27&gt;ProposalToGnatt[[#This Row],[Start Date]],W$27&lt;ProposalToGnatt[[#This Row],[Start Date]]+ProposalToGnatt[[#This Row],[Days]]),$G$5,"")),"")</f>
        <v/>
      </c>
      <c r="X64" s="36" t="str">
        <f ca="1">IFERROR(+IF(X$27=ProposalToGnatt[[#This Row],[Start Date]],Milestone_Marker,IF(AND(X$27&gt;ProposalToGnatt[[#This Row],[Start Date]],X$27&lt;ProposalToGnatt[[#This Row],[Start Date]]+ProposalToGnatt[[#This Row],[Days]]),$G$5,"")),"")</f>
        <v/>
      </c>
      <c r="Y64" s="36" t="str">
        <f ca="1">IFERROR(+IF(Y$27=ProposalToGnatt[[#This Row],[Start Date]],Milestone_Marker,IF(AND(Y$27&gt;ProposalToGnatt[[#This Row],[Start Date]],Y$27&lt;ProposalToGnatt[[#This Row],[Start Date]]+ProposalToGnatt[[#This Row],[Days]]),$G$5,"")),"")</f>
        <v/>
      </c>
      <c r="Z64" s="36" t="str">
        <f ca="1">IFERROR(+IF(Z$27=ProposalToGnatt[[#This Row],[Start Date]],Milestone_Marker,IF(AND(Z$27&gt;ProposalToGnatt[[#This Row],[Start Date]],Z$27&lt;ProposalToGnatt[[#This Row],[Start Date]]+ProposalToGnatt[[#This Row],[Days]]),$G$5,"")),"")</f>
        <v/>
      </c>
      <c r="AA64" s="36" t="str">
        <f ca="1">IFERROR(+IF(AA$27=ProposalToGnatt[[#This Row],[Start Date]],Milestone_Marker,IF(AND(AA$27&gt;ProposalToGnatt[[#This Row],[Start Date]],AA$27&lt;ProposalToGnatt[[#This Row],[Start Date]]+ProposalToGnatt[[#This Row],[Days]]),$G$5,"")),"")</f>
        <v/>
      </c>
      <c r="AB64" s="36" t="str">
        <f ca="1">IFERROR(+IF(AB$27=ProposalToGnatt[[#This Row],[Start Date]],Milestone_Marker,IF(AND(AB$27&gt;ProposalToGnatt[[#This Row],[Start Date]],AB$27&lt;ProposalToGnatt[[#This Row],[Start Date]]+ProposalToGnatt[[#This Row],[Days]]),$G$5,"")),"")</f>
        <v/>
      </c>
      <c r="AC64" s="36" t="str">
        <f ca="1">IFERROR(+IF(AC$27=ProposalToGnatt[[#This Row],[Start Date]],Milestone_Marker,IF(AND(AC$27&gt;ProposalToGnatt[[#This Row],[Start Date]],AC$27&lt;ProposalToGnatt[[#This Row],[Start Date]]+ProposalToGnatt[[#This Row],[Days]]),$G$5,"")),"")</f>
        <v/>
      </c>
      <c r="AD64" s="36" t="str">
        <f ca="1">IFERROR(+IF(AD$27=ProposalToGnatt[[#This Row],[Start Date]],Milestone_Marker,IF(AND(AD$27&gt;ProposalToGnatt[[#This Row],[Start Date]],AD$27&lt;ProposalToGnatt[[#This Row],[Start Date]]+ProposalToGnatt[[#This Row],[Days]]),$G$5,"")),"")</f>
        <v/>
      </c>
      <c r="AE64" s="36" t="str">
        <f ca="1">IFERROR(+IF(AE$27=ProposalToGnatt[[#This Row],[Start Date]],Milestone_Marker,IF(AND(AE$27&gt;ProposalToGnatt[[#This Row],[Start Date]],AE$27&lt;ProposalToGnatt[[#This Row],[Start Date]]+ProposalToGnatt[[#This Row],[Days]]),$G$5,"")),"")</f>
        <v/>
      </c>
      <c r="AF64" s="36" t="str">
        <f ca="1">IFERROR(+IF(AF$27=ProposalToGnatt[[#This Row],[Start Date]],Milestone_Marker,IF(AND(AF$27&gt;ProposalToGnatt[[#This Row],[Start Date]],AF$27&lt;ProposalToGnatt[[#This Row],[Start Date]]+ProposalToGnatt[[#This Row],[Days]]),$G$5,"")),"")</f>
        <v/>
      </c>
      <c r="AG64" s="36" t="str">
        <f ca="1">IFERROR(+IF(AG$27=ProposalToGnatt[[#This Row],[Start Date]],Milestone_Marker,IF(AND(AG$27&gt;ProposalToGnatt[[#This Row],[Start Date]],AG$27&lt;ProposalToGnatt[[#This Row],[Start Date]]+ProposalToGnatt[[#This Row],[Days]]),$G$5,"")),"")</f>
        <v/>
      </c>
      <c r="AH64" s="36" t="str">
        <f ca="1">IFERROR(+IF(AH$27=ProposalToGnatt[[#This Row],[Start Date]],Milestone_Marker,IF(AND(AH$27&gt;ProposalToGnatt[[#This Row],[Start Date]],AH$27&lt;ProposalToGnatt[[#This Row],[Start Date]]+ProposalToGnatt[[#This Row],[Days]]),$G$5,"")),"")</f>
        <v/>
      </c>
      <c r="AI64" s="36" t="str">
        <f ca="1">IFERROR(+IF(AI$27=ProposalToGnatt[[#This Row],[Start Date]],Milestone_Marker,IF(AND(AI$27&gt;ProposalToGnatt[[#This Row],[Start Date]],AI$27&lt;ProposalToGnatt[[#This Row],[Start Date]]+ProposalToGnatt[[#This Row],[Days]]),$G$5,"")),"")</f>
        <v/>
      </c>
      <c r="AJ64" s="36" t="str">
        <f ca="1">IFERROR(+IF(AJ$27=ProposalToGnatt[[#This Row],[Start Date]],Milestone_Marker,IF(AND(AJ$27&gt;ProposalToGnatt[[#This Row],[Start Date]],AJ$27&lt;ProposalToGnatt[[#This Row],[Start Date]]+ProposalToGnatt[[#This Row],[Days]]),$G$5,"")),"")</f>
        <v/>
      </c>
      <c r="AK64" s="36" t="str">
        <f ca="1">IFERROR(+IF(AK$27=ProposalToGnatt[[#This Row],[Start Date]],Milestone_Marker,IF(AND(AK$27&gt;ProposalToGnatt[[#This Row],[Start Date]],AK$27&lt;ProposalToGnatt[[#This Row],[Start Date]]+ProposalToGnatt[[#This Row],[Days]]),$G$5,"")),"")</f>
        <v/>
      </c>
      <c r="AL64" s="36" t="str">
        <f ca="1">IFERROR(+IF(AL$27=ProposalToGnatt[[#This Row],[Start Date]],Milestone_Marker,IF(AND(AL$27&gt;ProposalToGnatt[[#This Row],[Start Date]],AL$27&lt;ProposalToGnatt[[#This Row],[Start Date]]+ProposalToGnatt[[#This Row],[Days]]),$G$5,"")),"")</f>
        <v/>
      </c>
      <c r="AM64" s="36" t="str">
        <f ca="1">IFERROR(+IF(AM$27=ProposalToGnatt[[#This Row],[Start Date]],Milestone_Marker,IF(AND(AM$27&gt;ProposalToGnatt[[#This Row],[Start Date]],AM$27&lt;ProposalToGnatt[[#This Row],[Start Date]]+ProposalToGnatt[[#This Row],[Days]]),$G$5,"")),"")</f>
        <v/>
      </c>
      <c r="AN64" s="36" t="str">
        <f ca="1">IFERROR(+IF(AN$27=ProposalToGnatt[[#This Row],[Start Date]],Milestone_Marker,IF(AND(AN$27&gt;ProposalToGnatt[[#This Row],[Start Date]],AN$27&lt;ProposalToGnatt[[#This Row],[Start Date]]+ProposalToGnatt[[#This Row],[Days]]),$G$5,"")),"")</f>
        <v/>
      </c>
      <c r="AO64" s="36" t="str">
        <f ca="1">IFERROR(+IF(AO$27=ProposalToGnatt[[#This Row],[Start Date]],Milestone_Marker,IF(AND(AO$27&gt;ProposalToGnatt[[#This Row],[Start Date]],AO$27&lt;ProposalToGnatt[[#This Row],[Start Date]]+ProposalToGnatt[[#This Row],[Days]]),$G$5,"")),"")</f>
        <v/>
      </c>
      <c r="AP64" s="36" t="str">
        <f ca="1">IFERROR(+IF(AP$27=ProposalToGnatt[[#This Row],[Start Date]],Milestone_Marker,IF(AND(AP$27&gt;ProposalToGnatt[[#This Row],[Start Date]],AP$27&lt;ProposalToGnatt[[#This Row],[Start Date]]+ProposalToGnatt[[#This Row],[Days]]),$G$5,"")),"")</f>
        <v/>
      </c>
      <c r="AQ64" s="36" t="str">
        <f ca="1">IFERROR(+IF(AQ$27=ProposalToGnatt[[#This Row],[Start Date]],Milestone_Marker,IF(AND(AQ$27&gt;ProposalToGnatt[[#This Row],[Start Date]],AQ$27&lt;ProposalToGnatt[[#This Row],[Start Date]]+ProposalToGnatt[[#This Row],[Days]]),$G$5,"")),"")</f>
        <v/>
      </c>
      <c r="AR64" s="36" t="str">
        <f ca="1">IFERROR(+IF(AR$27=ProposalToGnatt[[#This Row],[Start Date]],Milestone_Marker,IF(AND(AR$27&gt;ProposalToGnatt[[#This Row],[Start Date]],AR$27&lt;ProposalToGnatt[[#This Row],[Start Date]]+ProposalToGnatt[[#This Row],[Days]]),$G$5,"")),"")</f>
        <v/>
      </c>
      <c r="AS64" s="36" t="str">
        <f ca="1">IFERROR(+IF(AS$27=ProposalToGnatt[[#This Row],[Start Date]],Milestone_Marker,IF(AND(AS$27&gt;ProposalToGnatt[[#This Row],[Start Date]],AS$27&lt;ProposalToGnatt[[#This Row],[Start Date]]+ProposalToGnatt[[#This Row],[Days]]),$G$5,"")),"")</f>
        <v/>
      </c>
      <c r="AT64" s="36" t="str">
        <f ca="1">IFERROR(+IF(AT$27=ProposalToGnatt[[#This Row],[Start Date]],Milestone_Marker,IF(AND(AT$27&gt;ProposalToGnatt[[#This Row],[Start Date]],AT$27&lt;ProposalToGnatt[[#This Row],[Start Date]]+ProposalToGnatt[[#This Row],[Days]]),$G$5,"")),"")</f>
        <v/>
      </c>
      <c r="AU64" s="36" t="str">
        <f ca="1">IFERROR(+IF(AU$27=ProposalToGnatt[[#This Row],[Start Date]],Milestone_Marker,IF(AND(AU$27&gt;ProposalToGnatt[[#This Row],[Start Date]],AU$27&lt;ProposalToGnatt[[#This Row],[Start Date]]+ProposalToGnatt[[#This Row],[Days]]),$G$5,"")),"")</f>
        <v/>
      </c>
      <c r="AV64" s="36" t="str">
        <f ca="1">IFERROR(+IF(AV$27=ProposalToGnatt[[#This Row],[Start Date]],Milestone_Marker,IF(AND(AV$27&gt;ProposalToGnatt[[#This Row],[Start Date]],AV$27&lt;ProposalToGnatt[[#This Row],[Start Date]]+ProposalToGnatt[[#This Row],[Days]]),$G$5,"")),"")</f>
        <v/>
      </c>
      <c r="AW64" s="36" t="str">
        <f ca="1">IFERROR(+IF(AW$27=ProposalToGnatt[[#This Row],[Start Date]],Milestone_Marker,IF(AND(AW$27&gt;ProposalToGnatt[[#This Row],[Start Date]],AW$27&lt;ProposalToGnatt[[#This Row],[Start Date]]+ProposalToGnatt[[#This Row],[Days]]),$G$5,"")),"")</f>
        <v/>
      </c>
      <c r="AX64" s="36" t="str">
        <f ca="1">IFERROR(+IF(AX$27=ProposalToGnatt[[#This Row],[Start Date]],Milestone_Marker,IF(AND(AX$27&gt;ProposalToGnatt[[#This Row],[Start Date]],AX$27&lt;ProposalToGnatt[[#This Row],[Start Date]]+ProposalToGnatt[[#This Row],[Days]]),$G$5,"")),"")</f>
        <v/>
      </c>
      <c r="AY64" s="36" t="str">
        <f ca="1">IFERROR(+IF(AY$27=ProposalToGnatt[[#This Row],[Start Date]],Milestone_Marker,IF(AND(AY$27&gt;ProposalToGnatt[[#This Row],[Start Date]],AY$27&lt;ProposalToGnatt[[#This Row],[Start Date]]+ProposalToGnatt[[#This Row],[Days]]),$G$5,"")),"")</f>
        <v/>
      </c>
      <c r="AZ64" s="36" t="str">
        <f ca="1">IFERROR(+IF(AZ$27=ProposalToGnatt[[#This Row],[Start Date]],Milestone_Marker,IF(AND(AZ$27&gt;ProposalToGnatt[[#This Row],[Start Date]],AZ$27&lt;ProposalToGnatt[[#This Row],[Start Date]]+ProposalToGnatt[[#This Row],[Days]]),$G$5,"")),"")</f>
        <v/>
      </c>
      <c r="BA64" s="36" t="str">
        <f ca="1">IFERROR(+IF(BA$27=ProposalToGnatt[[#This Row],[Start Date]],Milestone_Marker,IF(AND(BA$27&gt;ProposalToGnatt[[#This Row],[Start Date]],BA$27&lt;ProposalToGnatt[[#This Row],[Start Date]]+ProposalToGnatt[[#This Row],[Days]]),$G$5,"")),"")</f>
        <v/>
      </c>
      <c r="BB64" s="36" t="str">
        <f ca="1">IFERROR(+IF(BB$27=ProposalToGnatt[[#This Row],[Start Date]],Milestone_Marker,IF(AND(BB$27&gt;ProposalToGnatt[[#This Row],[Start Date]],BB$27&lt;ProposalToGnatt[[#This Row],[Start Date]]+ProposalToGnatt[[#This Row],[Days]]),$G$5,"")),"")</f>
        <v/>
      </c>
      <c r="BC64" s="36" t="str">
        <f ca="1">IFERROR(+IF(BC$27=ProposalToGnatt[[#This Row],[Start Date]],Milestone_Marker,IF(AND(BC$27&gt;ProposalToGnatt[[#This Row],[Start Date]],BC$27&lt;ProposalToGnatt[[#This Row],[Start Date]]+ProposalToGnatt[[#This Row],[Days]]),$G$5,"")),"")</f>
        <v/>
      </c>
      <c r="BD64" s="36" t="str">
        <f ca="1">IFERROR(+IF(BD$27=ProposalToGnatt[[#This Row],[Start Date]],Milestone_Marker,IF(AND(BD$27&gt;ProposalToGnatt[[#This Row],[Start Date]],BD$27&lt;ProposalToGnatt[[#This Row],[Start Date]]+ProposalToGnatt[[#This Row],[Days]]),$G$5,"")),"")</f>
        <v/>
      </c>
      <c r="BE64" s="36" t="str">
        <f ca="1">IFERROR(+IF(BE$27=ProposalToGnatt[[#This Row],[Start Date]],Milestone_Marker,IF(AND(BE$27&gt;ProposalToGnatt[[#This Row],[Start Date]],BE$27&lt;ProposalToGnatt[[#This Row],[Start Date]]+ProposalToGnatt[[#This Row],[Days]]),$G$5,"")),"")</f>
        <v/>
      </c>
      <c r="BF64" s="36" t="str">
        <f ca="1">IFERROR(+IF(BF$27=ProposalToGnatt[[#This Row],[Start Date]],Milestone_Marker,IF(AND(BF$27&gt;ProposalToGnatt[[#This Row],[Start Date]],BF$27&lt;ProposalToGnatt[[#This Row],[Start Date]]+ProposalToGnatt[[#This Row],[Days]]),$G$5,"")),"")</f>
        <v/>
      </c>
      <c r="BG64" s="36" t="str">
        <f ca="1">IFERROR(+IF(BG$27=ProposalToGnatt[[#This Row],[Start Date]],Milestone_Marker,IF(AND(BG$27&gt;ProposalToGnatt[[#This Row],[Start Date]],BG$27&lt;ProposalToGnatt[[#This Row],[Start Date]]+ProposalToGnatt[[#This Row],[Days]]),$G$5,"")),"")</f>
        <v/>
      </c>
      <c r="BH64" s="36" t="str">
        <f ca="1">IFERROR(+IF(BH$27=ProposalToGnatt[[#This Row],[Start Date]],Milestone_Marker,IF(AND(BH$27&gt;ProposalToGnatt[[#This Row],[Start Date]],BH$27&lt;ProposalToGnatt[[#This Row],[Start Date]]+ProposalToGnatt[[#This Row],[Days]]),$G$5,"")),"")</f>
        <v/>
      </c>
      <c r="BI64" s="36" t="str">
        <f ca="1">IFERROR(+IF(BI$27=ProposalToGnatt[[#This Row],[Start Date]],Milestone_Marker,IF(AND(BI$27&gt;ProposalToGnatt[[#This Row],[Start Date]],BI$27&lt;ProposalToGnatt[[#This Row],[Start Date]]+ProposalToGnatt[[#This Row],[Days]]),$G$5,"")),"")</f>
        <v/>
      </c>
      <c r="BJ64" s="36" t="str">
        <f ca="1">IFERROR(+IF(BJ$27=ProposalToGnatt[[#This Row],[Start Date]],Milestone_Marker,IF(AND(BJ$27&gt;ProposalToGnatt[[#This Row],[Start Date]],BJ$27&lt;ProposalToGnatt[[#This Row],[Start Date]]+ProposalToGnatt[[#This Row],[Days]]),$G$5,"")),"")</f>
        <v/>
      </c>
      <c r="BK64" s="36" t="str">
        <f ca="1">IFERROR(+IF(BK$27=ProposalToGnatt[[#This Row],[Start Date]],Milestone_Marker,IF(AND(BK$27&gt;ProposalToGnatt[[#This Row],[Start Date]],BK$27&lt;ProposalToGnatt[[#This Row],[Start Date]]+ProposalToGnatt[[#This Row],[Days]]),$G$5,"")),"")</f>
        <v/>
      </c>
      <c r="BL64" s="36" t="str">
        <f ca="1">IFERROR(+IF(BL$27=ProposalToGnatt[[#This Row],[Start Date]],Milestone_Marker,IF(AND(BL$27&gt;ProposalToGnatt[[#This Row],[Start Date]],BL$27&lt;ProposalToGnatt[[#This Row],[Start Date]]+ProposalToGnatt[[#This Row],[Days]]),$G$5,"")),"")</f>
        <v/>
      </c>
      <c r="BM64" s="36" t="str">
        <f ca="1">IFERROR(+IF(BM$27=ProposalToGnatt[[#This Row],[Start Date]],Milestone_Marker,IF(AND(BM$27&gt;ProposalToGnatt[[#This Row],[Start Date]],BM$27&lt;ProposalToGnatt[[#This Row],[Start Date]]+ProposalToGnatt[[#This Row],[Days]]),$G$5,"")),"")</f>
        <v/>
      </c>
      <c r="BN64" s="36" t="str">
        <f ca="1">IFERROR(+IF(BN$27=ProposalToGnatt[[#This Row],[Start Date]],Milestone_Marker,IF(AND(BN$27&gt;ProposalToGnatt[[#This Row],[Start Date]],BN$27&lt;ProposalToGnatt[[#This Row],[Start Date]]+ProposalToGnatt[[#This Row],[Days]]),$G$5,"")),"")</f>
        <v/>
      </c>
      <c r="BO64" s="36" t="str">
        <f ca="1">IFERROR(+IF(BO$27=ProposalToGnatt[[#This Row],[Start Date]],Milestone_Marker,IF(AND(BO$27&gt;ProposalToGnatt[[#This Row],[Start Date]],BO$27&lt;ProposalToGnatt[[#This Row],[Start Date]]+ProposalToGnatt[[#This Row],[Days]]),$G$5,"")),"")</f>
        <v/>
      </c>
      <c r="BP64" s="36" t="str">
        <f ca="1">IFERROR(+IF(BP$27=ProposalToGnatt[[#This Row],[Start Date]],Milestone_Marker,IF(AND(BP$27&gt;ProposalToGnatt[[#This Row],[Start Date]],BP$27&lt;ProposalToGnatt[[#This Row],[Start Date]]+ProposalToGnatt[[#This Row],[Days]]),$G$5,"")),"")</f>
        <v/>
      </c>
      <c r="BQ64" s="36" t="str">
        <f ca="1">IFERROR(+IF(BQ$27=ProposalToGnatt[[#This Row],[Start Date]],Milestone_Marker,IF(AND(BQ$27&gt;ProposalToGnatt[[#This Row],[Start Date]],BQ$27&lt;ProposalToGnatt[[#This Row],[Start Date]]+ProposalToGnatt[[#This Row],[Days]]),$G$5,"")),"")</f>
        <v/>
      </c>
      <c r="BR64" s="36" t="str">
        <f ca="1">IFERROR(+IF(BR$27=ProposalToGnatt[[#This Row],[Start Date]],Milestone_Marker,IF(AND(BR$27&gt;ProposalToGnatt[[#This Row],[Start Date]],BR$27&lt;ProposalToGnatt[[#This Row],[Start Date]]+ProposalToGnatt[[#This Row],[Days]]),$G$5,"")),"")</f>
        <v/>
      </c>
      <c r="BS64" s="36" t="str">
        <f ca="1">IFERROR(+IF(BS$27=ProposalToGnatt[[#This Row],[Start Date]],Milestone_Marker,IF(AND(BS$27&gt;ProposalToGnatt[[#This Row],[Start Date]],BS$27&lt;ProposalToGnatt[[#This Row],[Start Date]]+ProposalToGnatt[[#This Row],[Days]]),$G$5,"")),"")</f>
        <v/>
      </c>
      <c r="BT64" s="36" t="str">
        <f ca="1">IFERROR(+IF(BT$27=ProposalToGnatt[[#This Row],[Start Date]],Milestone_Marker,IF(AND(BT$27&gt;ProposalToGnatt[[#This Row],[Start Date]],BT$27&lt;ProposalToGnatt[[#This Row],[Start Date]]+ProposalToGnatt[[#This Row],[Days]]),$G$5,"")),"")</f>
        <v/>
      </c>
      <c r="BU64" s="36" t="str">
        <f ca="1">IFERROR(+IF(BU$27=ProposalToGnatt[[#This Row],[Start Date]],Milestone_Marker,IF(AND(BU$27&gt;ProposalToGnatt[[#This Row],[Start Date]],BU$27&lt;ProposalToGnatt[[#This Row],[Start Date]]+ProposalToGnatt[[#This Row],[Days]]),$G$5,"")),"")</f>
        <v/>
      </c>
      <c r="BV64" s="36" t="str">
        <f ca="1">IFERROR(+IF(BV$27=ProposalToGnatt[[#This Row],[Start Date]],Milestone_Marker,IF(AND(BV$27&gt;ProposalToGnatt[[#This Row],[Start Date]],BV$27&lt;ProposalToGnatt[[#This Row],[Start Date]]+ProposalToGnatt[[#This Row],[Days]]),$G$5,"")),"")</f>
        <v/>
      </c>
      <c r="BW64" s="36" t="str">
        <f ca="1">IFERROR(+IF(BW$27=ProposalToGnatt[[#This Row],[Start Date]],Milestone_Marker,IF(AND(BW$27&gt;ProposalToGnatt[[#This Row],[Start Date]],BW$27&lt;ProposalToGnatt[[#This Row],[Start Date]]+ProposalToGnatt[[#This Row],[Days]]),$G$5,"")),"")</f>
        <v/>
      </c>
      <c r="BX64" s="36" t="str">
        <f ca="1">IFERROR(+IF(BX$27=ProposalToGnatt[[#This Row],[Start Date]],Milestone_Marker,IF(AND(BX$27&gt;ProposalToGnatt[[#This Row],[Start Date]],BX$27&lt;ProposalToGnatt[[#This Row],[Start Date]]+ProposalToGnatt[[#This Row],[Days]]),$G$5,"")),"")</f>
        <v/>
      </c>
      <c r="BY64" s="36" t="str">
        <f ca="1">IFERROR(+IF(BY$27=ProposalToGnatt[[#This Row],[Start Date]],Milestone_Marker,IF(AND(BY$27&gt;ProposalToGnatt[[#This Row],[Start Date]],BY$27&lt;ProposalToGnatt[[#This Row],[Start Date]]+ProposalToGnatt[[#This Row],[Days]]),$G$5,"")),"")</f>
        <v/>
      </c>
      <c r="BZ64" s="36" t="str">
        <f ca="1">IFERROR(+IF(BZ$27=ProposalToGnatt[[#This Row],[Start Date]],Milestone_Marker,IF(AND(BZ$27&gt;ProposalToGnatt[[#This Row],[Start Date]],BZ$27&lt;ProposalToGnatt[[#This Row],[Start Date]]+ProposalToGnatt[[#This Row],[Days]]),$G$5,"")),"")</f>
        <v/>
      </c>
      <c r="CA64" s="36" t="str">
        <f ca="1">IFERROR(+IF(CA$27=ProposalToGnatt[[#This Row],[Start Date]],Milestone_Marker,IF(AND(CA$27&gt;ProposalToGnatt[[#This Row],[Start Date]],CA$27&lt;ProposalToGnatt[[#This Row],[Start Date]]+ProposalToGnatt[[#This Row],[Days]]),$G$5,"")),"")</f>
        <v/>
      </c>
      <c r="CB64" s="36" t="str">
        <f ca="1">IFERROR(+IF(CB$27=ProposalToGnatt[[#This Row],[Start Date]],Milestone_Marker,IF(AND(CB$27&gt;ProposalToGnatt[[#This Row],[Start Date]],CB$27&lt;ProposalToGnatt[[#This Row],[Start Date]]+ProposalToGnatt[[#This Row],[Days]]),$G$5,"")),"")</f>
        <v/>
      </c>
      <c r="CC64" s="36" t="str">
        <f ca="1">IFERROR(+IF(CC$27=ProposalToGnatt[[#This Row],[Start Date]],Milestone_Marker,IF(AND(CC$27&gt;ProposalToGnatt[[#This Row],[Start Date]],CC$27&lt;ProposalToGnatt[[#This Row],[Start Date]]+ProposalToGnatt[[#This Row],[Days]]),$G$5,"")),"")</f>
        <v/>
      </c>
      <c r="CD64" s="36" t="str">
        <f ca="1">IFERROR(+IF(CD$27=ProposalToGnatt[[#This Row],[Start Date]],Milestone_Marker,IF(AND(CD$27&gt;ProposalToGnatt[[#This Row],[Start Date]],CD$27&lt;ProposalToGnatt[[#This Row],[Start Date]]+ProposalToGnatt[[#This Row],[Days]]),$G$5,"")),"")</f>
        <v/>
      </c>
      <c r="CE64" s="36" t="str">
        <f ca="1">IFERROR(+IF(CE$27=ProposalToGnatt[[#This Row],[Start Date]],Milestone_Marker,IF(AND(CE$27&gt;ProposalToGnatt[[#This Row],[Start Date]],CE$27&lt;ProposalToGnatt[[#This Row],[Start Date]]+ProposalToGnatt[[#This Row],[Days]]),$G$5,"")),"")</f>
        <v/>
      </c>
      <c r="CF64" s="36" t="str">
        <f ca="1">IFERROR(+IF(CF$27=ProposalToGnatt[[#This Row],[Start Date]],Milestone_Marker,IF(AND(CF$27&gt;ProposalToGnatt[[#This Row],[Start Date]],CF$27&lt;ProposalToGnatt[[#This Row],[Start Date]]+ProposalToGnatt[[#This Row],[Days]]),$G$5,"")),"")</f>
        <v/>
      </c>
      <c r="CG64" s="36" t="str">
        <f ca="1">IFERROR(+IF(CG$27=ProposalToGnatt[[#This Row],[Start Date]],Milestone_Marker,IF(AND(CG$27&gt;ProposalToGnatt[[#This Row],[Start Date]],CG$27&lt;ProposalToGnatt[[#This Row],[Start Date]]+ProposalToGnatt[[#This Row],[Days]]),$G$5,"")),"")</f>
        <v/>
      </c>
      <c r="CH64" s="36" t="str">
        <f ca="1">IFERROR(+IF(CH$27=ProposalToGnatt[[#This Row],[Start Date]],Milestone_Marker,IF(AND(CH$27&gt;ProposalToGnatt[[#This Row],[Start Date]],CH$27&lt;ProposalToGnatt[[#This Row],[Start Date]]+ProposalToGnatt[[#This Row],[Days]]),$G$5,"")),"")</f>
        <v/>
      </c>
      <c r="CI64" s="36" t="str">
        <f ca="1">IFERROR(+IF(CI$27=ProposalToGnatt[[#This Row],[Start Date]],Milestone_Marker,IF(AND(CI$27&gt;ProposalToGnatt[[#This Row],[Start Date]],CI$27&lt;ProposalToGnatt[[#This Row],[Start Date]]+ProposalToGnatt[[#This Row],[Days]]),$G$5,"")),"")</f>
        <v/>
      </c>
      <c r="CJ64" s="36" t="str">
        <f ca="1">IFERROR(+IF(CJ$27=ProposalToGnatt[[#This Row],[Start Date]],Milestone_Marker,IF(AND(CJ$27&gt;ProposalToGnatt[[#This Row],[Start Date]],CJ$27&lt;ProposalToGnatt[[#This Row],[Start Date]]+ProposalToGnatt[[#This Row],[Days]]),$G$5,"")),"")</f>
        <v/>
      </c>
      <c r="CK64" s="36" t="str">
        <f ca="1">IFERROR(+IF(CK$27=ProposalToGnatt[[#This Row],[Start Date]],Milestone_Marker,IF(AND(CK$27&gt;ProposalToGnatt[[#This Row],[Start Date]],CK$27&lt;ProposalToGnatt[[#This Row],[Start Date]]+ProposalToGnatt[[#This Row],[Days]]),$G$5,"")),"")</f>
        <v/>
      </c>
      <c r="CL64" s="36" t="str">
        <f ca="1">IFERROR(+IF(CL$27=ProposalToGnatt[[#This Row],[Start Date]],Milestone_Marker,IF(AND(CL$27&gt;ProposalToGnatt[[#This Row],[Start Date]],CL$27&lt;ProposalToGnatt[[#This Row],[Start Date]]+ProposalToGnatt[[#This Row],[Days]]),$G$5,"")),"")</f>
        <v/>
      </c>
      <c r="CM64" s="36" t="str">
        <f ca="1">IFERROR(+IF(CM$27=ProposalToGnatt[[#This Row],[Start Date]],Milestone_Marker,IF(AND(CM$27&gt;ProposalToGnatt[[#This Row],[Start Date]],CM$27&lt;ProposalToGnatt[[#This Row],[Start Date]]+ProposalToGnatt[[#This Row],[Days]]),$G$5,"")),"")</f>
        <v/>
      </c>
      <c r="CN64" s="36" t="str">
        <f ca="1">IFERROR(+IF(CN$27=ProposalToGnatt[[#This Row],[Start Date]],Milestone_Marker,IF(AND(CN$27&gt;ProposalToGnatt[[#This Row],[Start Date]],CN$27&lt;ProposalToGnatt[[#This Row],[Start Date]]+ProposalToGnatt[[#This Row],[Days]]),$G$5,"")),"")</f>
        <v/>
      </c>
      <c r="CO64" s="36" t="str">
        <f ca="1">IFERROR(+IF(CO$27=ProposalToGnatt[[#This Row],[Start Date]],Milestone_Marker,IF(AND(CO$27&gt;ProposalToGnatt[[#This Row],[Start Date]],CO$27&lt;ProposalToGnatt[[#This Row],[Start Date]]+ProposalToGnatt[[#This Row],[Days]]),$G$5,"")),"")</f>
        <v/>
      </c>
      <c r="CP64" s="36" t="str">
        <f ca="1">IFERROR(+IF(CP$27=ProposalToGnatt[[#This Row],[Start Date]],Milestone_Marker,IF(AND(CP$27&gt;ProposalToGnatt[[#This Row],[Start Date]],CP$27&lt;ProposalToGnatt[[#This Row],[Start Date]]+ProposalToGnatt[[#This Row],[Days]]),$G$5,"")),"")</f>
        <v/>
      </c>
      <c r="CQ64" s="36" t="str">
        <f ca="1">IFERROR(+IF(CQ$27=ProposalToGnatt[[#This Row],[Start Date]],Milestone_Marker,IF(AND(CQ$27&gt;ProposalToGnatt[[#This Row],[Start Date]],CQ$27&lt;ProposalToGnatt[[#This Row],[Start Date]]+ProposalToGnatt[[#This Row],[Days]]),$G$5,"")),"")</f>
        <v/>
      </c>
      <c r="CR64" s="36" t="str">
        <f ca="1">IFERROR(+IF(CR$27=ProposalToGnatt[[#This Row],[Start Date]],Milestone_Marker,IF(AND(CR$27&gt;ProposalToGnatt[[#This Row],[Start Date]],CR$27&lt;ProposalToGnatt[[#This Row],[Start Date]]+ProposalToGnatt[[#This Row],[Days]]),$G$5,"")),"")</f>
        <v/>
      </c>
      <c r="CS64" s="36" t="str">
        <f ca="1">IFERROR(+IF(CS$27=ProposalToGnatt[[#This Row],[Start Date]],Milestone_Marker,IF(AND(CS$27&gt;ProposalToGnatt[[#This Row],[Start Date]],CS$27&lt;ProposalToGnatt[[#This Row],[Start Date]]+ProposalToGnatt[[#This Row],[Days]]),$G$5,"")),"")</f>
        <v/>
      </c>
      <c r="CT64" s="36" t="str">
        <f ca="1">IFERROR(+IF(CT$27=ProposalToGnatt[[#This Row],[Start Date]],Milestone_Marker,IF(AND(CT$27&gt;ProposalToGnatt[[#This Row],[Start Date]],CT$27&lt;ProposalToGnatt[[#This Row],[Start Date]]+ProposalToGnatt[[#This Row],[Days]]),$G$5,"")),"")</f>
        <v/>
      </c>
      <c r="CU64" s="36" t="str">
        <f ca="1">IFERROR(+IF(CU$27=ProposalToGnatt[[#This Row],[Start Date]],Milestone_Marker,IF(AND(CU$27&gt;ProposalToGnatt[[#This Row],[Start Date]],CU$27&lt;ProposalToGnatt[[#This Row],[Start Date]]+ProposalToGnatt[[#This Row],[Days]]),$G$5,"")),"")</f>
        <v/>
      </c>
      <c r="CV64" s="36"/>
      <c r="CW64" s="36"/>
      <c r="CX64" s="36"/>
      <c r="CY64" s="36"/>
      <c r="CZ64" s="36"/>
      <c r="DA64" s="36"/>
      <c r="DB64" s="36"/>
      <c r="DC64" s="36"/>
      <c r="DD64" s="36"/>
      <c r="DE64" s="36"/>
      <c r="DF64" s="36"/>
      <c r="DG64" s="36"/>
      <c r="DH64" s="36"/>
      <c r="DI64" s="36"/>
      <c r="DJ64" s="36"/>
      <c r="DK64" s="36"/>
      <c r="DL64" s="36"/>
      <c r="DM64" s="36"/>
      <c r="DN64" s="36"/>
      <c r="DO64" s="36"/>
      <c r="DP64" s="36"/>
      <c r="DQ64" s="36"/>
      <c r="DR64" s="36"/>
      <c r="DS64" s="36"/>
      <c r="DT64" s="36"/>
      <c r="DU64" s="36"/>
    </row>
    <row r="65" spans="1:125" s="41" customFormat="1" ht="15" customHeight="1" x14ac:dyDescent="0.25">
      <c r="A65"/>
      <c r="B65"/>
      <c r="C65"/>
      <c r="D65"/>
      <c r="E65"/>
      <c r="F65"/>
      <c r="G65" s="14"/>
      <c r="H65" s="14"/>
      <c r="I65"/>
      <c r="J65"/>
      <c r="K65" s="246"/>
      <c r="L65"/>
      <c r="M65" s="14"/>
      <c r="N65" s="299"/>
      <c r="O65" s="281"/>
      <c r="P65" s="36" t="str">
        <f ca="1">IFERROR(+IF(P$27=ProposalToGnatt[[#This Row],[Start Date]],Milestone_Marker,IF(AND(P$27&gt;ProposalToGnatt[[#This Row],[Start Date]],P$27&lt;ProposalToGnatt[[#This Row],[Start Date]]+ProposalToGnatt[[#This Row],[Days]]),$G$5,"")),"")</f>
        <v/>
      </c>
      <c r="Q65" s="36" t="str">
        <f ca="1">IFERROR(+IF(Q$27=ProposalToGnatt[[#This Row],[Start Date]],Milestone_Marker,IF(AND(Q$27&gt;ProposalToGnatt[[#This Row],[Start Date]],Q$27&lt;ProposalToGnatt[[#This Row],[Start Date]]+ProposalToGnatt[[#This Row],[Days]]),$G$5,"")),"")</f>
        <v/>
      </c>
      <c r="R65" s="36" t="str">
        <f ca="1">IFERROR(+IF(R$27=ProposalToGnatt[[#This Row],[Start Date]],Milestone_Marker,IF(AND(R$27&gt;ProposalToGnatt[[#This Row],[Start Date]],R$27&lt;ProposalToGnatt[[#This Row],[Start Date]]+ProposalToGnatt[[#This Row],[Days]]),$G$5,"")),"")</f>
        <v/>
      </c>
      <c r="S65" s="36" t="str">
        <f ca="1">IFERROR(+IF(S$27=ProposalToGnatt[[#This Row],[Start Date]],Milestone_Marker,IF(AND(S$27&gt;ProposalToGnatt[[#This Row],[Start Date]],S$27&lt;ProposalToGnatt[[#This Row],[Start Date]]+ProposalToGnatt[[#This Row],[Days]]),$G$5,"")),"")</f>
        <v/>
      </c>
      <c r="T65" s="36" t="str">
        <f ca="1">IFERROR(+IF(T$27=ProposalToGnatt[[#This Row],[Start Date]],Milestone_Marker,IF(AND(T$27&gt;ProposalToGnatt[[#This Row],[Start Date]],T$27&lt;ProposalToGnatt[[#This Row],[Start Date]]+ProposalToGnatt[[#This Row],[Days]]),$G$5,"")),"")</f>
        <v/>
      </c>
      <c r="U65" s="36" t="str">
        <f ca="1">IFERROR(+IF(U$27=ProposalToGnatt[[#This Row],[Start Date]],Milestone_Marker,IF(AND(U$27&gt;ProposalToGnatt[[#This Row],[Start Date]],U$27&lt;ProposalToGnatt[[#This Row],[Start Date]]+ProposalToGnatt[[#This Row],[Days]]),$G$5,"")),"")</f>
        <v/>
      </c>
      <c r="V65" s="36" t="str">
        <f ca="1">IFERROR(+IF(V$27=ProposalToGnatt[[#This Row],[Start Date]],Milestone_Marker,IF(AND(V$27&gt;ProposalToGnatt[[#This Row],[Start Date]],V$27&lt;ProposalToGnatt[[#This Row],[Start Date]]+ProposalToGnatt[[#This Row],[Days]]),$G$5,"")),"")</f>
        <v/>
      </c>
      <c r="W65" s="36" t="str">
        <f ca="1">IFERROR(+IF(W$27=ProposalToGnatt[[#This Row],[Start Date]],Milestone_Marker,IF(AND(W$27&gt;ProposalToGnatt[[#This Row],[Start Date]],W$27&lt;ProposalToGnatt[[#This Row],[Start Date]]+ProposalToGnatt[[#This Row],[Days]]),$G$5,"")),"")</f>
        <v/>
      </c>
      <c r="X65" s="36" t="str">
        <f ca="1">IFERROR(+IF(X$27=ProposalToGnatt[[#This Row],[Start Date]],Milestone_Marker,IF(AND(X$27&gt;ProposalToGnatt[[#This Row],[Start Date]],X$27&lt;ProposalToGnatt[[#This Row],[Start Date]]+ProposalToGnatt[[#This Row],[Days]]),$G$5,"")),"")</f>
        <v/>
      </c>
      <c r="Y65" s="36" t="str">
        <f ca="1">IFERROR(+IF(Y$27=ProposalToGnatt[[#This Row],[Start Date]],Milestone_Marker,IF(AND(Y$27&gt;ProposalToGnatt[[#This Row],[Start Date]],Y$27&lt;ProposalToGnatt[[#This Row],[Start Date]]+ProposalToGnatt[[#This Row],[Days]]),$G$5,"")),"")</f>
        <v/>
      </c>
      <c r="Z65" s="36" t="str">
        <f ca="1">IFERROR(+IF(Z$27=ProposalToGnatt[[#This Row],[Start Date]],Milestone_Marker,IF(AND(Z$27&gt;ProposalToGnatt[[#This Row],[Start Date]],Z$27&lt;ProposalToGnatt[[#This Row],[Start Date]]+ProposalToGnatt[[#This Row],[Days]]),$G$5,"")),"")</f>
        <v/>
      </c>
      <c r="AA65" s="36" t="str">
        <f ca="1">IFERROR(+IF(AA$27=ProposalToGnatt[[#This Row],[Start Date]],Milestone_Marker,IF(AND(AA$27&gt;ProposalToGnatt[[#This Row],[Start Date]],AA$27&lt;ProposalToGnatt[[#This Row],[Start Date]]+ProposalToGnatt[[#This Row],[Days]]),$G$5,"")),"")</f>
        <v/>
      </c>
      <c r="AB65" s="36" t="str">
        <f ca="1">IFERROR(+IF(AB$27=ProposalToGnatt[[#This Row],[Start Date]],Milestone_Marker,IF(AND(AB$27&gt;ProposalToGnatt[[#This Row],[Start Date]],AB$27&lt;ProposalToGnatt[[#This Row],[Start Date]]+ProposalToGnatt[[#This Row],[Days]]),$G$5,"")),"")</f>
        <v/>
      </c>
      <c r="AC65" s="36" t="str">
        <f ca="1">IFERROR(+IF(AC$27=ProposalToGnatt[[#This Row],[Start Date]],Milestone_Marker,IF(AND(AC$27&gt;ProposalToGnatt[[#This Row],[Start Date]],AC$27&lt;ProposalToGnatt[[#This Row],[Start Date]]+ProposalToGnatt[[#This Row],[Days]]),$G$5,"")),"")</f>
        <v/>
      </c>
      <c r="AD65" s="36" t="str">
        <f ca="1">IFERROR(+IF(AD$27=ProposalToGnatt[[#This Row],[Start Date]],Milestone_Marker,IF(AND(AD$27&gt;ProposalToGnatt[[#This Row],[Start Date]],AD$27&lt;ProposalToGnatt[[#This Row],[Start Date]]+ProposalToGnatt[[#This Row],[Days]]),$G$5,"")),"")</f>
        <v/>
      </c>
      <c r="AE65" s="36" t="str">
        <f ca="1">IFERROR(+IF(AE$27=ProposalToGnatt[[#This Row],[Start Date]],Milestone_Marker,IF(AND(AE$27&gt;ProposalToGnatt[[#This Row],[Start Date]],AE$27&lt;ProposalToGnatt[[#This Row],[Start Date]]+ProposalToGnatt[[#This Row],[Days]]),$G$5,"")),"")</f>
        <v/>
      </c>
      <c r="AF65" s="36" t="str">
        <f ca="1">IFERROR(+IF(AF$27=ProposalToGnatt[[#This Row],[Start Date]],Milestone_Marker,IF(AND(AF$27&gt;ProposalToGnatt[[#This Row],[Start Date]],AF$27&lt;ProposalToGnatt[[#This Row],[Start Date]]+ProposalToGnatt[[#This Row],[Days]]),$G$5,"")),"")</f>
        <v/>
      </c>
      <c r="AG65" s="36" t="str">
        <f ca="1">IFERROR(+IF(AG$27=ProposalToGnatt[[#This Row],[Start Date]],Milestone_Marker,IF(AND(AG$27&gt;ProposalToGnatt[[#This Row],[Start Date]],AG$27&lt;ProposalToGnatt[[#This Row],[Start Date]]+ProposalToGnatt[[#This Row],[Days]]),$G$5,"")),"")</f>
        <v/>
      </c>
      <c r="AH65" s="36" t="str">
        <f ca="1">IFERROR(+IF(AH$27=ProposalToGnatt[[#This Row],[Start Date]],Milestone_Marker,IF(AND(AH$27&gt;ProposalToGnatt[[#This Row],[Start Date]],AH$27&lt;ProposalToGnatt[[#This Row],[Start Date]]+ProposalToGnatt[[#This Row],[Days]]),$G$5,"")),"")</f>
        <v/>
      </c>
      <c r="AI65" s="36" t="str">
        <f ca="1">IFERROR(+IF(AI$27=ProposalToGnatt[[#This Row],[Start Date]],Milestone_Marker,IF(AND(AI$27&gt;ProposalToGnatt[[#This Row],[Start Date]],AI$27&lt;ProposalToGnatt[[#This Row],[Start Date]]+ProposalToGnatt[[#This Row],[Days]]),$G$5,"")),"")</f>
        <v/>
      </c>
      <c r="AJ65" s="36" t="str">
        <f ca="1">IFERROR(+IF(AJ$27=ProposalToGnatt[[#This Row],[Start Date]],Milestone_Marker,IF(AND(AJ$27&gt;ProposalToGnatt[[#This Row],[Start Date]],AJ$27&lt;ProposalToGnatt[[#This Row],[Start Date]]+ProposalToGnatt[[#This Row],[Days]]),$G$5,"")),"")</f>
        <v/>
      </c>
      <c r="AK65" s="36" t="str">
        <f ca="1">IFERROR(+IF(AK$27=ProposalToGnatt[[#This Row],[Start Date]],Milestone_Marker,IF(AND(AK$27&gt;ProposalToGnatt[[#This Row],[Start Date]],AK$27&lt;ProposalToGnatt[[#This Row],[Start Date]]+ProposalToGnatt[[#This Row],[Days]]),$G$5,"")),"")</f>
        <v/>
      </c>
      <c r="AL65" s="36" t="str">
        <f ca="1">IFERROR(+IF(AL$27=ProposalToGnatt[[#This Row],[Start Date]],Milestone_Marker,IF(AND(AL$27&gt;ProposalToGnatt[[#This Row],[Start Date]],AL$27&lt;ProposalToGnatt[[#This Row],[Start Date]]+ProposalToGnatt[[#This Row],[Days]]),$G$5,"")),"")</f>
        <v/>
      </c>
      <c r="AM65" s="36" t="str">
        <f ca="1">IFERROR(+IF(AM$27=ProposalToGnatt[[#This Row],[Start Date]],Milestone_Marker,IF(AND(AM$27&gt;ProposalToGnatt[[#This Row],[Start Date]],AM$27&lt;ProposalToGnatt[[#This Row],[Start Date]]+ProposalToGnatt[[#This Row],[Days]]),$G$5,"")),"")</f>
        <v/>
      </c>
      <c r="AN65" s="36" t="str">
        <f ca="1">IFERROR(+IF(AN$27=ProposalToGnatt[[#This Row],[Start Date]],Milestone_Marker,IF(AND(AN$27&gt;ProposalToGnatt[[#This Row],[Start Date]],AN$27&lt;ProposalToGnatt[[#This Row],[Start Date]]+ProposalToGnatt[[#This Row],[Days]]),$G$5,"")),"")</f>
        <v/>
      </c>
      <c r="AO65" s="36" t="str">
        <f ca="1">IFERROR(+IF(AO$27=ProposalToGnatt[[#This Row],[Start Date]],Milestone_Marker,IF(AND(AO$27&gt;ProposalToGnatt[[#This Row],[Start Date]],AO$27&lt;ProposalToGnatt[[#This Row],[Start Date]]+ProposalToGnatt[[#This Row],[Days]]),$G$5,"")),"")</f>
        <v/>
      </c>
      <c r="AP65" s="36" t="str">
        <f ca="1">IFERROR(+IF(AP$27=ProposalToGnatt[[#This Row],[Start Date]],Milestone_Marker,IF(AND(AP$27&gt;ProposalToGnatt[[#This Row],[Start Date]],AP$27&lt;ProposalToGnatt[[#This Row],[Start Date]]+ProposalToGnatt[[#This Row],[Days]]),$G$5,"")),"")</f>
        <v/>
      </c>
      <c r="AQ65" s="36" t="str">
        <f ca="1">IFERROR(+IF(AQ$27=ProposalToGnatt[[#This Row],[Start Date]],Milestone_Marker,IF(AND(AQ$27&gt;ProposalToGnatt[[#This Row],[Start Date]],AQ$27&lt;ProposalToGnatt[[#This Row],[Start Date]]+ProposalToGnatt[[#This Row],[Days]]),$G$5,"")),"")</f>
        <v/>
      </c>
      <c r="AR65" s="36" t="str">
        <f ca="1">IFERROR(+IF(AR$27=ProposalToGnatt[[#This Row],[Start Date]],Milestone_Marker,IF(AND(AR$27&gt;ProposalToGnatt[[#This Row],[Start Date]],AR$27&lt;ProposalToGnatt[[#This Row],[Start Date]]+ProposalToGnatt[[#This Row],[Days]]),$G$5,"")),"")</f>
        <v/>
      </c>
      <c r="AS65" s="36" t="str">
        <f ca="1">IFERROR(+IF(AS$27=ProposalToGnatt[[#This Row],[Start Date]],Milestone_Marker,IF(AND(AS$27&gt;ProposalToGnatt[[#This Row],[Start Date]],AS$27&lt;ProposalToGnatt[[#This Row],[Start Date]]+ProposalToGnatt[[#This Row],[Days]]),$G$5,"")),"")</f>
        <v/>
      </c>
      <c r="AT65" s="36" t="str">
        <f ca="1">IFERROR(+IF(AT$27=ProposalToGnatt[[#This Row],[Start Date]],Milestone_Marker,IF(AND(AT$27&gt;ProposalToGnatt[[#This Row],[Start Date]],AT$27&lt;ProposalToGnatt[[#This Row],[Start Date]]+ProposalToGnatt[[#This Row],[Days]]),$G$5,"")),"")</f>
        <v/>
      </c>
      <c r="AU65" s="36" t="str">
        <f ca="1">IFERROR(+IF(AU$27=ProposalToGnatt[[#This Row],[Start Date]],Milestone_Marker,IF(AND(AU$27&gt;ProposalToGnatt[[#This Row],[Start Date]],AU$27&lt;ProposalToGnatt[[#This Row],[Start Date]]+ProposalToGnatt[[#This Row],[Days]]),$G$5,"")),"")</f>
        <v/>
      </c>
      <c r="AV65" s="36" t="str">
        <f ca="1">IFERROR(+IF(AV$27=ProposalToGnatt[[#This Row],[Start Date]],Milestone_Marker,IF(AND(AV$27&gt;ProposalToGnatt[[#This Row],[Start Date]],AV$27&lt;ProposalToGnatt[[#This Row],[Start Date]]+ProposalToGnatt[[#This Row],[Days]]),$G$5,"")),"")</f>
        <v/>
      </c>
      <c r="AW65" s="36" t="str">
        <f ca="1">IFERROR(+IF(AW$27=ProposalToGnatt[[#This Row],[Start Date]],Milestone_Marker,IF(AND(AW$27&gt;ProposalToGnatt[[#This Row],[Start Date]],AW$27&lt;ProposalToGnatt[[#This Row],[Start Date]]+ProposalToGnatt[[#This Row],[Days]]),$G$5,"")),"")</f>
        <v/>
      </c>
      <c r="AX65" s="36" t="str">
        <f ca="1">IFERROR(+IF(AX$27=ProposalToGnatt[[#This Row],[Start Date]],Milestone_Marker,IF(AND(AX$27&gt;ProposalToGnatt[[#This Row],[Start Date]],AX$27&lt;ProposalToGnatt[[#This Row],[Start Date]]+ProposalToGnatt[[#This Row],[Days]]),$G$5,"")),"")</f>
        <v/>
      </c>
      <c r="AY65" s="36" t="str">
        <f ca="1">IFERROR(+IF(AY$27=ProposalToGnatt[[#This Row],[Start Date]],Milestone_Marker,IF(AND(AY$27&gt;ProposalToGnatt[[#This Row],[Start Date]],AY$27&lt;ProposalToGnatt[[#This Row],[Start Date]]+ProposalToGnatt[[#This Row],[Days]]),$G$5,"")),"")</f>
        <v/>
      </c>
      <c r="AZ65" s="36" t="str">
        <f ca="1">IFERROR(+IF(AZ$27=ProposalToGnatt[[#This Row],[Start Date]],Milestone_Marker,IF(AND(AZ$27&gt;ProposalToGnatt[[#This Row],[Start Date]],AZ$27&lt;ProposalToGnatt[[#This Row],[Start Date]]+ProposalToGnatt[[#This Row],[Days]]),$G$5,"")),"")</f>
        <v/>
      </c>
      <c r="BA65" s="36" t="str">
        <f ca="1">IFERROR(+IF(BA$27=ProposalToGnatt[[#This Row],[Start Date]],Milestone_Marker,IF(AND(BA$27&gt;ProposalToGnatt[[#This Row],[Start Date]],BA$27&lt;ProposalToGnatt[[#This Row],[Start Date]]+ProposalToGnatt[[#This Row],[Days]]),$G$5,"")),"")</f>
        <v/>
      </c>
      <c r="BB65" s="36" t="str">
        <f ca="1">IFERROR(+IF(BB$27=ProposalToGnatt[[#This Row],[Start Date]],Milestone_Marker,IF(AND(BB$27&gt;ProposalToGnatt[[#This Row],[Start Date]],BB$27&lt;ProposalToGnatt[[#This Row],[Start Date]]+ProposalToGnatt[[#This Row],[Days]]),$G$5,"")),"")</f>
        <v/>
      </c>
      <c r="BC65" s="36" t="str">
        <f ca="1">IFERROR(+IF(BC$27=ProposalToGnatt[[#This Row],[Start Date]],Milestone_Marker,IF(AND(BC$27&gt;ProposalToGnatt[[#This Row],[Start Date]],BC$27&lt;ProposalToGnatt[[#This Row],[Start Date]]+ProposalToGnatt[[#This Row],[Days]]),$G$5,"")),"")</f>
        <v/>
      </c>
      <c r="BD65" s="36" t="str">
        <f ca="1">IFERROR(+IF(BD$27=ProposalToGnatt[[#This Row],[Start Date]],Milestone_Marker,IF(AND(BD$27&gt;ProposalToGnatt[[#This Row],[Start Date]],BD$27&lt;ProposalToGnatt[[#This Row],[Start Date]]+ProposalToGnatt[[#This Row],[Days]]),$G$5,"")),"")</f>
        <v/>
      </c>
      <c r="BE65" s="36" t="str">
        <f ca="1">IFERROR(+IF(BE$27=ProposalToGnatt[[#This Row],[Start Date]],Milestone_Marker,IF(AND(BE$27&gt;ProposalToGnatt[[#This Row],[Start Date]],BE$27&lt;ProposalToGnatt[[#This Row],[Start Date]]+ProposalToGnatt[[#This Row],[Days]]),$G$5,"")),"")</f>
        <v/>
      </c>
      <c r="BF65" s="36" t="str">
        <f ca="1">IFERROR(+IF(BF$27=ProposalToGnatt[[#This Row],[Start Date]],Milestone_Marker,IF(AND(BF$27&gt;ProposalToGnatt[[#This Row],[Start Date]],BF$27&lt;ProposalToGnatt[[#This Row],[Start Date]]+ProposalToGnatt[[#This Row],[Days]]),$G$5,"")),"")</f>
        <v/>
      </c>
      <c r="BG65" s="36" t="str">
        <f ca="1">IFERROR(+IF(BG$27=ProposalToGnatt[[#This Row],[Start Date]],Milestone_Marker,IF(AND(BG$27&gt;ProposalToGnatt[[#This Row],[Start Date]],BG$27&lt;ProposalToGnatt[[#This Row],[Start Date]]+ProposalToGnatt[[#This Row],[Days]]),$G$5,"")),"")</f>
        <v/>
      </c>
      <c r="BH65" s="36" t="str">
        <f ca="1">IFERROR(+IF(BH$27=ProposalToGnatt[[#This Row],[Start Date]],Milestone_Marker,IF(AND(BH$27&gt;ProposalToGnatt[[#This Row],[Start Date]],BH$27&lt;ProposalToGnatt[[#This Row],[Start Date]]+ProposalToGnatt[[#This Row],[Days]]),$G$5,"")),"")</f>
        <v/>
      </c>
      <c r="BI65" s="36" t="str">
        <f ca="1">IFERROR(+IF(BI$27=ProposalToGnatt[[#This Row],[Start Date]],Milestone_Marker,IF(AND(BI$27&gt;ProposalToGnatt[[#This Row],[Start Date]],BI$27&lt;ProposalToGnatt[[#This Row],[Start Date]]+ProposalToGnatt[[#This Row],[Days]]),$G$5,"")),"")</f>
        <v/>
      </c>
      <c r="BJ65" s="36" t="str">
        <f ca="1">IFERROR(+IF(BJ$27=ProposalToGnatt[[#This Row],[Start Date]],Milestone_Marker,IF(AND(BJ$27&gt;ProposalToGnatt[[#This Row],[Start Date]],BJ$27&lt;ProposalToGnatt[[#This Row],[Start Date]]+ProposalToGnatt[[#This Row],[Days]]),$G$5,"")),"")</f>
        <v/>
      </c>
      <c r="BK65" s="36" t="str">
        <f ca="1">IFERROR(+IF(BK$27=ProposalToGnatt[[#This Row],[Start Date]],Milestone_Marker,IF(AND(BK$27&gt;ProposalToGnatt[[#This Row],[Start Date]],BK$27&lt;ProposalToGnatt[[#This Row],[Start Date]]+ProposalToGnatt[[#This Row],[Days]]),$G$5,"")),"")</f>
        <v/>
      </c>
      <c r="BL65" s="36" t="str">
        <f ca="1">IFERROR(+IF(BL$27=ProposalToGnatt[[#This Row],[Start Date]],Milestone_Marker,IF(AND(BL$27&gt;ProposalToGnatt[[#This Row],[Start Date]],BL$27&lt;ProposalToGnatt[[#This Row],[Start Date]]+ProposalToGnatt[[#This Row],[Days]]),$G$5,"")),"")</f>
        <v/>
      </c>
      <c r="BM65" s="36" t="str">
        <f ca="1">IFERROR(+IF(BM$27=ProposalToGnatt[[#This Row],[Start Date]],Milestone_Marker,IF(AND(BM$27&gt;ProposalToGnatt[[#This Row],[Start Date]],BM$27&lt;ProposalToGnatt[[#This Row],[Start Date]]+ProposalToGnatt[[#This Row],[Days]]),$G$5,"")),"")</f>
        <v/>
      </c>
      <c r="BN65" s="36" t="str">
        <f ca="1">IFERROR(+IF(BN$27=ProposalToGnatt[[#This Row],[Start Date]],Milestone_Marker,IF(AND(BN$27&gt;ProposalToGnatt[[#This Row],[Start Date]],BN$27&lt;ProposalToGnatt[[#This Row],[Start Date]]+ProposalToGnatt[[#This Row],[Days]]),$G$5,"")),"")</f>
        <v/>
      </c>
      <c r="BO65" s="36" t="str">
        <f ca="1">IFERROR(+IF(BO$27=ProposalToGnatt[[#This Row],[Start Date]],Milestone_Marker,IF(AND(BO$27&gt;ProposalToGnatt[[#This Row],[Start Date]],BO$27&lt;ProposalToGnatt[[#This Row],[Start Date]]+ProposalToGnatt[[#This Row],[Days]]),$G$5,"")),"")</f>
        <v/>
      </c>
      <c r="BP65" s="36" t="str">
        <f ca="1">IFERROR(+IF(BP$27=ProposalToGnatt[[#This Row],[Start Date]],Milestone_Marker,IF(AND(BP$27&gt;ProposalToGnatt[[#This Row],[Start Date]],BP$27&lt;ProposalToGnatt[[#This Row],[Start Date]]+ProposalToGnatt[[#This Row],[Days]]),$G$5,"")),"")</f>
        <v/>
      </c>
      <c r="BQ65" s="36" t="str">
        <f ca="1">IFERROR(+IF(BQ$27=ProposalToGnatt[[#This Row],[Start Date]],Milestone_Marker,IF(AND(BQ$27&gt;ProposalToGnatt[[#This Row],[Start Date]],BQ$27&lt;ProposalToGnatt[[#This Row],[Start Date]]+ProposalToGnatt[[#This Row],[Days]]),$G$5,"")),"")</f>
        <v/>
      </c>
      <c r="BR65" s="36" t="str">
        <f ca="1">IFERROR(+IF(BR$27=ProposalToGnatt[[#This Row],[Start Date]],Milestone_Marker,IF(AND(BR$27&gt;ProposalToGnatt[[#This Row],[Start Date]],BR$27&lt;ProposalToGnatt[[#This Row],[Start Date]]+ProposalToGnatt[[#This Row],[Days]]),$G$5,"")),"")</f>
        <v/>
      </c>
      <c r="BS65" s="36" t="str">
        <f ca="1">IFERROR(+IF(BS$27=ProposalToGnatt[[#This Row],[Start Date]],Milestone_Marker,IF(AND(BS$27&gt;ProposalToGnatt[[#This Row],[Start Date]],BS$27&lt;ProposalToGnatt[[#This Row],[Start Date]]+ProposalToGnatt[[#This Row],[Days]]),$G$5,"")),"")</f>
        <v/>
      </c>
      <c r="BT65" s="36" t="str">
        <f ca="1">IFERROR(+IF(BT$27=ProposalToGnatt[[#This Row],[Start Date]],Milestone_Marker,IF(AND(BT$27&gt;ProposalToGnatt[[#This Row],[Start Date]],BT$27&lt;ProposalToGnatt[[#This Row],[Start Date]]+ProposalToGnatt[[#This Row],[Days]]),$G$5,"")),"")</f>
        <v/>
      </c>
      <c r="BU65" s="36" t="str">
        <f ca="1">IFERROR(+IF(BU$27=ProposalToGnatt[[#This Row],[Start Date]],Milestone_Marker,IF(AND(BU$27&gt;ProposalToGnatt[[#This Row],[Start Date]],BU$27&lt;ProposalToGnatt[[#This Row],[Start Date]]+ProposalToGnatt[[#This Row],[Days]]),$G$5,"")),"")</f>
        <v/>
      </c>
      <c r="BV65" s="36" t="str">
        <f ca="1">IFERROR(+IF(BV$27=ProposalToGnatt[[#This Row],[Start Date]],Milestone_Marker,IF(AND(BV$27&gt;ProposalToGnatt[[#This Row],[Start Date]],BV$27&lt;ProposalToGnatt[[#This Row],[Start Date]]+ProposalToGnatt[[#This Row],[Days]]),$G$5,"")),"")</f>
        <v/>
      </c>
      <c r="BW65" s="36" t="str">
        <f ca="1">IFERROR(+IF(BW$27=ProposalToGnatt[[#This Row],[Start Date]],Milestone_Marker,IF(AND(BW$27&gt;ProposalToGnatt[[#This Row],[Start Date]],BW$27&lt;ProposalToGnatt[[#This Row],[Start Date]]+ProposalToGnatt[[#This Row],[Days]]),$G$5,"")),"")</f>
        <v/>
      </c>
      <c r="BX65" s="36" t="str">
        <f ca="1">IFERROR(+IF(BX$27=ProposalToGnatt[[#This Row],[Start Date]],Milestone_Marker,IF(AND(BX$27&gt;ProposalToGnatt[[#This Row],[Start Date]],BX$27&lt;ProposalToGnatt[[#This Row],[Start Date]]+ProposalToGnatt[[#This Row],[Days]]),$G$5,"")),"")</f>
        <v/>
      </c>
      <c r="BY65" s="36" t="str">
        <f ca="1">IFERROR(+IF(BY$27=ProposalToGnatt[[#This Row],[Start Date]],Milestone_Marker,IF(AND(BY$27&gt;ProposalToGnatt[[#This Row],[Start Date]],BY$27&lt;ProposalToGnatt[[#This Row],[Start Date]]+ProposalToGnatt[[#This Row],[Days]]),$G$5,"")),"")</f>
        <v/>
      </c>
      <c r="BZ65" s="36" t="str">
        <f ca="1">IFERROR(+IF(BZ$27=ProposalToGnatt[[#This Row],[Start Date]],Milestone_Marker,IF(AND(BZ$27&gt;ProposalToGnatt[[#This Row],[Start Date]],BZ$27&lt;ProposalToGnatt[[#This Row],[Start Date]]+ProposalToGnatt[[#This Row],[Days]]),$G$5,"")),"")</f>
        <v/>
      </c>
      <c r="CA65" s="36" t="str">
        <f ca="1">IFERROR(+IF(CA$27=ProposalToGnatt[[#This Row],[Start Date]],Milestone_Marker,IF(AND(CA$27&gt;ProposalToGnatt[[#This Row],[Start Date]],CA$27&lt;ProposalToGnatt[[#This Row],[Start Date]]+ProposalToGnatt[[#This Row],[Days]]),$G$5,"")),"")</f>
        <v/>
      </c>
      <c r="CB65" s="36" t="str">
        <f ca="1">IFERROR(+IF(CB$27=ProposalToGnatt[[#This Row],[Start Date]],Milestone_Marker,IF(AND(CB$27&gt;ProposalToGnatt[[#This Row],[Start Date]],CB$27&lt;ProposalToGnatt[[#This Row],[Start Date]]+ProposalToGnatt[[#This Row],[Days]]),$G$5,"")),"")</f>
        <v/>
      </c>
      <c r="CC65" s="36" t="str">
        <f ca="1">IFERROR(+IF(CC$27=ProposalToGnatt[[#This Row],[Start Date]],Milestone_Marker,IF(AND(CC$27&gt;ProposalToGnatt[[#This Row],[Start Date]],CC$27&lt;ProposalToGnatt[[#This Row],[Start Date]]+ProposalToGnatt[[#This Row],[Days]]),$G$5,"")),"")</f>
        <v/>
      </c>
      <c r="CD65" s="36" t="str">
        <f ca="1">IFERROR(+IF(CD$27=ProposalToGnatt[[#This Row],[Start Date]],Milestone_Marker,IF(AND(CD$27&gt;ProposalToGnatt[[#This Row],[Start Date]],CD$27&lt;ProposalToGnatt[[#This Row],[Start Date]]+ProposalToGnatt[[#This Row],[Days]]),$G$5,"")),"")</f>
        <v/>
      </c>
      <c r="CE65" s="36" t="str">
        <f ca="1">IFERROR(+IF(CE$27=ProposalToGnatt[[#This Row],[Start Date]],Milestone_Marker,IF(AND(CE$27&gt;ProposalToGnatt[[#This Row],[Start Date]],CE$27&lt;ProposalToGnatt[[#This Row],[Start Date]]+ProposalToGnatt[[#This Row],[Days]]),$G$5,"")),"")</f>
        <v/>
      </c>
      <c r="CF65" s="36" t="str">
        <f ca="1">IFERROR(+IF(CF$27=ProposalToGnatt[[#This Row],[Start Date]],Milestone_Marker,IF(AND(CF$27&gt;ProposalToGnatt[[#This Row],[Start Date]],CF$27&lt;ProposalToGnatt[[#This Row],[Start Date]]+ProposalToGnatt[[#This Row],[Days]]),$G$5,"")),"")</f>
        <v/>
      </c>
      <c r="CG65" s="36" t="str">
        <f ca="1">IFERROR(+IF(CG$27=ProposalToGnatt[[#This Row],[Start Date]],Milestone_Marker,IF(AND(CG$27&gt;ProposalToGnatt[[#This Row],[Start Date]],CG$27&lt;ProposalToGnatt[[#This Row],[Start Date]]+ProposalToGnatt[[#This Row],[Days]]),$G$5,"")),"")</f>
        <v/>
      </c>
      <c r="CH65" s="36" t="str">
        <f ca="1">IFERROR(+IF(CH$27=ProposalToGnatt[[#This Row],[Start Date]],Milestone_Marker,IF(AND(CH$27&gt;ProposalToGnatt[[#This Row],[Start Date]],CH$27&lt;ProposalToGnatt[[#This Row],[Start Date]]+ProposalToGnatt[[#This Row],[Days]]),$G$5,"")),"")</f>
        <v/>
      </c>
      <c r="CI65" s="36" t="str">
        <f ca="1">IFERROR(+IF(CI$27=ProposalToGnatt[[#This Row],[Start Date]],Milestone_Marker,IF(AND(CI$27&gt;ProposalToGnatt[[#This Row],[Start Date]],CI$27&lt;ProposalToGnatt[[#This Row],[Start Date]]+ProposalToGnatt[[#This Row],[Days]]),$G$5,"")),"")</f>
        <v/>
      </c>
      <c r="CJ65" s="36" t="str">
        <f ca="1">IFERROR(+IF(CJ$27=ProposalToGnatt[[#This Row],[Start Date]],Milestone_Marker,IF(AND(CJ$27&gt;ProposalToGnatt[[#This Row],[Start Date]],CJ$27&lt;ProposalToGnatt[[#This Row],[Start Date]]+ProposalToGnatt[[#This Row],[Days]]),$G$5,"")),"")</f>
        <v/>
      </c>
      <c r="CK65" s="36" t="str">
        <f ca="1">IFERROR(+IF(CK$27=ProposalToGnatt[[#This Row],[Start Date]],Milestone_Marker,IF(AND(CK$27&gt;ProposalToGnatt[[#This Row],[Start Date]],CK$27&lt;ProposalToGnatt[[#This Row],[Start Date]]+ProposalToGnatt[[#This Row],[Days]]),$G$5,"")),"")</f>
        <v/>
      </c>
      <c r="CL65" s="36" t="str">
        <f ca="1">IFERROR(+IF(CL$27=ProposalToGnatt[[#This Row],[Start Date]],Milestone_Marker,IF(AND(CL$27&gt;ProposalToGnatt[[#This Row],[Start Date]],CL$27&lt;ProposalToGnatt[[#This Row],[Start Date]]+ProposalToGnatt[[#This Row],[Days]]),$G$5,"")),"")</f>
        <v/>
      </c>
      <c r="CM65" s="36" t="str">
        <f ca="1">IFERROR(+IF(CM$27=ProposalToGnatt[[#This Row],[Start Date]],Milestone_Marker,IF(AND(CM$27&gt;ProposalToGnatt[[#This Row],[Start Date]],CM$27&lt;ProposalToGnatt[[#This Row],[Start Date]]+ProposalToGnatt[[#This Row],[Days]]),$G$5,"")),"")</f>
        <v/>
      </c>
      <c r="CN65" s="36" t="str">
        <f ca="1">IFERROR(+IF(CN$27=ProposalToGnatt[[#This Row],[Start Date]],Milestone_Marker,IF(AND(CN$27&gt;ProposalToGnatt[[#This Row],[Start Date]],CN$27&lt;ProposalToGnatt[[#This Row],[Start Date]]+ProposalToGnatt[[#This Row],[Days]]),$G$5,"")),"")</f>
        <v/>
      </c>
      <c r="CO65" s="36" t="str">
        <f ca="1">IFERROR(+IF(CO$27=ProposalToGnatt[[#This Row],[Start Date]],Milestone_Marker,IF(AND(CO$27&gt;ProposalToGnatt[[#This Row],[Start Date]],CO$27&lt;ProposalToGnatt[[#This Row],[Start Date]]+ProposalToGnatt[[#This Row],[Days]]),$G$5,"")),"")</f>
        <v/>
      </c>
      <c r="CP65" s="36" t="str">
        <f ca="1">IFERROR(+IF(CP$27=ProposalToGnatt[[#This Row],[Start Date]],Milestone_Marker,IF(AND(CP$27&gt;ProposalToGnatt[[#This Row],[Start Date]],CP$27&lt;ProposalToGnatt[[#This Row],[Start Date]]+ProposalToGnatt[[#This Row],[Days]]),$G$5,"")),"")</f>
        <v/>
      </c>
      <c r="CQ65" s="36" t="str">
        <f ca="1">IFERROR(+IF(CQ$27=ProposalToGnatt[[#This Row],[Start Date]],Milestone_Marker,IF(AND(CQ$27&gt;ProposalToGnatt[[#This Row],[Start Date]],CQ$27&lt;ProposalToGnatt[[#This Row],[Start Date]]+ProposalToGnatt[[#This Row],[Days]]),$G$5,"")),"")</f>
        <v/>
      </c>
      <c r="CR65" s="36" t="str">
        <f ca="1">IFERROR(+IF(CR$27=ProposalToGnatt[[#This Row],[Start Date]],Milestone_Marker,IF(AND(CR$27&gt;ProposalToGnatt[[#This Row],[Start Date]],CR$27&lt;ProposalToGnatt[[#This Row],[Start Date]]+ProposalToGnatt[[#This Row],[Days]]),$G$5,"")),"")</f>
        <v/>
      </c>
      <c r="CS65" s="36" t="str">
        <f ca="1">IFERROR(+IF(CS$27=ProposalToGnatt[[#This Row],[Start Date]],Milestone_Marker,IF(AND(CS$27&gt;ProposalToGnatt[[#This Row],[Start Date]],CS$27&lt;ProposalToGnatt[[#This Row],[Start Date]]+ProposalToGnatt[[#This Row],[Days]]),$G$5,"")),"")</f>
        <v/>
      </c>
      <c r="CT65" s="36" t="str">
        <f ca="1">IFERROR(+IF(CT$27=ProposalToGnatt[[#This Row],[Start Date]],Milestone_Marker,IF(AND(CT$27&gt;ProposalToGnatt[[#This Row],[Start Date]],CT$27&lt;ProposalToGnatt[[#This Row],[Start Date]]+ProposalToGnatt[[#This Row],[Days]]),$G$5,"")),"")</f>
        <v/>
      </c>
      <c r="CU65" s="36" t="str">
        <f ca="1">IFERROR(+IF(CU$27=ProposalToGnatt[[#This Row],[Start Date]],Milestone_Marker,IF(AND(CU$27&gt;ProposalToGnatt[[#This Row],[Start Date]],CU$27&lt;ProposalToGnatt[[#This Row],[Start Date]]+ProposalToGnatt[[#This Row],[Days]]),$G$5,"")),"")</f>
        <v/>
      </c>
      <c r="CV65" s="36"/>
      <c r="CW65" s="36"/>
      <c r="CX65" s="36"/>
      <c r="CY65" s="36"/>
      <c r="CZ65" s="36"/>
      <c r="DA65" s="36"/>
      <c r="DB65" s="36"/>
      <c r="DC65" s="36"/>
      <c r="DD65" s="36"/>
      <c r="DE65" s="36"/>
      <c r="DF65" s="36"/>
      <c r="DG65" s="36"/>
      <c r="DH65" s="36"/>
      <c r="DI65" s="36"/>
      <c r="DJ65" s="36"/>
      <c r="DK65" s="36"/>
      <c r="DL65" s="36"/>
      <c r="DM65" s="36"/>
      <c r="DN65" s="36"/>
      <c r="DO65" s="36"/>
      <c r="DP65" s="36"/>
      <c r="DQ65" s="36"/>
      <c r="DR65" s="36"/>
      <c r="DS65" s="36"/>
      <c r="DT65" s="36"/>
      <c r="DU65" s="36"/>
    </row>
    <row r="66" spans="1:125" s="41" customFormat="1" ht="15" x14ac:dyDescent="0.25">
      <c r="A66"/>
      <c r="B66"/>
      <c r="C66"/>
      <c r="D66"/>
      <c r="E66"/>
      <c r="F66"/>
      <c r="G66" s="14"/>
      <c r="H66" s="14"/>
      <c r="I66"/>
      <c r="J66"/>
      <c r="K66" s="246"/>
      <c r="L66"/>
      <c r="M66" s="14"/>
      <c r="N66" s="299"/>
      <c r="O66" s="281"/>
      <c r="P66" s="36" t="str">
        <f ca="1">IFERROR(+IF(P$27=ProposalToGnatt[[#This Row],[Start Date]],Milestone_Marker,IF(AND(P$27&gt;ProposalToGnatt[[#This Row],[Start Date]],P$27&lt;ProposalToGnatt[[#This Row],[Start Date]]+ProposalToGnatt[[#This Row],[Days]]),$G$5,"")),"")</f>
        <v/>
      </c>
      <c r="Q66" s="36" t="str">
        <f ca="1">IFERROR(+IF(Q$27=ProposalToGnatt[[#This Row],[Start Date]],Milestone_Marker,IF(AND(Q$27&gt;ProposalToGnatt[[#This Row],[Start Date]],Q$27&lt;ProposalToGnatt[[#This Row],[Start Date]]+ProposalToGnatt[[#This Row],[Days]]),$G$5,"")),"")</f>
        <v/>
      </c>
      <c r="R66" s="36" t="str">
        <f ca="1">IFERROR(+IF(R$27=ProposalToGnatt[[#This Row],[Start Date]],Milestone_Marker,IF(AND(R$27&gt;ProposalToGnatt[[#This Row],[Start Date]],R$27&lt;ProposalToGnatt[[#This Row],[Start Date]]+ProposalToGnatt[[#This Row],[Days]]),$G$5,"")),"")</f>
        <v/>
      </c>
      <c r="S66" s="36" t="str">
        <f ca="1">IFERROR(+IF(S$27=ProposalToGnatt[[#This Row],[Start Date]],Milestone_Marker,IF(AND(S$27&gt;ProposalToGnatt[[#This Row],[Start Date]],S$27&lt;ProposalToGnatt[[#This Row],[Start Date]]+ProposalToGnatt[[#This Row],[Days]]),$G$5,"")),"")</f>
        <v/>
      </c>
      <c r="T66" s="36" t="str">
        <f ca="1">IFERROR(+IF(T$27=ProposalToGnatt[[#This Row],[Start Date]],Milestone_Marker,IF(AND(T$27&gt;ProposalToGnatt[[#This Row],[Start Date]],T$27&lt;ProposalToGnatt[[#This Row],[Start Date]]+ProposalToGnatt[[#This Row],[Days]]),$G$5,"")),"")</f>
        <v/>
      </c>
      <c r="U66" s="36" t="str">
        <f ca="1">IFERROR(+IF(U$27=ProposalToGnatt[[#This Row],[Start Date]],Milestone_Marker,IF(AND(U$27&gt;ProposalToGnatt[[#This Row],[Start Date]],U$27&lt;ProposalToGnatt[[#This Row],[Start Date]]+ProposalToGnatt[[#This Row],[Days]]),$G$5,"")),"")</f>
        <v/>
      </c>
      <c r="V66" s="36" t="str">
        <f ca="1">IFERROR(+IF(V$27=ProposalToGnatt[[#This Row],[Start Date]],Milestone_Marker,IF(AND(V$27&gt;ProposalToGnatt[[#This Row],[Start Date]],V$27&lt;ProposalToGnatt[[#This Row],[Start Date]]+ProposalToGnatt[[#This Row],[Days]]),$G$5,"")),"")</f>
        <v/>
      </c>
      <c r="W66" s="36" t="str">
        <f ca="1">IFERROR(+IF(W$27=ProposalToGnatt[[#This Row],[Start Date]],Milestone_Marker,IF(AND(W$27&gt;ProposalToGnatt[[#This Row],[Start Date]],W$27&lt;ProposalToGnatt[[#This Row],[Start Date]]+ProposalToGnatt[[#This Row],[Days]]),$G$5,"")),"")</f>
        <v/>
      </c>
      <c r="X66" s="36" t="str">
        <f ca="1">IFERROR(+IF(X$27=ProposalToGnatt[[#This Row],[Start Date]],Milestone_Marker,IF(AND(X$27&gt;ProposalToGnatt[[#This Row],[Start Date]],X$27&lt;ProposalToGnatt[[#This Row],[Start Date]]+ProposalToGnatt[[#This Row],[Days]]),$G$5,"")),"")</f>
        <v/>
      </c>
      <c r="Y66" s="36" t="str">
        <f ca="1">IFERROR(+IF(Y$27=ProposalToGnatt[[#This Row],[Start Date]],Milestone_Marker,IF(AND(Y$27&gt;ProposalToGnatt[[#This Row],[Start Date]],Y$27&lt;ProposalToGnatt[[#This Row],[Start Date]]+ProposalToGnatt[[#This Row],[Days]]),$G$5,"")),"")</f>
        <v/>
      </c>
      <c r="Z66" s="36" t="str">
        <f ca="1">IFERROR(+IF(Z$27=ProposalToGnatt[[#This Row],[Start Date]],Milestone_Marker,IF(AND(Z$27&gt;ProposalToGnatt[[#This Row],[Start Date]],Z$27&lt;ProposalToGnatt[[#This Row],[Start Date]]+ProposalToGnatt[[#This Row],[Days]]),$G$5,"")),"")</f>
        <v/>
      </c>
      <c r="AA66" s="36" t="str">
        <f ca="1">IFERROR(+IF(AA$27=ProposalToGnatt[[#This Row],[Start Date]],Milestone_Marker,IF(AND(AA$27&gt;ProposalToGnatt[[#This Row],[Start Date]],AA$27&lt;ProposalToGnatt[[#This Row],[Start Date]]+ProposalToGnatt[[#This Row],[Days]]),$G$5,"")),"")</f>
        <v/>
      </c>
      <c r="AB66" s="36" t="str">
        <f ca="1">IFERROR(+IF(AB$27=ProposalToGnatt[[#This Row],[Start Date]],Milestone_Marker,IF(AND(AB$27&gt;ProposalToGnatt[[#This Row],[Start Date]],AB$27&lt;ProposalToGnatt[[#This Row],[Start Date]]+ProposalToGnatt[[#This Row],[Days]]),$G$5,"")),"")</f>
        <v/>
      </c>
      <c r="AC66" s="36" t="str">
        <f ca="1">IFERROR(+IF(AC$27=ProposalToGnatt[[#This Row],[Start Date]],Milestone_Marker,IF(AND(AC$27&gt;ProposalToGnatt[[#This Row],[Start Date]],AC$27&lt;ProposalToGnatt[[#This Row],[Start Date]]+ProposalToGnatt[[#This Row],[Days]]),$G$5,"")),"")</f>
        <v/>
      </c>
      <c r="AD66" s="36" t="str">
        <f ca="1">IFERROR(+IF(AD$27=ProposalToGnatt[[#This Row],[Start Date]],Milestone_Marker,IF(AND(AD$27&gt;ProposalToGnatt[[#This Row],[Start Date]],AD$27&lt;ProposalToGnatt[[#This Row],[Start Date]]+ProposalToGnatt[[#This Row],[Days]]),$G$5,"")),"")</f>
        <v/>
      </c>
      <c r="AE66" s="36" t="str">
        <f ca="1">IFERROR(+IF(AE$27=ProposalToGnatt[[#This Row],[Start Date]],Milestone_Marker,IF(AND(AE$27&gt;ProposalToGnatt[[#This Row],[Start Date]],AE$27&lt;ProposalToGnatt[[#This Row],[Start Date]]+ProposalToGnatt[[#This Row],[Days]]),$G$5,"")),"")</f>
        <v/>
      </c>
      <c r="AF66" s="36" t="str">
        <f ca="1">IFERROR(+IF(AF$27=ProposalToGnatt[[#This Row],[Start Date]],Milestone_Marker,IF(AND(AF$27&gt;ProposalToGnatt[[#This Row],[Start Date]],AF$27&lt;ProposalToGnatt[[#This Row],[Start Date]]+ProposalToGnatt[[#This Row],[Days]]),$G$5,"")),"")</f>
        <v/>
      </c>
      <c r="AG66" s="36" t="str">
        <f ca="1">IFERROR(+IF(AG$27=ProposalToGnatt[[#This Row],[Start Date]],Milestone_Marker,IF(AND(AG$27&gt;ProposalToGnatt[[#This Row],[Start Date]],AG$27&lt;ProposalToGnatt[[#This Row],[Start Date]]+ProposalToGnatt[[#This Row],[Days]]),$G$5,"")),"")</f>
        <v/>
      </c>
      <c r="AH66" s="36" t="str">
        <f ca="1">IFERROR(+IF(AH$27=ProposalToGnatt[[#This Row],[Start Date]],Milestone_Marker,IF(AND(AH$27&gt;ProposalToGnatt[[#This Row],[Start Date]],AH$27&lt;ProposalToGnatt[[#This Row],[Start Date]]+ProposalToGnatt[[#This Row],[Days]]),$G$5,"")),"")</f>
        <v/>
      </c>
      <c r="AI66" s="36" t="str">
        <f ca="1">IFERROR(+IF(AI$27=ProposalToGnatt[[#This Row],[Start Date]],Milestone_Marker,IF(AND(AI$27&gt;ProposalToGnatt[[#This Row],[Start Date]],AI$27&lt;ProposalToGnatt[[#This Row],[Start Date]]+ProposalToGnatt[[#This Row],[Days]]),$G$5,"")),"")</f>
        <v/>
      </c>
      <c r="AJ66" s="36" t="str">
        <f ca="1">IFERROR(+IF(AJ$27=ProposalToGnatt[[#This Row],[Start Date]],Milestone_Marker,IF(AND(AJ$27&gt;ProposalToGnatt[[#This Row],[Start Date]],AJ$27&lt;ProposalToGnatt[[#This Row],[Start Date]]+ProposalToGnatt[[#This Row],[Days]]),$G$5,"")),"")</f>
        <v/>
      </c>
      <c r="AK66" s="36" t="str">
        <f ca="1">IFERROR(+IF(AK$27=ProposalToGnatt[[#This Row],[Start Date]],Milestone_Marker,IF(AND(AK$27&gt;ProposalToGnatt[[#This Row],[Start Date]],AK$27&lt;ProposalToGnatt[[#This Row],[Start Date]]+ProposalToGnatt[[#This Row],[Days]]),$G$5,"")),"")</f>
        <v/>
      </c>
      <c r="AL66" s="36" t="str">
        <f ca="1">IFERROR(+IF(AL$27=ProposalToGnatt[[#This Row],[Start Date]],Milestone_Marker,IF(AND(AL$27&gt;ProposalToGnatt[[#This Row],[Start Date]],AL$27&lt;ProposalToGnatt[[#This Row],[Start Date]]+ProposalToGnatt[[#This Row],[Days]]),$G$5,"")),"")</f>
        <v/>
      </c>
      <c r="AM66" s="36" t="str">
        <f ca="1">IFERROR(+IF(AM$27=ProposalToGnatt[[#This Row],[Start Date]],Milestone_Marker,IF(AND(AM$27&gt;ProposalToGnatt[[#This Row],[Start Date]],AM$27&lt;ProposalToGnatt[[#This Row],[Start Date]]+ProposalToGnatt[[#This Row],[Days]]),$G$5,"")),"")</f>
        <v/>
      </c>
      <c r="AN66" s="36" t="str">
        <f ca="1">IFERROR(+IF(AN$27=ProposalToGnatt[[#This Row],[Start Date]],Milestone_Marker,IF(AND(AN$27&gt;ProposalToGnatt[[#This Row],[Start Date]],AN$27&lt;ProposalToGnatt[[#This Row],[Start Date]]+ProposalToGnatt[[#This Row],[Days]]),$G$5,"")),"")</f>
        <v/>
      </c>
      <c r="AO66" s="36" t="str">
        <f ca="1">IFERROR(+IF(AO$27=ProposalToGnatt[[#This Row],[Start Date]],Milestone_Marker,IF(AND(AO$27&gt;ProposalToGnatt[[#This Row],[Start Date]],AO$27&lt;ProposalToGnatt[[#This Row],[Start Date]]+ProposalToGnatt[[#This Row],[Days]]),$G$5,"")),"")</f>
        <v/>
      </c>
      <c r="AP66" s="36" t="str">
        <f ca="1">IFERROR(+IF(AP$27=ProposalToGnatt[[#This Row],[Start Date]],Milestone_Marker,IF(AND(AP$27&gt;ProposalToGnatt[[#This Row],[Start Date]],AP$27&lt;ProposalToGnatt[[#This Row],[Start Date]]+ProposalToGnatt[[#This Row],[Days]]),$G$5,"")),"")</f>
        <v/>
      </c>
      <c r="AQ66" s="36" t="str">
        <f ca="1">IFERROR(+IF(AQ$27=ProposalToGnatt[[#This Row],[Start Date]],Milestone_Marker,IF(AND(AQ$27&gt;ProposalToGnatt[[#This Row],[Start Date]],AQ$27&lt;ProposalToGnatt[[#This Row],[Start Date]]+ProposalToGnatt[[#This Row],[Days]]),$G$5,"")),"")</f>
        <v/>
      </c>
      <c r="AR66" s="36" t="str">
        <f ca="1">IFERROR(+IF(AR$27=ProposalToGnatt[[#This Row],[Start Date]],Milestone_Marker,IF(AND(AR$27&gt;ProposalToGnatt[[#This Row],[Start Date]],AR$27&lt;ProposalToGnatt[[#This Row],[Start Date]]+ProposalToGnatt[[#This Row],[Days]]),$G$5,"")),"")</f>
        <v/>
      </c>
      <c r="AS66" s="36" t="str">
        <f ca="1">IFERROR(+IF(AS$27=ProposalToGnatt[[#This Row],[Start Date]],Milestone_Marker,IF(AND(AS$27&gt;ProposalToGnatt[[#This Row],[Start Date]],AS$27&lt;ProposalToGnatt[[#This Row],[Start Date]]+ProposalToGnatt[[#This Row],[Days]]),$G$5,"")),"")</f>
        <v/>
      </c>
      <c r="AT66" s="36" t="str">
        <f ca="1">IFERROR(+IF(AT$27=ProposalToGnatt[[#This Row],[Start Date]],Milestone_Marker,IF(AND(AT$27&gt;ProposalToGnatt[[#This Row],[Start Date]],AT$27&lt;ProposalToGnatt[[#This Row],[Start Date]]+ProposalToGnatt[[#This Row],[Days]]),$G$5,"")),"")</f>
        <v/>
      </c>
      <c r="AU66" s="36" t="str">
        <f ca="1">IFERROR(+IF(AU$27=ProposalToGnatt[[#This Row],[Start Date]],Milestone_Marker,IF(AND(AU$27&gt;ProposalToGnatt[[#This Row],[Start Date]],AU$27&lt;ProposalToGnatt[[#This Row],[Start Date]]+ProposalToGnatt[[#This Row],[Days]]),$G$5,"")),"")</f>
        <v/>
      </c>
      <c r="AV66" s="36" t="str">
        <f ca="1">IFERROR(+IF(AV$27=ProposalToGnatt[[#This Row],[Start Date]],Milestone_Marker,IF(AND(AV$27&gt;ProposalToGnatt[[#This Row],[Start Date]],AV$27&lt;ProposalToGnatt[[#This Row],[Start Date]]+ProposalToGnatt[[#This Row],[Days]]),$G$5,"")),"")</f>
        <v/>
      </c>
      <c r="AW66" s="36" t="str">
        <f ca="1">IFERROR(+IF(AW$27=ProposalToGnatt[[#This Row],[Start Date]],Milestone_Marker,IF(AND(AW$27&gt;ProposalToGnatt[[#This Row],[Start Date]],AW$27&lt;ProposalToGnatt[[#This Row],[Start Date]]+ProposalToGnatt[[#This Row],[Days]]),$G$5,"")),"")</f>
        <v/>
      </c>
      <c r="AX66" s="36" t="str">
        <f ca="1">IFERROR(+IF(AX$27=ProposalToGnatt[[#This Row],[Start Date]],Milestone_Marker,IF(AND(AX$27&gt;ProposalToGnatt[[#This Row],[Start Date]],AX$27&lt;ProposalToGnatt[[#This Row],[Start Date]]+ProposalToGnatt[[#This Row],[Days]]),$G$5,"")),"")</f>
        <v/>
      </c>
      <c r="AY66" s="36" t="str">
        <f ca="1">IFERROR(+IF(AY$27=ProposalToGnatt[[#This Row],[Start Date]],Milestone_Marker,IF(AND(AY$27&gt;ProposalToGnatt[[#This Row],[Start Date]],AY$27&lt;ProposalToGnatt[[#This Row],[Start Date]]+ProposalToGnatt[[#This Row],[Days]]),$G$5,"")),"")</f>
        <v/>
      </c>
      <c r="AZ66" s="36" t="str">
        <f ca="1">IFERROR(+IF(AZ$27=ProposalToGnatt[[#This Row],[Start Date]],Milestone_Marker,IF(AND(AZ$27&gt;ProposalToGnatt[[#This Row],[Start Date]],AZ$27&lt;ProposalToGnatt[[#This Row],[Start Date]]+ProposalToGnatt[[#This Row],[Days]]),$G$5,"")),"")</f>
        <v/>
      </c>
      <c r="BA66" s="36" t="str">
        <f ca="1">IFERROR(+IF(BA$27=ProposalToGnatt[[#This Row],[Start Date]],Milestone_Marker,IF(AND(BA$27&gt;ProposalToGnatt[[#This Row],[Start Date]],BA$27&lt;ProposalToGnatt[[#This Row],[Start Date]]+ProposalToGnatt[[#This Row],[Days]]),$G$5,"")),"")</f>
        <v/>
      </c>
      <c r="BB66" s="36" t="str">
        <f ca="1">IFERROR(+IF(BB$27=ProposalToGnatt[[#This Row],[Start Date]],Milestone_Marker,IF(AND(BB$27&gt;ProposalToGnatt[[#This Row],[Start Date]],BB$27&lt;ProposalToGnatt[[#This Row],[Start Date]]+ProposalToGnatt[[#This Row],[Days]]),$G$5,"")),"")</f>
        <v/>
      </c>
      <c r="BC66" s="36" t="str">
        <f ca="1">IFERROR(+IF(BC$27=ProposalToGnatt[[#This Row],[Start Date]],Milestone_Marker,IF(AND(BC$27&gt;ProposalToGnatt[[#This Row],[Start Date]],BC$27&lt;ProposalToGnatt[[#This Row],[Start Date]]+ProposalToGnatt[[#This Row],[Days]]),$G$5,"")),"")</f>
        <v/>
      </c>
      <c r="BD66" s="36" t="str">
        <f ca="1">IFERROR(+IF(BD$27=ProposalToGnatt[[#This Row],[Start Date]],Milestone_Marker,IF(AND(BD$27&gt;ProposalToGnatt[[#This Row],[Start Date]],BD$27&lt;ProposalToGnatt[[#This Row],[Start Date]]+ProposalToGnatt[[#This Row],[Days]]),$G$5,"")),"")</f>
        <v/>
      </c>
      <c r="BE66" s="36" t="str">
        <f ca="1">IFERROR(+IF(BE$27=ProposalToGnatt[[#This Row],[Start Date]],Milestone_Marker,IF(AND(BE$27&gt;ProposalToGnatt[[#This Row],[Start Date]],BE$27&lt;ProposalToGnatt[[#This Row],[Start Date]]+ProposalToGnatt[[#This Row],[Days]]),$G$5,"")),"")</f>
        <v/>
      </c>
      <c r="BF66" s="36" t="str">
        <f ca="1">IFERROR(+IF(BF$27=ProposalToGnatt[[#This Row],[Start Date]],Milestone_Marker,IF(AND(BF$27&gt;ProposalToGnatt[[#This Row],[Start Date]],BF$27&lt;ProposalToGnatt[[#This Row],[Start Date]]+ProposalToGnatt[[#This Row],[Days]]),$G$5,"")),"")</f>
        <v/>
      </c>
      <c r="BG66" s="36" t="str">
        <f ca="1">IFERROR(+IF(BG$27=ProposalToGnatt[[#This Row],[Start Date]],Milestone_Marker,IF(AND(BG$27&gt;ProposalToGnatt[[#This Row],[Start Date]],BG$27&lt;ProposalToGnatt[[#This Row],[Start Date]]+ProposalToGnatt[[#This Row],[Days]]),$G$5,"")),"")</f>
        <v/>
      </c>
      <c r="BH66" s="36" t="str">
        <f ca="1">IFERROR(+IF(BH$27=ProposalToGnatt[[#This Row],[Start Date]],Milestone_Marker,IF(AND(BH$27&gt;ProposalToGnatt[[#This Row],[Start Date]],BH$27&lt;ProposalToGnatt[[#This Row],[Start Date]]+ProposalToGnatt[[#This Row],[Days]]),$G$5,"")),"")</f>
        <v/>
      </c>
      <c r="BI66" s="36" t="str">
        <f ca="1">IFERROR(+IF(BI$27=ProposalToGnatt[[#This Row],[Start Date]],Milestone_Marker,IF(AND(BI$27&gt;ProposalToGnatt[[#This Row],[Start Date]],BI$27&lt;ProposalToGnatt[[#This Row],[Start Date]]+ProposalToGnatt[[#This Row],[Days]]),$G$5,"")),"")</f>
        <v/>
      </c>
      <c r="BJ66" s="36" t="str">
        <f ca="1">IFERROR(+IF(BJ$27=ProposalToGnatt[[#This Row],[Start Date]],Milestone_Marker,IF(AND(BJ$27&gt;ProposalToGnatt[[#This Row],[Start Date]],BJ$27&lt;ProposalToGnatt[[#This Row],[Start Date]]+ProposalToGnatt[[#This Row],[Days]]),$G$5,"")),"")</f>
        <v/>
      </c>
      <c r="BK66" s="36" t="str">
        <f ca="1">IFERROR(+IF(BK$27=ProposalToGnatt[[#This Row],[Start Date]],Milestone_Marker,IF(AND(BK$27&gt;ProposalToGnatt[[#This Row],[Start Date]],BK$27&lt;ProposalToGnatt[[#This Row],[Start Date]]+ProposalToGnatt[[#This Row],[Days]]),$G$5,"")),"")</f>
        <v/>
      </c>
      <c r="BL66" s="36" t="str">
        <f ca="1">IFERROR(+IF(BL$27=ProposalToGnatt[[#This Row],[Start Date]],Milestone_Marker,IF(AND(BL$27&gt;ProposalToGnatt[[#This Row],[Start Date]],BL$27&lt;ProposalToGnatt[[#This Row],[Start Date]]+ProposalToGnatt[[#This Row],[Days]]),$G$5,"")),"")</f>
        <v/>
      </c>
      <c r="BM66" s="36" t="str">
        <f ca="1">IFERROR(+IF(BM$27=ProposalToGnatt[[#This Row],[Start Date]],Milestone_Marker,IF(AND(BM$27&gt;ProposalToGnatt[[#This Row],[Start Date]],BM$27&lt;ProposalToGnatt[[#This Row],[Start Date]]+ProposalToGnatt[[#This Row],[Days]]),$G$5,"")),"")</f>
        <v/>
      </c>
      <c r="BN66" s="36" t="str">
        <f ca="1">IFERROR(+IF(BN$27=ProposalToGnatt[[#This Row],[Start Date]],Milestone_Marker,IF(AND(BN$27&gt;ProposalToGnatt[[#This Row],[Start Date]],BN$27&lt;ProposalToGnatt[[#This Row],[Start Date]]+ProposalToGnatt[[#This Row],[Days]]),$G$5,"")),"")</f>
        <v/>
      </c>
      <c r="BO66" s="36" t="str">
        <f ca="1">IFERROR(+IF(BO$27=ProposalToGnatt[[#This Row],[Start Date]],Milestone_Marker,IF(AND(BO$27&gt;ProposalToGnatt[[#This Row],[Start Date]],BO$27&lt;ProposalToGnatt[[#This Row],[Start Date]]+ProposalToGnatt[[#This Row],[Days]]),$G$5,"")),"")</f>
        <v/>
      </c>
      <c r="BP66" s="36" t="str">
        <f ca="1">IFERROR(+IF(BP$27=ProposalToGnatt[[#This Row],[Start Date]],Milestone_Marker,IF(AND(BP$27&gt;ProposalToGnatt[[#This Row],[Start Date]],BP$27&lt;ProposalToGnatt[[#This Row],[Start Date]]+ProposalToGnatt[[#This Row],[Days]]),$G$5,"")),"")</f>
        <v/>
      </c>
      <c r="BQ66" s="36" t="str">
        <f ca="1">IFERROR(+IF(BQ$27=ProposalToGnatt[[#This Row],[Start Date]],Milestone_Marker,IF(AND(BQ$27&gt;ProposalToGnatt[[#This Row],[Start Date]],BQ$27&lt;ProposalToGnatt[[#This Row],[Start Date]]+ProposalToGnatt[[#This Row],[Days]]),$G$5,"")),"")</f>
        <v/>
      </c>
      <c r="BR66" s="36" t="str">
        <f ca="1">IFERROR(+IF(BR$27=ProposalToGnatt[[#This Row],[Start Date]],Milestone_Marker,IF(AND(BR$27&gt;ProposalToGnatt[[#This Row],[Start Date]],BR$27&lt;ProposalToGnatt[[#This Row],[Start Date]]+ProposalToGnatt[[#This Row],[Days]]),$G$5,"")),"")</f>
        <v/>
      </c>
      <c r="BS66" s="36" t="str">
        <f ca="1">IFERROR(+IF(BS$27=ProposalToGnatt[[#This Row],[Start Date]],Milestone_Marker,IF(AND(BS$27&gt;ProposalToGnatt[[#This Row],[Start Date]],BS$27&lt;ProposalToGnatt[[#This Row],[Start Date]]+ProposalToGnatt[[#This Row],[Days]]),$G$5,"")),"")</f>
        <v/>
      </c>
      <c r="BT66" s="36" t="str">
        <f ca="1">IFERROR(+IF(BT$27=ProposalToGnatt[[#This Row],[Start Date]],Milestone_Marker,IF(AND(BT$27&gt;ProposalToGnatt[[#This Row],[Start Date]],BT$27&lt;ProposalToGnatt[[#This Row],[Start Date]]+ProposalToGnatt[[#This Row],[Days]]),$G$5,"")),"")</f>
        <v/>
      </c>
      <c r="BU66" s="36" t="str">
        <f ca="1">IFERROR(+IF(BU$27=ProposalToGnatt[[#This Row],[Start Date]],Milestone_Marker,IF(AND(BU$27&gt;ProposalToGnatt[[#This Row],[Start Date]],BU$27&lt;ProposalToGnatt[[#This Row],[Start Date]]+ProposalToGnatt[[#This Row],[Days]]),$G$5,"")),"")</f>
        <v/>
      </c>
      <c r="BV66" s="36" t="str">
        <f ca="1">IFERROR(+IF(BV$27=ProposalToGnatt[[#This Row],[Start Date]],Milestone_Marker,IF(AND(BV$27&gt;ProposalToGnatt[[#This Row],[Start Date]],BV$27&lt;ProposalToGnatt[[#This Row],[Start Date]]+ProposalToGnatt[[#This Row],[Days]]),$G$5,"")),"")</f>
        <v/>
      </c>
      <c r="BW66" s="36" t="str">
        <f ca="1">IFERROR(+IF(BW$27=ProposalToGnatt[[#This Row],[Start Date]],Milestone_Marker,IF(AND(BW$27&gt;ProposalToGnatt[[#This Row],[Start Date]],BW$27&lt;ProposalToGnatt[[#This Row],[Start Date]]+ProposalToGnatt[[#This Row],[Days]]),$G$5,"")),"")</f>
        <v/>
      </c>
      <c r="BX66" s="36" t="str">
        <f ca="1">IFERROR(+IF(BX$27=ProposalToGnatt[[#This Row],[Start Date]],Milestone_Marker,IF(AND(BX$27&gt;ProposalToGnatt[[#This Row],[Start Date]],BX$27&lt;ProposalToGnatt[[#This Row],[Start Date]]+ProposalToGnatt[[#This Row],[Days]]),$G$5,"")),"")</f>
        <v/>
      </c>
      <c r="BY66" s="36" t="str">
        <f ca="1">IFERROR(+IF(BY$27=ProposalToGnatt[[#This Row],[Start Date]],Milestone_Marker,IF(AND(BY$27&gt;ProposalToGnatt[[#This Row],[Start Date]],BY$27&lt;ProposalToGnatt[[#This Row],[Start Date]]+ProposalToGnatt[[#This Row],[Days]]),$G$5,"")),"")</f>
        <v/>
      </c>
      <c r="BZ66" s="36" t="str">
        <f ca="1">IFERROR(+IF(BZ$27=ProposalToGnatt[[#This Row],[Start Date]],Milestone_Marker,IF(AND(BZ$27&gt;ProposalToGnatt[[#This Row],[Start Date]],BZ$27&lt;ProposalToGnatt[[#This Row],[Start Date]]+ProposalToGnatt[[#This Row],[Days]]),$G$5,"")),"")</f>
        <v/>
      </c>
      <c r="CA66" s="36" t="str">
        <f ca="1">IFERROR(+IF(CA$27=ProposalToGnatt[[#This Row],[Start Date]],Milestone_Marker,IF(AND(CA$27&gt;ProposalToGnatt[[#This Row],[Start Date]],CA$27&lt;ProposalToGnatt[[#This Row],[Start Date]]+ProposalToGnatt[[#This Row],[Days]]),$G$5,"")),"")</f>
        <v/>
      </c>
      <c r="CB66" s="36" t="str">
        <f ca="1">IFERROR(+IF(CB$27=ProposalToGnatt[[#This Row],[Start Date]],Milestone_Marker,IF(AND(CB$27&gt;ProposalToGnatt[[#This Row],[Start Date]],CB$27&lt;ProposalToGnatt[[#This Row],[Start Date]]+ProposalToGnatt[[#This Row],[Days]]),$G$5,"")),"")</f>
        <v/>
      </c>
      <c r="CC66" s="36" t="str">
        <f ca="1">IFERROR(+IF(CC$27=ProposalToGnatt[[#This Row],[Start Date]],Milestone_Marker,IF(AND(CC$27&gt;ProposalToGnatt[[#This Row],[Start Date]],CC$27&lt;ProposalToGnatt[[#This Row],[Start Date]]+ProposalToGnatt[[#This Row],[Days]]),$G$5,"")),"")</f>
        <v/>
      </c>
      <c r="CD66" s="36" t="str">
        <f ca="1">IFERROR(+IF(CD$27=ProposalToGnatt[[#This Row],[Start Date]],Milestone_Marker,IF(AND(CD$27&gt;ProposalToGnatt[[#This Row],[Start Date]],CD$27&lt;ProposalToGnatt[[#This Row],[Start Date]]+ProposalToGnatt[[#This Row],[Days]]),$G$5,"")),"")</f>
        <v/>
      </c>
      <c r="CE66" s="36" t="str">
        <f ca="1">IFERROR(+IF(CE$27=ProposalToGnatt[[#This Row],[Start Date]],Milestone_Marker,IF(AND(CE$27&gt;ProposalToGnatt[[#This Row],[Start Date]],CE$27&lt;ProposalToGnatt[[#This Row],[Start Date]]+ProposalToGnatt[[#This Row],[Days]]),$G$5,"")),"")</f>
        <v/>
      </c>
      <c r="CF66" s="36" t="str">
        <f ca="1">IFERROR(+IF(CF$27=ProposalToGnatt[[#This Row],[Start Date]],Milestone_Marker,IF(AND(CF$27&gt;ProposalToGnatt[[#This Row],[Start Date]],CF$27&lt;ProposalToGnatt[[#This Row],[Start Date]]+ProposalToGnatt[[#This Row],[Days]]),$G$5,"")),"")</f>
        <v/>
      </c>
      <c r="CG66" s="36" t="str">
        <f ca="1">IFERROR(+IF(CG$27=ProposalToGnatt[[#This Row],[Start Date]],Milestone_Marker,IF(AND(CG$27&gt;ProposalToGnatt[[#This Row],[Start Date]],CG$27&lt;ProposalToGnatt[[#This Row],[Start Date]]+ProposalToGnatt[[#This Row],[Days]]),$G$5,"")),"")</f>
        <v/>
      </c>
      <c r="CH66" s="36" t="str">
        <f ca="1">IFERROR(+IF(CH$27=ProposalToGnatt[[#This Row],[Start Date]],Milestone_Marker,IF(AND(CH$27&gt;ProposalToGnatt[[#This Row],[Start Date]],CH$27&lt;ProposalToGnatt[[#This Row],[Start Date]]+ProposalToGnatt[[#This Row],[Days]]),$G$5,"")),"")</f>
        <v/>
      </c>
      <c r="CI66" s="36" t="str">
        <f ca="1">IFERROR(+IF(CI$27=ProposalToGnatt[[#This Row],[Start Date]],Milestone_Marker,IF(AND(CI$27&gt;ProposalToGnatt[[#This Row],[Start Date]],CI$27&lt;ProposalToGnatt[[#This Row],[Start Date]]+ProposalToGnatt[[#This Row],[Days]]),$G$5,"")),"")</f>
        <v/>
      </c>
      <c r="CJ66" s="36" t="str">
        <f ca="1">IFERROR(+IF(CJ$27=ProposalToGnatt[[#This Row],[Start Date]],Milestone_Marker,IF(AND(CJ$27&gt;ProposalToGnatt[[#This Row],[Start Date]],CJ$27&lt;ProposalToGnatt[[#This Row],[Start Date]]+ProposalToGnatt[[#This Row],[Days]]),$G$5,"")),"")</f>
        <v/>
      </c>
      <c r="CK66" s="36" t="str">
        <f ca="1">IFERROR(+IF(CK$27=ProposalToGnatt[[#This Row],[Start Date]],Milestone_Marker,IF(AND(CK$27&gt;ProposalToGnatt[[#This Row],[Start Date]],CK$27&lt;ProposalToGnatt[[#This Row],[Start Date]]+ProposalToGnatt[[#This Row],[Days]]),$G$5,"")),"")</f>
        <v/>
      </c>
      <c r="CL66" s="36" t="str">
        <f ca="1">IFERROR(+IF(CL$27=ProposalToGnatt[[#This Row],[Start Date]],Milestone_Marker,IF(AND(CL$27&gt;ProposalToGnatt[[#This Row],[Start Date]],CL$27&lt;ProposalToGnatt[[#This Row],[Start Date]]+ProposalToGnatt[[#This Row],[Days]]),$G$5,"")),"")</f>
        <v/>
      </c>
      <c r="CM66" s="36" t="str">
        <f ca="1">IFERROR(+IF(CM$27=ProposalToGnatt[[#This Row],[Start Date]],Milestone_Marker,IF(AND(CM$27&gt;ProposalToGnatt[[#This Row],[Start Date]],CM$27&lt;ProposalToGnatt[[#This Row],[Start Date]]+ProposalToGnatt[[#This Row],[Days]]),$G$5,"")),"")</f>
        <v/>
      </c>
      <c r="CN66" s="36" t="str">
        <f ca="1">IFERROR(+IF(CN$27=ProposalToGnatt[[#This Row],[Start Date]],Milestone_Marker,IF(AND(CN$27&gt;ProposalToGnatt[[#This Row],[Start Date]],CN$27&lt;ProposalToGnatt[[#This Row],[Start Date]]+ProposalToGnatt[[#This Row],[Days]]),$G$5,"")),"")</f>
        <v/>
      </c>
      <c r="CO66" s="36" t="str">
        <f ca="1">IFERROR(+IF(CO$27=ProposalToGnatt[[#This Row],[Start Date]],Milestone_Marker,IF(AND(CO$27&gt;ProposalToGnatt[[#This Row],[Start Date]],CO$27&lt;ProposalToGnatt[[#This Row],[Start Date]]+ProposalToGnatt[[#This Row],[Days]]),$G$5,"")),"")</f>
        <v/>
      </c>
      <c r="CP66" s="36" t="str">
        <f ca="1">IFERROR(+IF(CP$27=ProposalToGnatt[[#This Row],[Start Date]],Milestone_Marker,IF(AND(CP$27&gt;ProposalToGnatt[[#This Row],[Start Date]],CP$27&lt;ProposalToGnatt[[#This Row],[Start Date]]+ProposalToGnatt[[#This Row],[Days]]),$G$5,"")),"")</f>
        <v/>
      </c>
      <c r="CQ66" s="36" t="str">
        <f ca="1">IFERROR(+IF(CQ$27=ProposalToGnatt[[#This Row],[Start Date]],Milestone_Marker,IF(AND(CQ$27&gt;ProposalToGnatt[[#This Row],[Start Date]],CQ$27&lt;ProposalToGnatt[[#This Row],[Start Date]]+ProposalToGnatt[[#This Row],[Days]]),$G$5,"")),"")</f>
        <v/>
      </c>
      <c r="CR66" s="36" t="str">
        <f ca="1">IFERROR(+IF(CR$27=ProposalToGnatt[[#This Row],[Start Date]],Milestone_Marker,IF(AND(CR$27&gt;ProposalToGnatt[[#This Row],[Start Date]],CR$27&lt;ProposalToGnatt[[#This Row],[Start Date]]+ProposalToGnatt[[#This Row],[Days]]),$G$5,"")),"")</f>
        <v/>
      </c>
      <c r="CS66" s="36" t="str">
        <f ca="1">IFERROR(+IF(CS$27=ProposalToGnatt[[#This Row],[Start Date]],Milestone_Marker,IF(AND(CS$27&gt;ProposalToGnatt[[#This Row],[Start Date]],CS$27&lt;ProposalToGnatt[[#This Row],[Start Date]]+ProposalToGnatt[[#This Row],[Days]]),$G$5,"")),"")</f>
        <v/>
      </c>
      <c r="CT66" s="36" t="str">
        <f ca="1">IFERROR(+IF(CT$27=ProposalToGnatt[[#This Row],[Start Date]],Milestone_Marker,IF(AND(CT$27&gt;ProposalToGnatt[[#This Row],[Start Date]],CT$27&lt;ProposalToGnatt[[#This Row],[Start Date]]+ProposalToGnatt[[#This Row],[Days]]),$G$5,"")),"")</f>
        <v/>
      </c>
      <c r="CU66" s="36" t="str">
        <f ca="1">IFERROR(+IF(CU$27=ProposalToGnatt[[#This Row],[Start Date]],Milestone_Marker,IF(AND(CU$27&gt;ProposalToGnatt[[#This Row],[Start Date]],CU$27&lt;ProposalToGnatt[[#This Row],[Start Date]]+ProposalToGnatt[[#This Row],[Days]]),$G$5,"")),"")</f>
        <v/>
      </c>
      <c r="CV66" s="36"/>
      <c r="CW66" s="36"/>
      <c r="CX66" s="36"/>
      <c r="CY66" s="36"/>
      <c r="CZ66" s="36"/>
      <c r="DA66" s="36"/>
      <c r="DB66" s="36"/>
      <c r="DC66" s="36"/>
      <c r="DD66" s="36"/>
      <c r="DE66" s="36"/>
      <c r="DF66" s="36"/>
      <c r="DG66" s="36"/>
      <c r="DH66" s="36"/>
      <c r="DI66" s="36"/>
      <c r="DJ66" s="36"/>
      <c r="DK66" s="36"/>
      <c r="DL66" s="36"/>
      <c r="DM66" s="36"/>
      <c r="DN66" s="36"/>
      <c r="DO66" s="36"/>
      <c r="DP66" s="36"/>
      <c r="DQ66" s="36"/>
      <c r="DR66" s="36"/>
      <c r="DS66" s="36"/>
      <c r="DT66" s="36"/>
      <c r="DU66" s="36"/>
    </row>
    <row r="67" spans="1:125" s="41" customFormat="1" ht="15" x14ac:dyDescent="0.25">
      <c r="A67"/>
      <c r="B67"/>
      <c r="C67"/>
      <c r="D67"/>
      <c r="E67"/>
      <c r="F67"/>
      <c r="G67" s="14"/>
      <c r="H67" s="14"/>
      <c r="I67"/>
      <c r="J67"/>
      <c r="K67" s="246"/>
      <c r="L67"/>
      <c r="M67" s="14"/>
      <c r="N67" s="299"/>
      <c r="O67" s="281"/>
      <c r="P67" s="36" t="str">
        <f ca="1">IFERROR(+IF(P$27=ProposalToGnatt[[#This Row],[Start Date]],Milestone_Marker,IF(AND(P$27&gt;ProposalToGnatt[[#This Row],[Start Date]],P$27&lt;ProposalToGnatt[[#This Row],[Start Date]]+ProposalToGnatt[[#This Row],[Days]]),$G$5,"")),"")</f>
        <v/>
      </c>
      <c r="Q67" s="36" t="str">
        <f ca="1">IFERROR(+IF(Q$27=ProposalToGnatt[[#This Row],[Start Date]],Milestone_Marker,IF(AND(Q$27&gt;ProposalToGnatt[[#This Row],[Start Date]],Q$27&lt;ProposalToGnatt[[#This Row],[Start Date]]+ProposalToGnatt[[#This Row],[Days]]),$G$5,"")),"")</f>
        <v/>
      </c>
      <c r="R67" s="36" t="str">
        <f ca="1">IFERROR(+IF(R$27=ProposalToGnatt[[#This Row],[Start Date]],Milestone_Marker,IF(AND(R$27&gt;ProposalToGnatt[[#This Row],[Start Date]],R$27&lt;ProposalToGnatt[[#This Row],[Start Date]]+ProposalToGnatt[[#This Row],[Days]]),$G$5,"")),"")</f>
        <v/>
      </c>
      <c r="S67" s="36" t="str">
        <f ca="1">IFERROR(+IF(S$27=ProposalToGnatt[[#This Row],[Start Date]],Milestone_Marker,IF(AND(S$27&gt;ProposalToGnatt[[#This Row],[Start Date]],S$27&lt;ProposalToGnatt[[#This Row],[Start Date]]+ProposalToGnatt[[#This Row],[Days]]),$G$5,"")),"")</f>
        <v/>
      </c>
      <c r="T67" s="36" t="str">
        <f ca="1">IFERROR(+IF(T$27=ProposalToGnatt[[#This Row],[Start Date]],Milestone_Marker,IF(AND(T$27&gt;ProposalToGnatt[[#This Row],[Start Date]],T$27&lt;ProposalToGnatt[[#This Row],[Start Date]]+ProposalToGnatt[[#This Row],[Days]]),$G$5,"")),"")</f>
        <v/>
      </c>
      <c r="U67" s="36" t="str">
        <f ca="1">IFERROR(+IF(U$27=ProposalToGnatt[[#This Row],[Start Date]],Milestone_Marker,IF(AND(U$27&gt;ProposalToGnatt[[#This Row],[Start Date]],U$27&lt;ProposalToGnatt[[#This Row],[Start Date]]+ProposalToGnatt[[#This Row],[Days]]),$G$5,"")),"")</f>
        <v/>
      </c>
      <c r="V67" s="36" t="str">
        <f ca="1">IFERROR(+IF(V$27=ProposalToGnatt[[#This Row],[Start Date]],Milestone_Marker,IF(AND(V$27&gt;ProposalToGnatt[[#This Row],[Start Date]],V$27&lt;ProposalToGnatt[[#This Row],[Start Date]]+ProposalToGnatt[[#This Row],[Days]]),$G$5,"")),"")</f>
        <v/>
      </c>
      <c r="W67" s="36" t="str">
        <f ca="1">IFERROR(+IF(W$27=ProposalToGnatt[[#This Row],[Start Date]],Milestone_Marker,IF(AND(W$27&gt;ProposalToGnatt[[#This Row],[Start Date]],W$27&lt;ProposalToGnatt[[#This Row],[Start Date]]+ProposalToGnatt[[#This Row],[Days]]),$G$5,"")),"")</f>
        <v/>
      </c>
      <c r="X67" s="36" t="str">
        <f ca="1">IFERROR(+IF(X$27=ProposalToGnatt[[#This Row],[Start Date]],Milestone_Marker,IF(AND(X$27&gt;ProposalToGnatt[[#This Row],[Start Date]],X$27&lt;ProposalToGnatt[[#This Row],[Start Date]]+ProposalToGnatt[[#This Row],[Days]]),$G$5,"")),"")</f>
        <v/>
      </c>
      <c r="Y67" s="36" t="str">
        <f ca="1">IFERROR(+IF(Y$27=ProposalToGnatt[[#This Row],[Start Date]],Milestone_Marker,IF(AND(Y$27&gt;ProposalToGnatt[[#This Row],[Start Date]],Y$27&lt;ProposalToGnatt[[#This Row],[Start Date]]+ProposalToGnatt[[#This Row],[Days]]),$G$5,"")),"")</f>
        <v/>
      </c>
      <c r="Z67" s="36" t="str">
        <f ca="1">IFERROR(+IF(Z$27=ProposalToGnatt[[#This Row],[Start Date]],Milestone_Marker,IF(AND(Z$27&gt;ProposalToGnatt[[#This Row],[Start Date]],Z$27&lt;ProposalToGnatt[[#This Row],[Start Date]]+ProposalToGnatt[[#This Row],[Days]]),$G$5,"")),"")</f>
        <v/>
      </c>
      <c r="AA67" s="36" t="str">
        <f ca="1">IFERROR(+IF(AA$27=ProposalToGnatt[[#This Row],[Start Date]],Milestone_Marker,IF(AND(AA$27&gt;ProposalToGnatt[[#This Row],[Start Date]],AA$27&lt;ProposalToGnatt[[#This Row],[Start Date]]+ProposalToGnatt[[#This Row],[Days]]),$G$5,"")),"")</f>
        <v/>
      </c>
      <c r="AB67" s="36" t="str">
        <f ca="1">IFERROR(+IF(AB$27=ProposalToGnatt[[#This Row],[Start Date]],Milestone_Marker,IF(AND(AB$27&gt;ProposalToGnatt[[#This Row],[Start Date]],AB$27&lt;ProposalToGnatt[[#This Row],[Start Date]]+ProposalToGnatt[[#This Row],[Days]]),$G$5,"")),"")</f>
        <v/>
      </c>
      <c r="AC67" s="36" t="str">
        <f ca="1">IFERROR(+IF(AC$27=ProposalToGnatt[[#This Row],[Start Date]],Milestone_Marker,IF(AND(AC$27&gt;ProposalToGnatt[[#This Row],[Start Date]],AC$27&lt;ProposalToGnatt[[#This Row],[Start Date]]+ProposalToGnatt[[#This Row],[Days]]),$G$5,"")),"")</f>
        <v/>
      </c>
      <c r="AD67" s="36" t="str">
        <f ca="1">IFERROR(+IF(AD$27=ProposalToGnatt[[#This Row],[Start Date]],Milestone_Marker,IF(AND(AD$27&gt;ProposalToGnatt[[#This Row],[Start Date]],AD$27&lt;ProposalToGnatt[[#This Row],[Start Date]]+ProposalToGnatt[[#This Row],[Days]]),$G$5,"")),"")</f>
        <v/>
      </c>
      <c r="AE67" s="36" t="str">
        <f ca="1">IFERROR(+IF(AE$27=ProposalToGnatt[[#This Row],[Start Date]],Milestone_Marker,IF(AND(AE$27&gt;ProposalToGnatt[[#This Row],[Start Date]],AE$27&lt;ProposalToGnatt[[#This Row],[Start Date]]+ProposalToGnatt[[#This Row],[Days]]),$G$5,"")),"")</f>
        <v/>
      </c>
      <c r="AF67" s="36" t="str">
        <f ca="1">IFERROR(+IF(AF$27=ProposalToGnatt[[#This Row],[Start Date]],Milestone_Marker,IF(AND(AF$27&gt;ProposalToGnatt[[#This Row],[Start Date]],AF$27&lt;ProposalToGnatt[[#This Row],[Start Date]]+ProposalToGnatt[[#This Row],[Days]]),$G$5,"")),"")</f>
        <v/>
      </c>
      <c r="AG67" s="36" t="str">
        <f ca="1">IFERROR(+IF(AG$27=ProposalToGnatt[[#This Row],[Start Date]],Milestone_Marker,IF(AND(AG$27&gt;ProposalToGnatt[[#This Row],[Start Date]],AG$27&lt;ProposalToGnatt[[#This Row],[Start Date]]+ProposalToGnatt[[#This Row],[Days]]),$G$5,"")),"")</f>
        <v/>
      </c>
      <c r="AH67" s="36" t="str">
        <f ca="1">IFERROR(+IF(AH$27=ProposalToGnatt[[#This Row],[Start Date]],Milestone_Marker,IF(AND(AH$27&gt;ProposalToGnatt[[#This Row],[Start Date]],AH$27&lt;ProposalToGnatt[[#This Row],[Start Date]]+ProposalToGnatt[[#This Row],[Days]]),$G$5,"")),"")</f>
        <v/>
      </c>
      <c r="AI67" s="36" t="str">
        <f ca="1">IFERROR(+IF(AI$27=ProposalToGnatt[[#This Row],[Start Date]],Milestone_Marker,IF(AND(AI$27&gt;ProposalToGnatt[[#This Row],[Start Date]],AI$27&lt;ProposalToGnatt[[#This Row],[Start Date]]+ProposalToGnatt[[#This Row],[Days]]),$G$5,"")),"")</f>
        <v/>
      </c>
      <c r="AJ67" s="36" t="str">
        <f ca="1">IFERROR(+IF(AJ$27=ProposalToGnatt[[#This Row],[Start Date]],Milestone_Marker,IF(AND(AJ$27&gt;ProposalToGnatt[[#This Row],[Start Date]],AJ$27&lt;ProposalToGnatt[[#This Row],[Start Date]]+ProposalToGnatt[[#This Row],[Days]]),$G$5,"")),"")</f>
        <v/>
      </c>
      <c r="AK67" s="36" t="str">
        <f ca="1">IFERROR(+IF(AK$27=ProposalToGnatt[[#This Row],[Start Date]],Milestone_Marker,IF(AND(AK$27&gt;ProposalToGnatt[[#This Row],[Start Date]],AK$27&lt;ProposalToGnatt[[#This Row],[Start Date]]+ProposalToGnatt[[#This Row],[Days]]),$G$5,"")),"")</f>
        <v/>
      </c>
      <c r="AL67" s="36" t="str">
        <f ca="1">IFERROR(+IF(AL$27=ProposalToGnatt[[#This Row],[Start Date]],Milestone_Marker,IF(AND(AL$27&gt;ProposalToGnatt[[#This Row],[Start Date]],AL$27&lt;ProposalToGnatt[[#This Row],[Start Date]]+ProposalToGnatt[[#This Row],[Days]]),$G$5,"")),"")</f>
        <v/>
      </c>
      <c r="AM67" s="36" t="str">
        <f ca="1">IFERROR(+IF(AM$27=ProposalToGnatt[[#This Row],[Start Date]],Milestone_Marker,IF(AND(AM$27&gt;ProposalToGnatt[[#This Row],[Start Date]],AM$27&lt;ProposalToGnatt[[#This Row],[Start Date]]+ProposalToGnatt[[#This Row],[Days]]),$G$5,"")),"")</f>
        <v/>
      </c>
      <c r="AN67" s="36" t="str">
        <f ca="1">IFERROR(+IF(AN$27=ProposalToGnatt[[#This Row],[Start Date]],Milestone_Marker,IF(AND(AN$27&gt;ProposalToGnatt[[#This Row],[Start Date]],AN$27&lt;ProposalToGnatt[[#This Row],[Start Date]]+ProposalToGnatt[[#This Row],[Days]]),$G$5,"")),"")</f>
        <v/>
      </c>
      <c r="AO67" s="36" t="str">
        <f ca="1">IFERROR(+IF(AO$27=ProposalToGnatt[[#This Row],[Start Date]],Milestone_Marker,IF(AND(AO$27&gt;ProposalToGnatt[[#This Row],[Start Date]],AO$27&lt;ProposalToGnatt[[#This Row],[Start Date]]+ProposalToGnatt[[#This Row],[Days]]),$G$5,"")),"")</f>
        <v/>
      </c>
      <c r="AP67" s="36" t="str">
        <f ca="1">IFERROR(+IF(AP$27=ProposalToGnatt[[#This Row],[Start Date]],Milestone_Marker,IF(AND(AP$27&gt;ProposalToGnatt[[#This Row],[Start Date]],AP$27&lt;ProposalToGnatt[[#This Row],[Start Date]]+ProposalToGnatt[[#This Row],[Days]]),$G$5,"")),"")</f>
        <v/>
      </c>
      <c r="AQ67" s="36" t="str">
        <f ca="1">IFERROR(+IF(AQ$27=ProposalToGnatt[[#This Row],[Start Date]],Milestone_Marker,IF(AND(AQ$27&gt;ProposalToGnatt[[#This Row],[Start Date]],AQ$27&lt;ProposalToGnatt[[#This Row],[Start Date]]+ProposalToGnatt[[#This Row],[Days]]),$G$5,"")),"")</f>
        <v/>
      </c>
      <c r="AR67" s="36" t="str">
        <f ca="1">IFERROR(+IF(AR$27=ProposalToGnatt[[#This Row],[Start Date]],Milestone_Marker,IF(AND(AR$27&gt;ProposalToGnatt[[#This Row],[Start Date]],AR$27&lt;ProposalToGnatt[[#This Row],[Start Date]]+ProposalToGnatt[[#This Row],[Days]]),$G$5,"")),"")</f>
        <v/>
      </c>
      <c r="AS67" s="36" t="str">
        <f ca="1">IFERROR(+IF(AS$27=ProposalToGnatt[[#This Row],[Start Date]],Milestone_Marker,IF(AND(AS$27&gt;ProposalToGnatt[[#This Row],[Start Date]],AS$27&lt;ProposalToGnatt[[#This Row],[Start Date]]+ProposalToGnatt[[#This Row],[Days]]),$G$5,"")),"")</f>
        <v/>
      </c>
      <c r="AT67" s="36" t="str">
        <f ca="1">IFERROR(+IF(AT$27=ProposalToGnatt[[#This Row],[Start Date]],Milestone_Marker,IF(AND(AT$27&gt;ProposalToGnatt[[#This Row],[Start Date]],AT$27&lt;ProposalToGnatt[[#This Row],[Start Date]]+ProposalToGnatt[[#This Row],[Days]]),$G$5,"")),"")</f>
        <v/>
      </c>
      <c r="AU67" s="36" t="str">
        <f ca="1">IFERROR(+IF(AU$27=ProposalToGnatt[[#This Row],[Start Date]],Milestone_Marker,IF(AND(AU$27&gt;ProposalToGnatt[[#This Row],[Start Date]],AU$27&lt;ProposalToGnatt[[#This Row],[Start Date]]+ProposalToGnatt[[#This Row],[Days]]),$G$5,"")),"")</f>
        <v/>
      </c>
      <c r="AV67" s="36" t="str">
        <f ca="1">IFERROR(+IF(AV$27=ProposalToGnatt[[#This Row],[Start Date]],Milestone_Marker,IF(AND(AV$27&gt;ProposalToGnatt[[#This Row],[Start Date]],AV$27&lt;ProposalToGnatt[[#This Row],[Start Date]]+ProposalToGnatt[[#This Row],[Days]]),$G$5,"")),"")</f>
        <v/>
      </c>
      <c r="AW67" s="36" t="str">
        <f ca="1">IFERROR(+IF(AW$27=ProposalToGnatt[[#This Row],[Start Date]],Milestone_Marker,IF(AND(AW$27&gt;ProposalToGnatt[[#This Row],[Start Date]],AW$27&lt;ProposalToGnatt[[#This Row],[Start Date]]+ProposalToGnatt[[#This Row],[Days]]),$G$5,"")),"")</f>
        <v/>
      </c>
      <c r="AX67" s="36" t="str">
        <f ca="1">IFERROR(+IF(AX$27=ProposalToGnatt[[#This Row],[Start Date]],Milestone_Marker,IF(AND(AX$27&gt;ProposalToGnatt[[#This Row],[Start Date]],AX$27&lt;ProposalToGnatt[[#This Row],[Start Date]]+ProposalToGnatt[[#This Row],[Days]]),$G$5,"")),"")</f>
        <v/>
      </c>
      <c r="AY67" s="36" t="str">
        <f ca="1">IFERROR(+IF(AY$27=ProposalToGnatt[[#This Row],[Start Date]],Milestone_Marker,IF(AND(AY$27&gt;ProposalToGnatt[[#This Row],[Start Date]],AY$27&lt;ProposalToGnatt[[#This Row],[Start Date]]+ProposalToGnatt[[#This Row],[Days]]),$G$5,"")),"")</f>
        <v/>
      </c>
      <c r="AZ67" s="36" t="str">
        <f ca="1">IFERROR(+IF(AZ$27=ProposalToGnatt[[#This Row],[Start Date]],Milestone_Marker,IF(AND(AZ$27&gt;ProposalToGnatt[[#This Row],[Start Date]],AZ$27&lt;ProposalToGnatt[[#This Row],[Start Date]]+ProposalToGnatt[[#This Row],[Days]]),$G$5,"")),"")</f>
        <v/>
      </c>
      <c r="BA67" s="36" t="str">
        <f ca="1">IFERROR(+IF(BA$27=ProposalToGnatt[[#This Row],[Start Date]],Milestone_Marker,IF(AND(BA$27&gt;ProposalToGnatt[[#This Row],[Start Date]],BA$27&lt;ProposalToGnatt[[#This Row],[Start Date]]+ProposalToGnatt[[#This Row],[Days]]),$G$5,"")),"")</f>
        <v/>
      </c>
      <c r="BB67" s="36" t="str">
        <f ca="1">IFERROR(+IF(BB$27=ProposalToGnatt[[#This Row],[Start Date]],Milestone_Marker,IF(AND(BB$27&gt;ProposalToGnatt[[#This Row],[Start Date]],BB$27&lt;ProposalToGnatt[[#This Row],[Start Date]]+ProposalToGnatt[[#This Row],[Days]]),$G$5,"")),"")</f>
        <v/>
      </c>
      <c r="BC67" s="36" t="str">
        <f ca="1">IFERROR(+IF(BC$27=ProposalToGnatt[[#This Row],[Start Date]],Milestone_Marker,IF(AND(BC$27&gt;ProposalToGnatt[[#This Row],[Start Date]],BC$27&lt;ProposalToGnatt[[#This Row],[Start Date]]+ProposalToGnatt[[#This Row],[Days]]),$G$5,"")),"")</f>
        <v/>
      </c>
      <c r="BD67" s="36" t="str">
        <f ca="1">IFERROR(+IF(BD$27=ProposalToGnatt[[#This Row],[Start Date]],Milestone_Marker,IF(AND(BD$27&gt;ProposalToGnatt[[#This Row],[Start Date]],BD$27&lt;ProposalToGnatt[[#This Row],[Start Date]]+ProposalToGnatt[[#This Row],[Days]]),$G$5,"")),"")</f>
        <v/>
      </c>
      <c r="BE67" s="36" t="str">
        <f ca="1">IFERROR(+IF(BE$27=ProposalToGnatt[[#This Row],[Start Date]],Milestone_Marker,IF(AND(BE$27&gt;ProposalToGnatt[[#This Row],[Start Date]],BE$27&lt;ProposalToGnatt[[#This Row],[Start Date]]+ProposalToGnatt[[#This Row],[Days]]),$G$5,"")),"")</f>
        <v/>
      </c>
      <c r="BF67" s="36" t="str">
        <f ca="1">IFERROR(+IF(BF$27=ProposalToGnatt[[#This Row],[Start Date]],Milestone_Marker,IF(AND(BF$27&gt;ProposalToGnatt[[#This Row],[Start Date]],BF$27&lt;ProposalToGnatt[[#This Row],[Start Date]]+ProposalToGnatt[[#This Row],[Days]]),$G$5,"")),"")</f>
        <v/>
      </c>
      <c r="BG67" s="36" t="str">
        <f ca="1">IFERROR(+IF(BG$27=ProposalToGnatt[[#This Row],[Start Date]],Milestone_Marker,IF(AND(BG$27&gt;ProposalToGnatt[[#This Row],[Start Date]],BG$27&lt;ProposalToGnatt[[#This Row],[Start Date]]+ProposalToGnatt[[#This Row],[Days]]),$G$5,"")),"")</f>
        <v/>
      </c>
      <c r="BH67" s="36" t="str">
        <f ca="1">IFERROR(+IF(BH$27=ProposalToGnatt[[#This Row],[Start Date]],Milestone_Marker,IF(AND(BH$27&gt;ProposalToGnatt[[#This Row],[Start Date]],BH$27&lt;ProposalToGnatt[[#This Row],[Start Date]]+ProposalToGnatt[[#This Row],[Days]]),$G$5,"")),"")</f>
        <v/>
      </c>
      <c r="BI67" s="36" t="str">
        <f ca="1">IFERROR(+IF(BI$27=ProposalToGnatt[[#This Row],[Start Date]],Milestone_Marker,IF(AND(BI$27&gt;ProposalToGnatt[[#This Row],[Start Date]],BI$27&lt;ProposalToGnatt[[#This Row],[Start Date]]+ProposalToGnatt[[#This Row],[Days]]),$G$5,"")),"")</f>
        <v/>
      </c>
      <c r="BJ67" s="36" t="str">
        <f ca="1">IFERROR(+IF(BJ$27=ProposalToGnatt[[#This Row],[Start Date]],Milestone_Marker,IF(AND(BJ$27&gt;ProposalToGnatt[[#This Row],[Start Date]],BJ$27&lt;ProposalToGnatt[[#This Row],[Start Date]]+ProposalToGnatt[[#This Row],[Days]]),$G$5,"")),"")</f>
        <v/>
      </c>
      <c r="BK67" s="36" t="str">
        <f ca="1">IFERROR(+IF(BK$27=ProposalToGnatt[[#This Row],[Start Date]],Milestone_Marker,IF(AND(BK$27&gt;ProposalToGnatt[[#This Row],[Start Date]],BK$27&lt;ProposalToGnatt[[#This Row],[Start Date]]+ProposalToGnatt[[#This Row],[Days]]),$G$5,"")),"")</f>
        <v/>
      </c>
      <c r="BL67" s="36" t="str">
        <f ca="1">IFERROR(+IF(BL$27=ProposalToGnatt[[#This Row],[Start Date]],Milestone_Marker,IF(AND(BL$27&gt;ProposalToGnatt[[#This Row],[Start Date]],BL$27&lt;ProposalToGnatt[[#This Row],[Start Date]]+ProposalToGnatt[[#This Row],[Days]]),$G$5,"")),"")</f>
        <v/>
      </c>
      <c r="BM67" s="36" t="str">
        <f ca="1">IFERROR(+IF(BM$27=ProposalToGnatt[[#This Row],[Start Date]],Milestone_Marker,IF(AND(BM$27&gt;ProposalToGnatt[[#This Row],[Start Date]],BM$27&lt;ProposalToGnatt[[#This Row],[Start Date]]+ProposalToGnatt[[#This Row],[Days]]),$G$5,"")),"")</f>
        <v/>
      </c>
      <c r="BN67" s="36" t="str">
        <f ca="1">IFERROR(+IF(BN$27=ProposalToGnatt[[#This Row],[Start Date]],Milestone_Marker,IF(AND(BN$27&gt;ProposalToGnatt[[#This Row],[Start Date]],BN$27&lt;ProposalToGnatt[[#This Row],[Start Date]]+ProposalToGnatt[[#This Row],[Days]]),$G$5,"")),"")</f>
        <v/>
      </c>
      <c r="BO67" s="36" t="str">
        <f ca="1">IFERROR(+IF(BO$27=ProposalToGnatt[[#This Row],[Start Date]],Milestone_Marker,IF(AND(BO$27&gt;ProposalToGnatt[[#This Row],[Start Date]],BO$27&lt;ProposalToGnatt[[#This Row],[Start Date]]+ProposalToGnatt[[#This Row],[Days]]),$G$5,"")),"")</f>
        <v/>
      </c>
      <c r="BP67" s="36" t="str">
        <f ca="1">IFERROR(+IF(BP$27=ProposalToGnatt[[#This Row],[Start Date]],Milestone_Marker,IF(AND(BP$27&gt;ProposalToGnatt[[#This Row],[Start Date]],BP$27&lt;ProposalToGnatt[[#This Row],[Start Date]]+ProposalToGnatt[[#This Row],[Days]]),$G$5,"")),"")</f>
        <v/>
      </c>
      <c r="BQ67" s="36" t="str">
        <f ca="1">IFERROR(+IF(BQ$27=ProposalToGnatt[[#This Row],[Start Date]],Milestone_Marker,IF(AND(BQ$27&gt;ProposalToGnatt[[#This Row],[Start Date]],BQ$27&lt;ProposalToGnatt[[#This Row],[Start Date]]+ProposalToGnatt[[#This Row],[Days]]),$G$5,"")),"")</f>
        <v/>
      </c>
      <c r="BR67" s="36" t="str">
        <f ca="1">IFERROR(+IF(BR$27=ProposalToGnatt[[#This Row],[Start Date]],Milestone_Marker,IF(AND(BR$27&gt;ProposalToGnatt[[#This Row],[Start Date]],BR$27&lt;ProposalToGnatt[[#This Row],[Start Date]]+ProposalToGnatt[[#This Row],[Days]]),$G$5,"")),"")</f>
        <v/>
      </c>
      <c r="BS67" s="36" t="str">
        <f ca="1">IFERROR(+IF(BS$27=ProposalToGnatt[[#This Row],[Start Date]],Milestone_Marker,IF(AND(BS$27&gt;ProposalToGnatt[[#This Row],[Start Date]],BS$27&lt;ProposalToGnatt[[#This Row],[Start Date]]+ProposalToGnatt[[#This Row],[Days]]),$G$5,"")),"")</f>
        <v/>
      </c>
      <c r="BT67" s="36" t="str">
        <f ca="1">IFERROR(+IF(BT$27=ProposalToGnatt[[#This Row],[Start Date]],Milestone_Marker,IF(AND(BT$27&gt;ProposalToGnatt[[#This Row],[Start Date]],BT$27&lt;ProposalToGnatt[[#This Row],[Start Date]]+ProposalToGnatt[[#This Row],[Days]]),$G$5,"")),"")</f>
        <v/>
      </c>
      <c r="BU67" s="36" t="str">
        <f ca="1">IFERROR(+IF(BU$27=ProposalToGnatt[[#This Row],[Start Date]],Milestone_Marker,IF(AND(BU$27&gt;ProposalToGnatt[[#This Row],[Start Date]],BU$27&lt;ProposalToGnatt[[#This Row],[Start Date]]+ProposalToGnatt[[#This Row],[Days]]),$G$5,"")),"")</f>
        <v/>
      </c>
      <c r="BV67" s="36" t="str">
        <f ca="1">IFERROR(+IF(BV$27=ProposalToGnatt[[#This Row],[Start Date]],Milestone_Marker,IF(AND(BV$27&gt;ProposalToGnatt[[#This Row],[Start Date]],BV$27&lt;ProposalToGnatt[[#This Row],[Start Date]]+ProposalToGnatt[[#This Row],[Days]]),$G$5,"")),"")</f>
        <v/>
      </c>
      <c r="BW67" s="36" t="str">
        <f ca="1">IFERROR(+IF(BW$27=ProposalToGnatt[[#This Row],[Start Date]],Milestone_Marker,IF(AND(BW$27&gt;ProposalToGnatt[[#This Row],[Start Date]],BW$27&lt;ProposalToGnatt[[#This Row],[Start Date]]+ProposalToGnatt[[#This Row],[Days]]),$G$5,"")),"")</f>
        <v/>
      </c>
      <c r="BX67" s="36" t="str">
        <f ca="1">IFERROR(+IF(BX$27=ProposalToGnatt[[#This Row],[Start Date]],Milestone_Marker,IF(AND(BX$27&gt;ProposalToGnatt[[#This Row],[Start Date]],BX$27&lt;ProposalToGnatt[[#This Row],[Start Date]]+ProposalToGnatt[[#This Row],[Days]]),$G$5,"")),"")</f>
        <v/>
      </c>
      <c r="BY67" s="36" t="str">
        <f ca="1">IFERROR(+IF(BY$27=ProposalToGnatt[[#This Row],[Start Date]],Milestone_Marker,IF(AND(BY$27&gt;ProposalToGnatt[[#This Row],[Start Date]],BY$27&lt;ProposalToGnatt[[#This Row],[Start Date]]+ProposalToGnatt[[#This Row],[Days]]),$G$5,"")),"")</f>
        <v/>
      </c>
      <c r="BZ67" s="36" t="str">
        <f ca="1">IFERROR(+IF(BZ$27=ProposalToGnatt[[#This Row],[Start Date]],Milestone_Marker,IF(AND(BZ$27&gt;ProposalToGnatt[[#This Row],[Start Date]],BZ$27&lt;ProposalToGnatt[[#This Row],[Start Date]]+ProposalToGnatt[[#This Row],[Days]]),$G$5,"")),"")</f>
        <v/>
      </c>
      <c r="CA67" s="36" t="str">
        <f ca="1">IFERROR(+IF(CA$27=ProposalToGnatt[[#This Row],[Start Date]],Milestone_Marker,IF(AND(CA$27&gt;ProposalToGnatt[[#This Row],[Start Date]],CA$27&lt;ProposalToGnatt[[#This Row],[Start Date]]+ProposalToGnatt[[#This Row],[Days]]),$G$5,"")),"")</f>
        <v/>
      </c>
      <c r="CB67" s="36" t="str">
        <f ca="1">IFERROR(+IF(CB$27=ProposalToGnatt[[#This Row],[Start Date]],Milestone_Marker,IF(AND(CB$27&gt;ProposalToGnatt[[#This Row],[Start Date]],CB$27&lt;ProposalToGnatt[[#This Row],[Start Date]]+ProposalToGnatt[[#This Row],[Days]]),$G$5,"")),"")</f>
        <v/>
      </c>
      <c r="CC67" s="36" t="str">
        <f ca="1">IFERROR(+IF(CC$27=ProposalToGnatt[[#This Row],[Start Date]],Milestone_Marker,IF(AND(CC$27&gt;ProposalToGnatt[[#This Row],[Start Date]],CC$27&lt;ProposalToGnatt[[#This Row],[Start Date]]+ProposalToGnatt[[#This Row],[Days]]),$G$5,"")),"")</f>
        <v/>
      </c>
      <c r="CD67" s="36" t="str">
        <f ca="1">IFERROR(+IF(CD$27=ProposalToGnatt[[#This Row],[Start Date]],Milestone_Marker,IF(AND(CD$27&gt;ProposalToGnatt[[#This Row],[Start Date]],CD$27&lt;ProposalToGnatt[[#This Row],[Start Date]]+ProposalToGnatt[[#This Row],[Days]]),$G$5,"")),"")</f>
        <v/>
      </c>
      <c r="CE67" s="36" t="str">
        <f ca="1">IFERROR(+IF(CE$27=ProposalToGnatt[[#This Row],[Start Date]],Milestone_Marker,IF(AND(CE$27&gt;ProposalToGnatt[[#This Row],[Start Date]],CE$27&lt;ProposalToGnatt[[#This Row],[Start Date]]+ProposalToGnatt[[#This Row],[Days]]),$G$5,"")),"")</f>
        <v/>
      </c>
      <c r="CF67" s="36" t="str">
        <f ca="1">IFERROR(+IF(CF$27=ProposalToGnatt[[#This Row],[Start Date]],Milestone_Marker,IF(AND(CF$27&gt;ProposalToGnatt[[#This Row],[Start Date]],CF$27&lt;ProposalToGnatt[[#This Row],[Start Date]]+ProposalToGnatt[[#This Row],[Days]]),$G$5,"")),"")</f>
        <v/>
      </c>
      <c r="CG67" s="36" t="str">
        <f ca="1">IFERROR(+IF(CG$27=ProposalToGnatt[[#This Row],[Start Date]],Milestone_Marker,IF(AND(CG$27&gt;ProposalToGnatt[[#This Row],[Start Date]],CG$27&lt;ProposalToGnatt[[#This Row],[Start Date]]+ProposalToGnatt[[#This Row],[Days]]),$G$5,"")),"")</f>
        <v/>
      </c>
      <c r="CH67" s="36" t="str">
        <f ca="1">IFERROR(+IF(CH$27=ProposalToGnatt[[#This Row],[Start Date]],Milestone_Marker,IF(AND(CH$27&gt;ProposalToGnatt[[#This Row],[Start Date]],CH$27&lt;ProposalToGnatt[[#This Row],[Start Date]]+ProposalToGnatt[[#This Row],[Days]]),$G$5,"")),"")</f>
        <v/>
      </c>
      <c r="CI67" s="36" t="str">
        <f ca="1">IFERROR(+IF(CI$27=ProposalToGnatt[[#This Row],[Start Date]],Milestone_Marker,IF(AND(CI$27&gt;ProposalToGnatt[[#This Row],[Start Date]],CI$27&lt;ProposalToGnatt[[#This Row],[Start Date]]+ProposalToGnatt[[#This Row],[Days]]),$G$5,"")),"")</f>
        <v/>
      </c>
      <c r="CJ67" s="36" t="str">
        <f ca="1">IFERROR(+IF(CJ$27=ProposalToGnatt[[#This Row],[Start Date]],Milestone_Marker,IF(AND(CJ$27&gt;ProposalToGnatt[[#This Row],[Start Date]],CJ$27&lt;ProposalToGnatt[[#This Row],[Start Date]]+ProposalToGnatt[[#This Row],[Days]]),$G$5,"")),"")</f>
        <v/>
      </c>
      <c r="CK67" s="36" t="str">
        <f ca="1">IFERROR(+IF(CK$27=ProposalToGnatt[[#This Row],[Start Date]],Milestone_Marker,IF(AND(CK$27&gt;ProposalToGnatt[[#This Row],[Start Date]],CK$27&lt;ProposalToGnatt[[#This Row],[Start Date]]+ProposalToGnatt[[#This Row],[Days]]),$G$5,"")),"")</f>
        <v/>
      </c>
      <c r="CL67" s="36" t="str">
        <f ca="1">IFERROR(+IF(CL$27=ProposalToGnatt[[#This Row],[Start Date]],Milestone_Marker,IF(AND(CL$27&gt;ProposalToGnatt[[#This Row],[Start Date]],CL$27&lt;ProposalToGnatt[[#This Row],[Start Date]]+ProposalToGnatt[[#This Row],[Days]]),$G$5,"")),"")</f>
        <v/>
      </c>
      <c r="CM67" s="36" t="str">
        <f ca="1">IFERROR(+IF(CM$27=ProposalToGnatt[[#This Row],[Start Date]],Milestone_Marker,IF(AND(CM$27&gt;ProposalToGnatt[[#This Row],[Start Date]],CM$27&lt;ProposalToGnatt[[#This Row],[Start Date]]+ProposalToGnatt[[#This Row],[Days]]),$G$5,"")),"")</f>
        <v/>
      </c>
      <c r="CN67" s="36" t="str">
        <f ca="1">IFERROR(+IF(CN$27=ProposalToGnatt[[#This Row],[Start Date]],Milestone_Marker,IF(AND(CN$27&gt;ProposalToGnatt[[#This Row],[Start Date]],CN$27&lt;ProposalToGnatt[[#This Row],[Start Date]]+ProposalToGnatt[[#This Row],[Days]]),$G$5,"")),"")</f>
        <v/>
      </c>
      <c r="CO67" s="36" t="str">
        <f ca="1">IFERROR(+IF(CO$27=ProposalToGnatt[[#This Row],[Start Date]],Milestone_Marker,IF(AND(CO$27&gt;ProposalToGnatt[[#This Row],[Start Date]],CO$27&lt;ProposalToGnatt[[#This Row],[Start Date]]+ProposalToGnatt[[#This Row],[Days]]),$G$5,"")),"")</f>
        <v/>
      </c>
      <c r="CP67" s="36" t="str">
        <f ca="1">IFERROR(+IF(CP$27=ProposalToGnatt[[#This Row],[Start Date]],Milestone_Marker,IF(AND(CP$27&gt;ProposalToGnatt[[#This Row],[Start Date]],CP$27&lt;ProposalToGnatt[[#This Row],[Start Date]]+ProposalToGnatt[[#This Row],[Days]]),$G$5,"")),"")</f>
        <v/>
      </c>
      <c r="CQ67" s="36" t="str">
        <f ca="1">IFERROR(+IF(CQ$27=ProposalToGnatt[[#This Row],[Start Date]],Milestone_Marker,IF(AND(CQ$27&gt;ProposalToGnatt[[#This Row],[Start Date]],CQ$27&lt;ProposalToGnatt[[#This Row],[Start Date]]+ProposalToGnatt[[#This Row],[Days]]),$G$5,"")),"")</f>
        <v/>
      </c>
      <c r="CR67" s="36" t="str">
        <f ca="1">IFERROR(+IF(CR$27=ProposalToGnatt[[#This Row],[Start Date]],Milestone_Marker,IF(AND(CR$27&gt;ProposalToGnatt[[#This Row],[Start Date]],CR$27&lt;ProposalToGnatt[[#This Row],[Start Date]]+ProposalToGnatt[[#This Row],[Days]]),$G$5,"")),"")</f>
        <v/>
      </c>
      <c r="CS67" s="36" t="str">
        <f ca="1">IFERROR(+IF(CS$27=ProposalToGnatt[[#This Row],[Start Date]],Milestone_Marker,IF(AND(CS$27&gt;ProposalToGnatt[[#This Row],[Start Date]],CS$27&lt;ProposalToGnatt[[#This Row],[Start Date]]+ProposalToGnatt[[#This Row],[Days]]),$G$5,"")),"")</f>
        <v/>
      </c>
      <c r="CT67" s="36" t="str">
        <f ca="1">IFERROR(+IF(CT$27=ProposalToGnatt[[#This Row],[Start Date]],Milestone_Marker,IF(AND(CT$27&gt;ProposalToGnatt[[#This Row],[Start Date]],CT$27&lt;ProposalToGnatt[[#This Row],[Start Date]]+ProposalToGnatt[[#This Row],[Days]]),$G$5,"")),"")</f>
        <v/>
      </c>
      <c r="CU67" s="36" t="str">
        <f ca="1">IFERROR(+IF(CU$27=ProposalToGnatt[[#This Row],[Start Date]],Milestone_Marker,IF(AND(CU$27&gt;ProposalToGnatt[[#This Row],[Start Date]],CU$27&lt;ProposalToGnatt[[#This Row],[Start Date]]+ProposalToGnatt[[#This Row],[Days]]),$G$5,"")),"")</f>
        <v/>
      </c>
      <c r="CV67" s="36"/>
      <c r="CW67" s="36"/>
      <c r="CX67" s="36"/>
      <c r="CY67" s="36"/>
      <c r="CZ67" s="36"/>
      <c r="DA67" s="36"/>
      <c r="DB67" s="36"/>
      <c r="DC67" s="36"/>
      <c r="DD67" s="36"/>
      <c r="DE67" s="36"/>
      <c r="DF67" s="36"/>
      <c r="DG67" s="36"/>
      <c r="DH67" s="36"/>
      <c r="DI67" s="36"/>
      <c r="DJ67" s="36"/>
      <c r="DK67" s="36"/>
      <c r="DL67" s="36"/>
      <c r="DM67" s="36"/>
      <c r="DN67" s="36"/>
      <c r="DO67" s="36"/>
      <c r="DP67" s="36"/>
      <c r="DQ67" s="36"/>
      <c r="DR67" s="36"/>
      <c r="DS67" s="36"/>
      <c r="DT67" s="36"/>
      <c r="DU67" s="36"/>
    </row>
    <row r="68" spans="1:125" s="41" customFormat="1" ht="15" customHeight="1" x14ac:dyDescent="0.25">
      <c r="A68"/>
      <c r="B68"/>
      <c r="C68"/>
      <c r="D68"/>
      <c r="E68"/>
      <c r="F68"/>
      <c r="G68" s="14"/>
      <c r="H68" s="14"/>
      <c r="I68"/>
      <c r="J68"/>
      <c r="K68" s="246"/>
      <c r="L68"/>
      <c r="M68" s="14"/>
      <c r="N68" s="299"/>
      <c r="O68" s="281"/>
      <c r="P68" s="36" t="str">
        <f ca="1">IFERROR(+IF(P$27=ProposalToGnatt[[#This Row],[Start Date]],Milestone_Marker,IF(AND(P$27&gt;ProposalToGnatt[[#This Row],[Start Date]],P$27&lt;ProposalToGnatt[[#This Row],[Start Date]]+ProposalToGnatt[[#This Row],[Days]]),$G$5,"")),"")</f>
        <v/>
      </c>
      <c r="Q68" s="36" t="str">
        <f ca="1">IFERROR(+IF(Q$27=ProposalToGnatt[[#This Row],[Start Date]],Milestone_Marker,IF(AND(Q$27&gt;ProposalToGnatt[[#This Row],[Start Date]],Q$27&lt;ProposalToGnatt[[#This Row],[Start Date]]+ProposalToGnatt[[#This Row],[Days]]),$G$5,"")),"")</f>
        <v/>
      </c>
      <c r="R68" s="36" t="str">
        <f ca="1">IFERROR(+IF(R$27=ProposalToGnatt[[#This Row],[Start Date]],Milestone_Marker,IF(AND(R$27&gt;ProposalToGnatt[[#This Row],[Start Date]],R$27&lt;ProposalToGnatt[[#This Row],[Start Date]]+ProposalToGnatt[[#This Row],[Days]]),$G$5,"")),"")</f>
        <v/>
      </c>
      <c r="S68" s="36" t="str">
        <f ca="1">IFERROR(+IF(S$27=ProposalToGnatt[[#This Row],[Start Date]],Milestone_Marker,IF(AND(S$27&gt;ProposalToGnatt[[#This Row],[Start Date]],S$27&lt;ProposalToGnatt[[#This Row],[Start Date]]+ProposalToGnatt[[#This Row],[Days]]),$G$5,"")),"")</f>
        <v/>
      </c>
      <c r="T68" s="36" t="str">
        <f ca="1">IFERROR(+IF(T$27=ProposalToGnatt[[#This Row],[Start Date]],Milestone_Marker,IF(AND(T$27&gt;ProposalToGnatt[[#This Row],[Start Date]],T$27&lt;ProposalToGnatt[[#This Row],[Start Date]]+ProposalToGnatt[[#This Row],[Days]]),$G$5,"")),"")</f>
        <v/>
      </c>
      <c r="U68" s="36" t="str">
        <f ca="1">IFERROR(+IF(U$27=ProposalToGnatt[[#This Row],[Start Date]],Milestone_Marker,IF(AND(U$27&gt;ProposalToGnatt[[#This Row],[Start Date]],U$27&lt;ProposalToGnatt[[#This Row],[Start Date]]+ProposalToGnatt[[#This Row],[Days]]),$G$5,"")),"")</f>
        <v/>
      </c>
      <c r="V68" s="36" t="str">
        <f ca="1">IFERROR(+IF(V$27=ProposalToGnatt[[#This Row],[Start Date]],Milestone_Marker,IF(AND(V$27&gt;ProposalToGnatt[[#This Row],[Start Date]],V$27&lt;ProposalToGnatt[[#This Row],[Start Date]]+ProposalToGnatt[[#This Row],[Days]]),$G$5,"")),"")</f>
        <v/>
      </c>
      <c r="W68" s="36" t="str">
        <f ca="1">IFERROR(+IF(W$27=ProposalToGnatt[[#This Row],[Start Date]],Milestone_Marker,IF(AND(W$27&gt;ProposalToGnatt[[#This Row],[Start Date]],W$27&lt;ProposalToGnatt[[#This Row],[Start Date]]+ProposalToGnatt[[#This Row],[Days]]),$G$5,"")),"")</f>
        <v/>
      </c>
      <c r="X68" s="36" t="str">
        <f ca="1">IFERROR(+IF(X$27=ProposalToGnatt[[#This Row],[Start Date]],Milestone_Marker,IF(AND(X$27&gt;ProposalToGnatt[[#This Row],[Start Date]],X$27&lt;ProposalToGnatt[[#This Row],[Start Date]]+ProposalToGnatt[[#This Row],[Days]]),$G$5,"")),"")</f>
        <v/>
      </c>
      <c r="Y68" s="36" t="str">
        <f ca="1">IFERROR(+IF(Y$27=ProposalToGnatt[[#This Row],[Start Date]],Milestone_Marker,IF(AND(Y$27&gt;ProposalToGnatt[[#This Row],[Start Date]],Y$27&lt;ProposalToGnatt[[#This Row],[Start Date]]+ProposalToGnatt[[#This Row],[Days]]),$G$5,"")),"")</f>
        <v/>
      </c>
      <c r="Z68" s="36" t="str">
        <f ca="1">IFERROR(+IF(Z$27=ProposalToGnatt[[#This Row],[Start Date]],Milestone_Marker,IF(AND(Z$27&gt;ProposalToGnatt[[#This Row],[Start Date]],Z$27&lt;ProposalToGnatt[[#This Row],[Start Date]]+ProposalToGnatt[[#This Row],[Days]]),$G$5,"")),"")</f>
        <v/>
      </c>
      <c r="AA68" s="36" t="str">
        <f ca="1">IFERROR(+IF(AA$27=ProposalToGnatt[[#This Row],[Start Date]],Milestone_Marker,IF(AND(AA$27&gt;ProposalToGnatt[[#This Row],[Start Date]],AA$27&lt;ProposalToGnatt[[#This Row],[Start Date]]+ProposalToGnatt[[#This Row],[Days]]),$G$5,"")),"")</f>
        <v/>
      </c>
      <c r="AB68" s="36" t="str">
        <f ca="1">IFERROR(+IF(AB$27=ProposalToGnatt[[#This Row],[Start Date]],Milestone_Marker,IF(AND(AB$27&gt;ProposalToGnatt[[#This Row],[Start Date]],AB$27&lt;ProposalToGnatt[[#This Row],[Start Date]]+ProposalToGnatt[[#This Row],[Days]]),$G$5,"")),"")</f>
        <v/>
      </c>
      <c r="AC68" s="36" t="str">
        <f ca="1">IFERROR(+IF(AC$27=ProposalToGnatt[[#This Row],[Start Date]],Milestone_Marker,IF(AND(AC$27&gt;ProposalToGnatt[[#This Row],[Start Date]],AC$27&lt;ProposalToGnatt[[#This Row],[Start Date]]+ProposalToGnatt[[#This Row],[Days]]),$G$5,"")),"")</f>
        <v/>
      </c>
      <c r="AD68" s="36" t="str">
        <f ca="1">IFERROR(+IF(AD$27=ProposalToGnatt[[#This Row],[Start Date]],Milestone_Marker,IF(AND(AD$27&gt;ProposalToGnatt[[#This Row],[Start Date]],AD$27&lt;ProposalToGnatt[[#This Row],[Start Date]]+ProposalToGnatt[[#This Row],[Days]]),$G$5,"")),"")</f>
        <v/>
      </c>
      <c r="AE68" s="36" t="str">
        <f ca="1">IFERROR(+IF(AE$27=ProposalToGnatt[[#This Row],[Start Date]],Milestone_Marker,IF(AND(AE$27&gt;ProposalToGnatt[[#This Row],[Start Date]],AE$27&lt;ProposalToGnatt[[#This Row],[Start Date]]+ProposalToGnatt[[#This Row],[Days]]),$G$5,"")),"")</f>
        <v/>
      </c>
      <c r="AF68" s="36" t="str">
        <f ca="1">IFERROR(+IF(AF$27=ProposalToGnatt[[#This Row],[Start Date]],Milestone_Marker,IF(AND(AF$27&gt;ProposalToGnatt[[#This Row],[Start Date]],AF$27&lt;ProposalToGnatt[[#This Row],[Start Date]]+ProposalToGnatt[[#This Row],[Days]]),$G$5,"")),"")</f>
        <v/>
      </c>
      <c r="AG68" s="36" t="str">
        <f ca="1">IFERROR(+IF(AG$27=ProposalToGnatt[[#This Row],[Start Date]],Milestone_Marker,IF(AND(AG$27&gt;ProposalToGnatt[[#This Row],[Start Date]],AG$27&lt;ProposalToGnatt[[#This Row],[Start Date]]+ProposalToGnatt[[#This Row],[Days]]),$G$5,"")),"")</f>
        <v/>
      </c>
      <c r="AH68" s="36" t="str">
        <f ca="1">IFERROR(+IF(AH$27=ProposalToGnatt[[#This Row],[Start Date]],Milestone_Marker,IF(AND(AH$27&gt;ProposalToGnatt[[#This Row],[Start Date]],AH$27&lt;ProposalToGnatt[[#This Row],[Start Date]]+ProposalToGnatt[[#This Row],[Days]]),$G$5,"")),"")</f>
        <v/>
      </c>
      <c r="AI68" s="36" t="str">
        <f ca="1">IFERROR(+IF(AI$27=ProposalToGnatt[[#This Row],[Start Date]],Milestone_Marker,IF(AND(AI$27&gt;ProposalToGnatt[[#This Row],[Start Date]],AI$27&lt;ProposalToGnatt[[#This Row],[Start Date]]+ProposalToGnatt[[#This Row],[Days]]),$G$5,"")),"")</f>
        <v/>
      </c>
      <c r="AJ68" s="36" t="str">
        <f ca="1">IFERROR(+IF(AJ$27=ProposalToGnatt[[#This Row],[Start Date]],Milestone_Marker,IF(AND(AJ$27&gt;ProposalToGnatt[[#This Row],[Start Date]],AJ$27&lt;ProposalToGnatt[[#This Row],[Start Date]]+ProposalToGnatt[[#This Row],[Days]]),$G$5,"")),"")</f>
        <v/>
      </c>
      <c r="AK68" s="36" t="str">
        <f ca="1">IFERROR(+IF(AK$27=ProposalToGnatt[[#This Row],[Start Date]],Milestone_Marker,IF(AND(AK$27&gt;ProposalToGnatt[[#This Row],[Start Date]],AK$27&lt;ProposalToGnatt[[#This Row],[Start Date]]+ProposalToGnatt[[#This Row],[Days]]),$G$5,"")),"")</f>
        <v/>
      </c>
      <c r="AL68" s="36" t="str">
        <f ca="1">IFERROR(+IF(AL$27=ProposalToGnatt[[#This Row],[Start Date]],Milestone_Marker,IF(AND(AL$27&gt;ProposalToGnatt[[#This Row],[Start Date]],AL$27&lt;ProposalToGnatt[[#This Row],[Start Date]]+ProposalToGnatt[[#This Row],[Days]]),$G$5,"")),"")</f>
        <v/>
      </c>
      <c r="AM68" s="36" t="str">
        <f ca="1">IFERROR(+IF(AM$27=ProposalToGnatt[[#This Row],[Start Date]],Milestone_Marker,IF(AND(AM$27&gt;ProposalToGnatt[[#This Row],[Start Date]],AM$27&lt;ProposalToGnatt[[#This Row],[Start Date]]+ProposalToGnatt[[#This Row],[Days]]),$G$5,"")),"")</f>
        <v/>
      </c>
      <c r="AN68" s="36" t="str">
        <f ca="1">IFERROR(+IF(AN$27=ProposalToGnatt[[#This Row],[Start Date]],Milestone_Marker,IF(AND(AN$27&gt;ProposalToGnatt[[#This Row],[Start Date]],AN$27&lt;ProposalToGnatt[[#This Row],[Start Date]]+ProposalToGnatt[[#This Row],[Days]]),$G$5,"")),"")</f>
        <v/>
      </c>
      <c r="AO68" s="36" t="str">
        <f ca="1">IFERROR(+IF(AO$27=ProposalToGnatt[[#This Row],[Start Date]],Milestone_Marker,IF(AND(AO$27&gt;ProposalToGnatt[[#This Row],[Start Date]],AO$27&lt;ProposalToGnatt[[#This Row],[Start Date]]+ProposalToGnatt[[#This Row],[Days]]),$G$5,"")),"")</f>
        <v/>
      </c>
      <c r="AP68" s="36" t="str">
        <f ca="1">IFERROR(+IF(AP$27=ProposalToGnatt[[#This Row],[Start Date]],Milestone_Marker,IF(AND(AP$27&gt;ProposalToGnatt[[#This Row],[Start Date]],AP$27&lt;ProposalToGnatt[[#This Row],[Start Date]]+ProposalToGnatt[[#This Row],[Days]]),$G$5,"")),"")</f>
        <v/>
      </c>
      <c r="AQ68" s="36" t="str">
        <f ca="1">IFERROR(+IF(AQ$27=ProposalToGnatt[[#This Row],[Start Date]],Milestone_Marker,IF(AND(AQ$27&gt;ProposalToGnatt[[#This Row],[Start Date]],AQ$27&lt;ProposalToGnatt[[#This Row],[Start Date]]+ProposalToGnatt[[#This Row],[Days]]),$G$5,"")),"")</f>
        <v/>
      </c>
      <c r="AR68" s="36" t="str">
        <f ca="1">IFERROR(+IF(AR$27=ProposalToGnatt[[#This Row],[Start Date]],Milestone_Marker,IF(AND(AR$27&gt;ProposalToGnatt[[#This Row],[Start Date]],AR$27&lt;ProposalToGnatt[[#This Row],[Start Date]]+ProposalToGnatt[[#This Row],[Days]]),$G$5,"")),"")</f>
        <v/>
      </c>
      <c r="AS68" s="36" t="str">
        <f ca="1">IFERROR(+IF(AS$27=ProposalToGnatt[[#This Row],[Start Date]],Milestone_Marker,IF(AND(AS$27&gt;ProposalToGnatt[[#This Row],[Start Date]],AS$27&lt;ProposalToGnatt[[#This Row],[Start Date]]+ProposalToGnatt[[#This Row],[Days]]),$G$5,"")),"")</f>
        <v/>
      </c>
      <c r="AT68" s="36" t="str">
        <f ca="1">IFERROR(+IF(AT$27=ProposalToGnatt[[#This Row],[Start Date]],Milestone_Marker,IF(AND(AT$27&gt;ProposalToGnatt[[#This Row],[Start Date]],AT$27&lt;ProposalToGnatt[[#This Row],[Start Date]]+ProposalToGnatt[[#This Row],[Days]]),$G$5,"")),"")</f>
        <v/>
      </c>
      <c r="AU68" s="36" t="str">
        <f ca="1">IFERROR(+IF(AU$27=ProposalToGnatt[[#This Row],[Start Date]],Milestone_Marker,IF(AND(AU$27&gt;ProposalToGnatt[[#This Row],[Start Date]],AU$27&lt;ProposalToGnatt[[#This Row],[Start Date]]+ProposalToGnatt[[#This Row],[Days]]),$G$5,"")),"")</f>
        <v/>
      </c>
      <c r="AV68" s="36" t="str">
        <f ca="1">IFERROR(+IF(AV$27=ProposalToGnatt[[#This Row],[Start Date]],Milestone_Marker,IF(AND(AV$27&gt;ProposalToGnatt[[#This Row],[Start Date]],AV$27&lt;ProposalToGnatt[[#This Row],[Start Date]]+ProposalToGnatt[[#This Row],[Days]]),$G$5,"")),"")</f>
        <v/>
      </c>
      <c r="AW68" s="36" t="str">
        <f ca="1">IFERROR(+IF(AW$27=ProposalToGnatt[[#This Row],[Start Date]],Milestone_Marker,IF(AND(AW$27&gt;ProposalToGnatt[[#This Row],[Start Date]],AW$27&lt;ProposalToGnatt[[#This Row],[Start Date]]+ProposalToGnatt[[#This Row],[Days]]),$G$5,"")),"")</f>
        <v/>
      </c>
      <c r="AX68" s="36" t="str">
        <f ca="1">IFERROR(+IF(AX$27=ProposalToGnatt[[#This Row],[Start Date]],Milestone_Marker,IF(AND(AX$27&gt;ProposalToGnatt[[#This Row],[Start Date]],AX$27&lt;ProposalToGnatt[[#This Row],[Start Date]]+ProposalToGnatt[[#This Row],[Days]]),$G$5,"")),"")</f>
        <v/>
      </c>
      <c r="AY68" s="36" t="str">
        <f ca="1">IFERROR(+IF(AY$27=ProposalToGnatt[[#This Row],[Start Date]],Milestone_Marker,IF(AND(AY$27&gt;ProposalToGnatt[[#This Row],[Start Date]],AY$27&lt;ProposalToGnatt[[#This Row],[Start Date]]+ProposalToGnatt[[#This Row],[Days]]),$G$5,"")),"")</f>
        <v/>
      </c>
      <c r="AZ68" s="36" t="str">
        <f ca="1">IFERROR(+IF(AZ$27=ProposalToGnatt[[#This Row],[Start Date]],Milestone_Marker,IF(AND(AZ$27&gt;ProposalToGnatt[[#This Row],[Start Date]],AZ$27&lt;ProposalToGnatt[[#This Row],[Start Date]]+ProposalToGnatt[[#This Row],[Days]]),$G$5,"")),"")</f>
        <v/>
      </c>
      <c r="BA68" s="36" t="str">
        <f ca="1">IFERROR(+IF(BA$27=ProposalToGnatt[[#This Row],[Start Date]],Milestone_Marker,IF(AND(BA$27&gt;ProposalToGnatt[[#This Row],[Start Date]],BA$27&lt;ProposalToGnatt[[#This Row],[Start Date]]+ProposalToGnatt[[#This Row],[Days]]),$G$5,"")),"")</f>
        <v/>
      </c>
      <c r="BB68" s="36" t="str">
        <f ca="1">IFERROR(+IF(BB$27=ProposalToGnatt[[#This Row],[Start Date]],Milestone_Marker,IF(AND(BB$27&gt;ProposalToGnatt[[#This Row],[Start Date]],BB$27&lt;ProposalToGnatt[[#This Row],[Start Date]]+ProposalToGnatt[[#This Row],[Days]]),$G$5,"")),"")</f>
        <v/>
      </c>
      <c r="BC68" s="36" t="str">
        <f ca="1">IFERROR(+IF(BC$27=ProposalToGnatt[[#This Row],[Start Date]],Milestone_Marker,IF(AND(BC$27&gt;ProposalToGnatt[[#This Row],[Start Date]],BC$27&lt;ProposalToGnatt[[#This Row],[Start Date]]+ProposalToGnatt[[#This Row],[Days]]),$G$5,"")),"")</f>
        <v/>
      </c>
      <c r="BD68" s="36" t="str">
        <f ca="1">IFERROR(+IF(BD$27=ProposalToGnatt[[#This Row],[Start Date]],Milestone_Marker,IF(AND(BD$27&gt;ProposalToGnatt[[#This Row],[Start Date]],BD$27&lt;ProposalToGnatt[[#This Row],[Start Date]]+ProposalToGnatt[[#This Row],[Days]]),$G$5,"")),"")</f>
        <v/>
      </c>
      <c r="BE68" s="36" t="str">
        <f ca="1">IFERROR(+IF(BE$27=ProposalToGnatt[[#This Row],[Start Date]],Milestone_Marker,IF(AND(BE$27&gt;ProposalToGnatt[[#This Row],[Start Date]],BE$27&lt;ProposalToGnatt[[#This Row],[Start Date]]+ProposalToGnatt[[#This Row],[Days]]),$G$5,"")),"")</f>
        <v/>
      </c>
      <c r="BF68" s="36" t="str">
        <f ca="1">IFERROR(+IF(BF$27=ProposalToGnatt[[#This Row],[Start Date]],Milestone_Marker,IF(AND(BF$27&gt;ProposalToGnatt[[#This Row],[Start Date]],BF$27&lt;ProposalToGnatt[[#This Row],[Start Date]]+ProposalToGnatt[[#This Row],[Days]]),$G$5,"")),"")</f>
        <v/>
      </c>
      <c r="BG68" s="36" t="str">
        <f ca="1">IFERROR(+IF(BG$27=ProposalToGnatt[[#This Row],[Start Date]],Milestone_Marker,IF(AND(BG$27&gt;ProposalToGnatt[[#This Row],[Start Date]],BG$27&lt;ProposalToGnatt[[#This Row],[Start Date]]+ProposalToGnatt[[#This Row],[Days]]),$G$5,"")),"")</f>
        <v/>
      </c>
      <c r="BH68" s="36" t="str">
        <f ca="1">IFERROR(+IF(BH$27=ProposalToGnatt[[#This Row],[Start Date]],Milestone_Marker,IF(AND(BH$27&gt;ProposalToGnatt[[#This Row],[Start Date]],BH$27&lt;ProposalToGnatt[[#This Row],[Start Date]]+ProposalToGnatt[[#This Row],[Days]]),$G$5,"")),"")</f>
        <v/>
      </c>
      <c r="BI68" s="36" t="str">
        <f ca="1">IFERROR(+IF(BI$27=ProposalToGnatt[[#This Row],[Start Date]],Milestone_Marker,IF(AND(BI$27&gt;ProposalToGnatt[[#This Row],[Start Date]],BI$27&lt;ProposalToGnatt[[#This Row],[Start Date]]+ProposalToGnatt[[#This Row],[Days]]),$G$5,"")),"")</f>
        <v/>
      </c>
      <c r="BJ68" s="36" t="str">
        <f ca="1">IFERROR(+IF(BJ$27=ProposalToGnatt[[#This Row],[Start Date]],Milestone_Marker,IF(AND(BJ$27&gt;ProposalToGnatt[[#This Row],[Start Date]],BJ$27&lt;ProposalToGnatt[[#This Row],[Start Date]]+ProposalToGnatt[[#This Row],[Days]]),$G$5,"")),"")</f>
        <v/>
      </c>
      <c r="BK68" s="36" t="str">
        <f ca="1">IFERROR(+IF(BK$27=ProposalToGnatt[[#This Row],[Start Date]],Milestone_Marker,IF(AND(BK$27&gt;ProposalToGnatt[[#This Row],[Start Date]],BK$27&lt;ProposalToGnatt[[#This Row],[Start Date]]+ProposalToGnatt[[#This Row],[Days]]),$G$5,"")),"")</f>
        <v/>
      </c>
      <c r="BL68" s="36" t="str">
        <f ca="1">IFERROR(+IF(BL$27=ProposalToGnatt[[#This Row],[Start Date]],Milestone_Marker,IF(AND(BL$27&gt;ProposalToGnatt[[#This Row],[Start Date]],BL$27&lt;ProposalToGnatt[[#This Row],[Start Date]]+ProposalToGnatt[[#This Row],[Days]]),$G$5,"")),"")</f>
        <v/>
      </c>
      <c r="BM68" s="36" t="str">
        <f ca="1">IFERROR(+IF(BM$27=ProposalToGnatt[[#This Row],[Start Date]],Milestone_Marker,IF(AND(BM$27&gt;ProposalToGnatt[[#This Row],[Start Date]],BM$27&lt;ProposalToGnatt[[#This Row],[Start Date]]+ProposalToGnatt[[#This Row],[Days]]),$G$5,"")),"")</f>
        <v/>
      </c>
      <c r="BN68" s="36" t="str">
        <f ca="1">IFERROR(+IF(BN$27=ProposalToGnatt[[#This Row],[Start Date]],Milestone_Marker,IF(AND(BN$27&gt;ProposalToGnatt[[#This Row],[Start Date]],BN$27&lt;ProposalToGnatt[[#This Row],[Start Date]]+ProposalToGnatt[[#This Row],[Days]]),$G$5,"")),"")</f>
        <v/>
      </c>
      <c r="BO68" s="36" t="str">
        <f ca="1">IFERROR(+IF(BO$27=ProposalToGnatt[[#This Row],[Start Date]],Milestone_Marker,IF(AND(BO$27&gt;ProposalToGnatt[[#This Row],[Start Date]],BO$27&lt;ProposalToGnatt[[#This Row],[Start Date]]+ProposalToGnatt[[#This Row],[Days]]),$G$5,"")),"")</f>
        <v/>
      </c>
      <c r="BP68" s="36" t="str">
        <f ca="1">IFERROR(+IF(BP$27=ProposalToGnatt[[#This Row],[Start Date]],Milestone_Marker,IF(AND(BP$27&gt;ProposalToGnatt[[#This Row],[Start Date]],BP$27&lt;ProposalToGnatt[[#This Row],[Start Date]]+ProposalToGnatt[[#This Row],[Days]]),$G$5,"")),"")</f>
        <v/>
      </c>
      <c r="BQ68" s="36" t="str">
        <f ca="1">IFERROR(+IF(BQ$27=ProposalToGnatt[[#This Row],[Start Date]],Milestone_Marker,IF(AND(BQ$27&gt;ProposalToGnatt[[#This Row],[Start Date]],BQ$27&lt;ProposalToGnatt[[#This Row],[Start Date]]+ProposalToGnatt[[#This Row],[Days]]),$G$5,"")),"")</f>
        <v/>
      </c>
      <c r="BR68" s="36" t="str">
        <f ca="1">IFERROR(+IF(BR$27=ProposalToGnatt[[#This Row],[Start Date]],Milestone_Marker,IF(AND(BR$27&gt;ProposalToGnatt[[#This Row],[Start Date]],BR$27&lt;ProposalToGnatt[[#This Row],[Start Date]]+ProposalToGnatt[[#This Row],[Days]]),$G$5,"")),"")</f>
        <v/>
      </c>
      <c r="BS68" s="36" t="str">
        <f ca="1">IFERROR(+IF(BS$27=ProposalToGnatt[[#This Row],[Start Date]],Milestone_Marker,IF(AND(BS$27&gt;ProposalToGnatt[[#This Row],[Start Date]],BS$27&lt;ProposalToGnatt[[#This Row],[Start Date]]+ProposalToGnatt[[#This Row],[Days]]),$G$5,"")),"")</f>
        <v/>
      </c>
      <c r="BT68" s="36" t="str">
        <f ca="1">IFERROR(+IF(BT$27=ProposalToGnatt[[#This Row],[Start Date]],Milestone_Marker,IF(AND(BT$27&gt;ProposalToGnatt[[#This Row],[Start Date]],BT$27&lt;ProposalToGnatt[[#This Row],[Start Date]]+ProposalToGnatt[[#This Row],[Days]]),$G$5,"")),"")</f>
        <v/>
      </c>
      <c r="BU68" s="36" t="str">
        <f ca="1">IFERROR(+IF(BU$27=ProposalToGnatt[[#This Row],[Start Date]],Milestone_Marker,IF(AND(BU$27&gt;ProposalToGnatt[[#This Row],[Start Date]],BU$27&lt;ProposalToGnatt[[#This Row],[Start Date]]+ProposalToGnatt[[#This Row],[Days]]),$G$5,"")),"")</f>
        <v/>
      </c>
      <c r="BV68" s="36" t="str">
        <f ca="1">IFERROR(+IF(BV$27=ProposalToGnatt[[#This Row],[Start Date]],Milestone_Marker,IF(AND(BV$27&gt;ProposalToGnatt[[#This Row],[Start Date]],BV$27&lt;ProposalToGnatt[[#This Row],[Start Date]]+ProposalToGnatt[[#This Row],[Days]]),$G$5,"")),"")</f>
        <v/>
      </c>
      <c r="BW68" s="36" t="str">
        <f ca="1">IFERROR(+IF(BW$27=ProposalToGnatt[[#This Row],[Start Date]],Milestone_Marker,IF(AND(BW$27&gt;ProposalToGnatt[[#This Row],[Start Date]],BW$27&lt;ProposalToGnatt[[#This Row],[Start Date]]+ProposalToGnatt[[#This Row],[Days]]),$G$5,"")),"")</f>
        <v/>
      </c>
      <c r="BX68" s="36" t="str">
        <f ca="1">IFERROR(+IF(BX$27=ProposalToGnatt[[#This Row],[Start Date]],Milestone_Marker,IF(AND(BX$27&gt;ProposalToGnatt[[#This Row],[Start Date]],BX$27&lt;ProposalToGnatt[[#This Row],[Start Date]]+ProposalToGnatt[[#This Row],[Days]]),$G$5,"")),"")</f>
        <v/>
      </c>
      <c r="BY68" s="36" t="str">
        <f ca="1">IFERROR(+IF(BY$27=ProposalToGnatt[[#This Row],[Start Date]],Milestone_Marker,IF(AND(BY$27&gt;ProposalToGnatt[[#This Row],[Start Date]],BY$27&lt;ProposalToGnatt[[#This Row],[Start Date]]+ProposalToGnatt[[#This Row],[Days]]),$G$5,"")),"")</f>
        <v/>
      </c>
      <c r="BZ68" s="36" t="str">
        <f ca="1">IFERROR(+IF(BZ$27=ProposalToGnatt[[#This Row],[Start Date]],Milestone_Marker,IF(AND(BZ$27&gt;ProposalToGnatt[[#This Row],[Start Date]],BZ$27&lt;ProposalToGnatt[[#This Row],[Start Date]]+ProposalToGnatt[[#This Row],[Days]]),$G$5,"")),"")</f>
        <v/>
      </c>
      <c r="CA68" s="36" t="str">
        <f ca="1">IFERROR(+IF(CA$27=ProposalToGnatt[[#This Row],[Start Date]],Milestone_Marker,IF(AND(CA$27&gt;ProposalToGnatt[[#This Row],[Start Date]],CA$27&lt;ProposalToGnatt[[#This Row],[Start Date]]+ProposalToGnatt[[#This Row],[Days]]),$G$5,"")),"")</f>
        <v/>
      </c>
      <c r="CB68" s="36" t="str">
        <f ca="1">IFERROR(+IF(CB$27=ProposalToGnatt[[#This Row],[Start Date]],Milestone_Marker,IF(AND(CB$27&gt;ProposalToGnatt[[#This Row],[Start Date]],CB$27&lt;ProposalToGnatt[[#This Row],[Start Date]]+ProposalToGnatt[[#This Row],[Days]]),$G$5,"")),"")</f>
        <v/>
      </c>
      <c r="CC68" s="36" t="str">
        <f ca="1">IFERROR(+IF(CC$27=ProposalToGnatt[[#This Row],[Start Date]],Milestone_Marker,IF(AND(CC$27&gt;ProposalToGnatt[[#This Row],[Start Date]],CC$27&lt;ProposalToGnatt[[#This Row],[Start Date]]+ProposalToGnatt[[#This Row],[Days]]),$G$5,"")),"")</f>
        <v/>
      </c>
      <c r="CD68" s="36" t="str">
        <f ca="1">IFERROR(+IF(CD$27=ProposalToGnatt[[#This Row],[Start Date]],Milestone_Marker,IF(AND(CD$27&gt;ProposalToGnatt[[#This Row],[Start Date]],CD$27&lt;ProposalToGnatt[[#This Row],[Start Date]]+ProposalToGnatt[[#This Row],[Days]]),$G$5,"")),"")</f>
        <v/>
      </c>
      <c r="CE68" s="36" t="str">
        <f ca="1">IFERROR(+IF(CE$27=ProposalToGnatt[[#This Row],[Start Date]],Milestone_Marker,IF(AND(CE$27&gt;ProposalToGnatt[[#This Row],[Start Date]],CE$27&lt;ProposalToGnatt[[#This Row],[Start Date]]+ProposalToGnatt[[#This Row],[Days]]),$G$5,"")),"")</f>
        <v/>
      </c>
      <c r="CF68" s="36" t="str">
        <f ca="1">IFERROR(+IF(CF$27=ProposalToGnatt[[#This Row],[Start Date]],Milestone_Marker,IF(AND(CF$27&gt;ProposalToGnatt[[#This Row],[Start Date]],CF$27&lt;ProposalToGnatt[[#This Row],[Start Date]]+ProposalToGnatt[[#This Row],[Days]]),$G$5,"")),"")</f>
        <v/>
      </c>
      <c r="CG68" s="36" t="str">
        <f ca="1">IFERROR(+IF(CG$27=ProposalToGnatt[[#This Row],[Start Date]],Milestone_Marker,IF(AND(CG$27&gt;ProposalToGnatt[[#This Row],[Start Date]],CG$27&lt;ProposalToGnatt[[#This Row],[Start Date]]+ProposalToGnatt[[#This Row],[Days]]),$G$5,"")),"")</f>
        <v/>
      </c>
      <c r="CH68" s="36" t="str">
        <f ca="1">IFERROR(+IF(CH$27=ProposalToGnatt[[#This Row],[Start Date]],Milestone_Marker,IF(AND(CH$27&gt;ProposalToGnatt[[#This Row],[Start Date]],CH$27&lt;ProposalToGnatt[[#This Row],[Start Date]]+ProposalToGnatt[[#This Row],[Days]]),$G$5,"")),"")</f>
        <v/>
      </c>
      <c r="CI68" s="36" t="str">
        <f ca="1">IFERROR(+IF(CI$27=ProposalToGnatt[[#This Row],[Start Date]],Milestone_Marker,IF(AND(CI$27&gt;ProposalToGnatt[[#This Row],[Start Date]],CI$27&lt;ProposalToGnatt[[#This Row],[Start Date]]+ProposalToGnatt[[#This Row],[Days]]),$G$5,"")),"")</f>
        <v/>
      </c>
      <c r="CJ68" s="36" t="str">
        <f ca="1">IFERROR(+IF(CJ$27=ProposalToGnatt[[#This Row],[Start Date]],Milestone_Marker,IF(AND(CJ$27&gt;ProposalToGnatt[[#This Row],[Start Date]],CJ$27&lt;ProposalToGnatt[[#This Row],[Start Date]]+ProposalToGnatt[[#This Row],[Days]]),$G$5,"")),"")</f>
        <v/>
      </c>
      <c r="CK68" s="36" t="str">
        <f ca="1">IFERROR(+IF(CK$27=ProposalToGnatt[[#This Row],[Start Date]],Milestone_Marker,IF(AND(CK$27&gt;ProposalToGnatt[[#This Row],[Start Date]],CK$27&lt;ProposalToGnatt[[#This Row],[Start Date]]+ProposalToGnatt[[#This Row],[Days]]),$G$5,"")),"")</f>
        <v/>
      </c>
      <c r="CL68" s="36" t="str">
        <f ca="1">IFERROR(+IF(CL$27=ProposalToGnatt[[#This Row],[Start Date]],Milestone_Marker,IF(AND(CL$27&gt;ProposalToGnatt[[#This Row],[Start Date]],CL$27&lt;ProposalToGnatt[[#This Row],[Start Date]]+ProposalToGnatt[[#This Row],[Days]]),$G$5,"")),"")</f>
        <v/>
      </c>
      <c r="CM68" s="36" t="str">
        <f ca="1">IFERROR(+IF(CM$27=ProposalToGnatt[[#This Row],[Start Date]],Milestone_Marker,IF(AND(CM$27&gt;ProposalToGnatt[[#This Row],[Start Date]],CM$27&lt;ProposalToGnatt[[#This Row],[Start Date]]+ProposalToGnatt[[#This Row],[Days]]),$G$5,"")),"")</f>
        <v/>
      </c>
      <c r="CN68" s="36" t="str">
        <f ca="1">IFERROR(+IF(CN$27=ProposalToGnatt[[#This Row],[Start Date]],Milestone_Marker,IF(AND(CN$27&gt;ProposalToGnatt[[#This Row],[Start Date]],CN$27&lt;ProposalToGnatt[[#This Row],[Start Date]]+ProposalToGnatt[[#This Row],[Days]]),$G$5,"")),"")</f>
        <v/>
      </c>
      <c r="CO68" s="36" t="str">
        <f ca="1">IFERROR(+IF(CO$27=ProposalToGnatt[[#This Row],[Start Date]],Milestone_Marker,IF(AND(CO$27&gt;ProposalToGnatt[[#This Row],[Start Date]],CO$27&lt;ProposalToGnatt[[#This Row],[Start Date]]+ProposalToGnatt[[#This Row],[Days]]),$G$5,"")),"")</f>
        <v/>
      </c>
      <c r="CP68" s="36" t="str">
        <f ca="1">IFERROR(+IF(CP$27=ProposalToGnatt[[#This Row],[Start Date]],Milestone_Marker,IF(AND(CP$27&gt;ProposalToGnatt[[#This Row],[Start Date]],CP$27&lt;ProposalToGnatt[[#This Row],[Start Date]]+ProposalToGnatt[[#This Row],[Days]]),$G$5,"")),"")</f>
        <v/>
      </c>
      <c r="CQ68" s="36" t="str">
        <f ca="1">IFERROR(+IF(CQ$27=ProposalToGnatt[[#This Row],[Start Date]],Milestone_Marker,IF(AND(CQ$27&gt;ProposalToGnatt[[#This Row],[Start Date]],CQ$27&lt;ProposalToGnatt[[#This Row],[Start Date]]+ProposalToGnatt[[#This Row],[Days]]),$G$5,"")),"")</f>
        <v/>
      </c>
      <c r="CR68" s="36" t="str">
        <f ca="1">IFERROR(+IF(CR$27=ProposalToGnatt[[#This Row],[Start Date]],Milestone_Marker,IF(AND(CR$27&gt;ProposalToGnatt[[#This Row],[Start Date]],CR$27&lt;ProposalToGnatt[[#This Row],[Start Date]]+ProposalToGnatt[[#This Row],[Days]]),$G$5,"")),"")</f>
        <v/>
      </c>
      <c r="CS68" s="36" t="str">
        <f ca="1">IFERROR(+IF(CS$27=ProposalToGnatt[[#This Row],[Start Date]],Milestone_Marker,IF(AND(CS$27&gt;ProposalToGnatt[[#This Row],[Start Date]],CS$27&lt;ProposalToGnatt[[#This Row],[Start Date]]+ProposalToGnatt[[#This Row],[Days]]),$G$5,"")),"")</f>
        <v/>
      </c>
      <c r="CT68" s="36" t="str">
        <f ca="1">IFERROR(+IF(CT$27=ProposalToGnatt[[#This Row],[Start Date]],Milestone_Marker,IF(AND(CT$27&gt;ProposalToGnatt[[#This Row],[Start Date]],CT$27&lt;ProposalToGnatt[[#This Row],[Start Date]]+ProposalToGnatt[[#This Row],[Days]]),$G$5,"")),"")</f>
        <v/>
      </c>
      <c r="CU68" s="36" t="str">
        <f ca="1">IFERROR(+IF(CU$27=ProposalToGnatt[[#This Row],[Start Date]],Milestone_Marker,IF(AND(CU$27&gt;ProposalToGnatt[[#This Row],[Start Date]],CU$27&lt;ProposalToGnatt[[#This Row],[Start Date]]+ProposalToGnatt[[#This Row],[Days]]),$G$5,"")),"")</f>
        <v/>
      </c>
      <c r="CV68" s="36"/>
      <c r="CW68" s="36"/>
      <c r="CX68" s="36"/>
      <c r="CY68" s="36"/>
      <c r="CZ68" s="36"/>
      <c r="DA68" s="36"/>
      <c r="DB68" s="36"/>
      <c r="DC68" s="36"/>
      <c r="DD68" s="36"/>
      <c r="DE68" s="36"/>
      <c r="DF68" s="36"/>
      <c r="DG68" s="36"/>
      <c r="DH68" s="36"/>
      <c r="DI68" s="36"/>
      <c r="DJ68" s="36"/>
      <c r="DK68" s="36"/>
      <c r="DL68" s="36"/>
      <c r="DM68" s="36"/>
      <c r="DN68" s="36"/>
      <c r="DO68" s="36"/>
      <c r="DP68" s="36"/>
      <c r="DQ68" s="36"/>
      <c r="DR68" s="36"/>
      <c r="DS68" s="36"/>
      <c r="DT68" s="36"/>
      <c r="DU68" s="36"/>
    </row>
    <row r="69" spans="1:125" s="41" customFormat="1" ht="15" x14ac:dyDescent="0.25">
      <c r="A69"/>
      <c r="B69"/>
      <c r="C69"/>
      <c r="D69"/>
      <c r="E69"/>
      <c r="F69"/>
      <c r="G69" s="14"/>
      <c r="H69" s="14"/>
      <c r="I69"/>
      <c r="J69"/>
      <c r="K69" s="246"/>
      <c r="L69"/>
      <c r="M69" s="14"/>
      <c r="N69" s="299"/>
      <c r="O69" s="281"/>
      <c r="P69" s="36" t="str">
        <f ca="1">IFERROR(+IF(P$27=ProposalToGnatt[[#This Row],[Start Date]],Milestone_Marker,IF(AND(P$27&gt;ProposalToGnatt[[#This Row],[Start Date]],P$27&lt;ProposalToGnatt[[#This Row],[Start Date]]+ProposalToGnatt[[#This Row],[Days]]),$G$5,"")),"")</f>
        <v/>
      </c>
      <c r="Q69" s="36" t="str">
        <f ca="1">IFERROR(+IF(Q$27=ProposalToGnatt[[#This Row],[Start Date]],Milestone_Marker,IF(AND(Q$27&gt;ProposalToGnatt[[#This Row],[Start Date]],Q$27&lt;ProposalToGnatt[[#This Row],[Start Date]]+ProposalToGnatt[[#This Row],[Days]]),$G$5,"")),"")</f>
        <v/>
      </c>
      <c r="R69" s="36" t="str">
        <f ca="1">IFERROR(+IF(R$27=ProposalToGnatt[[#This Row],[Start Date]],Milestone_Marker,IF(AND(R$27&gt;ProposalToGnatt[[#This Row],[Start Date]],R$27&lt;ProposalToGnatt[[#This Row],[Start Date]]+ProposalToGnatt[[#This Row],[Days]]),$G$5,"")),"")</f>
        <v/>
      </c>
      <c r="S69" s="36" t="str">
        <f ca="1">IFERROR(+IF(S$27=ProposalToGnatt[[#This Row],[Start Date]],Milestone_Marker,IF(AND(S$27&gt;ProposalToGnatt[[#This Row],[Start Date]],S$27&lt;ProposalToGnatt[[#This Row],[Start Date]]+ProposalToGnatt[[#This Row],[Days]]),$G$5,"")),"")</f>
        <v/>
      </c>
      <c r="T69" s="36" t="str">
        <f ca="1">IFERROR(+IF(T$27=ProposalToGnatt[[#This Row],[Start Date]],Milestone_Marker,IF(AND(T$27&gt;ProposalToGnatt[[#This Row],[Start Date]],T$27&lt;ProposalToGnatt[[#This Row],[Start Date]]+ProposalToGnatt[[#This Row],[Days]]),$G$5,"")),"")</f>
        <v/>
      </c>
      <c r="U69" s="36" t="str">
        <f ca="1">IFERROR(+IF(U$27=ProposalToGnatt[[#This Row],[Start Date]],Milestone_Marker,IF(AND(U$27&gt;ProposalToGnatt[[#This Row],[Start Date]],U$27&lt;ProposalToGnatt[[#This Row],[Start Date]]+ProposalToGnatt[[#This Row],[Days]]),$G$5,"")),"")</f>
        <v/>
      </c>
      <c r="V69" s="36" t="str">
        <f ca="1">IFERROR(+IF(V$27=ProposalToGnatt[[#This Row],[Start Date]],Milestone_Marker,IF(AND(V$27&gt;ProposalToGnatt[[#This Row],[Start Date]],V$27&lt;ProposalToGnatt[[#This Row],[Start Date]]+ProposalToGnatt[[#This Row],[Days]]),$G$5,"")),"")</f>
        <v/>
      </c>
      <c r="W69" s="36" t="str">
        <f ca="1">IFERROR(+IF(W$27=ProposalToGnatt[[#This Row],[Start Date]],Milestone_Marker,IF(AND(W$27&gt;ProposalToGnatt[[#This Row],[Start Date]],W$27&lt;ProposalToGnatt[[#This Row],[Start Date]]+ProposalToGnatt[[#This Row],[Days]]),$G$5,"")),"")</f>
        <v/>
      </c>
      <c r="X69" s="36" t="str">
        <f ca="1">IFERROR(+IF(X$27=ProposalToGnatt[[#This Row],[Start Date]],Milestone_Marker,IF(AND(X$27&gt;ProposalToGnatt[[#This Row],[Start Date]],X$27&lt;ProposalToGnatt[[#This Row],[Start Date]]+ProposalToGnatt[[#This Row],[Days]]),$G$5,"")),"")</f>
        <v/>
      </c>
      <c r="Y69" s="36" t="str">
        <f ca="1">IFERROR(+IF(Y$27=ProposalToGnatt[[#This Row],[Start Date]],Milestone_Marker,IF(AND(Y$27&gt;ProposalToGnatt[[#This Row],[Start Date]],Y$27&lt;ProposalToGnatt[[#This Row],[Start Date]]+ProposalToGnatt[[#This Row],[Days]]),$G$5,"")),"")</f>
        <v/>
      </c>
      <c r="Z69" s="36" t="str">
        <f ca="1">IFERROR(+IF(Z$27=ProposalToGnatt[[#This Row],[Start Date]],Milestone_Marker,IF(AND(Z$27&gt;ProposalToGnatt[[#This Row],[Start Date]],Z$27&lt;ProposalToGnatt[[#This Row],[Start Date]]+ProposalToGnatt[[#This Row],[Days]]),$G$5,"")),"")</f>
        <v/>
      </c>
      <c r="AA69" s="36" t="str">
        <f ca="1">IFERROR(+IF(AA$27=ProposalToGnatt[[#This Row],[Start Date]],Milestone_Marker,IF(AND(AA$27&gt;ProposalToGnatt[[#This Row],[Start Date]],AA$27&lt;ProposalToGnatt[[#This Row],[Start Date]]+ProposalToGnatt[[#This Row],[Days]]),$G$5,"")),"")</f>
        <v/>
      </c>
      <c r="AB69" s="36" t="str">
        <f ca="1">IFERROR(+IF(AB$27=ProposalToGnatt[[#This Row],[Start Date]],Milestone_Marker,IF(AND(AB$27&gt;ProposalToGnatt[[#This Row],[Start Date]],AB$27&lt;ProposalToGnatt[[#This Row],[Start Date]]+ProposalToGnatt[[#This Row],[Days]]),$G$5,"")),"")</f>
        <v/>
      </c>
      <c r="AC69" s="36" t="str">
        <f ca="1">IFERROR(+IF(AC$27=ProposalToGnatt[[#This Row],[Start Date]],Milestone_Marker,IF(AND(AC$27&gt;ProposalToGnatt[[#This Row],[Start Date]],AC$27&lt;ProposalToGnatt[[#This Row],[Start Date]]+ProposalToGnatt[[#This Row],[Days]]),$G$5,"")),"")</f>
        <v/>
      </c>
      <c r="AD69" s="36" t="str">
        <f ca="1">IFERROR(+IF(AD$27=ProposalToGnatt[[#This Row],[Start Date]],Milestone_Marker,IF(AND(AD$27&gt;ProposalToGnatt[[#This Row],[Start Date]],AD$27&lt;ProposalToGnatt[[#This Row],[Start Date]]+ProposalToGnatt[[#This Row],[Days]]),$G$5,"")),"")</f>
        <v/>
      </c>
      <c r="AE69" s="36" t="str">
        <f ca="1">IFERROR(+IF(AE$27=ProposalToGnatt[[#This Row],[Start Date]],Milestone_Marker,IF(AND(AE$27&gt;ProposalToGnatt[[#This Row],[Start Date]],AE$27&lt;ProposalToGnatt[[#This Row],[Start Date]]+ProposalToGnatt[[#This Row],[Days]]),$G$5,"")),"")</f>
        <v/>
      </c>
      <c r="AF69" s="36" t="str">
        <f ca="1">IFERROR(+IF(AF$27=ProposalToGnatt[[#This Row],[Start Date]],Milestone_Marker,IF(AND(AF$27&gt;ProposalToGnatt[[#This Row],[Start Date]],AF$27&lt;ProposalToGnatt[[#This Row],[Start Date]]+ProposalToGnatt[[#This Row],[Days]]),$G$5,"")),"")</f>
        <v/>
      </c>
      <c r="AG69" s="36" t="str">
        <f ca="1">IFERROR(+IF(AG$27=ProposalToGnatt[[#This Row],[Start Date]],Milestone_Marker,IF(AND(AG$27&gt;ProposalToGnatt[[#This Row],[Start Date]],AG$27&lt;ProposalToGnatt[[#This Row],[Start Date]]+ProposalToGnatt[[#This Row],[Days]]),$G$5,"")),"")</f>
        <v/>
      </c>
      <c r="AH69" s="36" t="str">
        <f ca="1">IFERROR(+IF(AH$27=ProposalToGnatt[[#This Row],[Start Date]],Milestone_Marker,IF(AND(AH$27&gt;ProposalToGnatt[[#This Row],[Start Date]],AH$27&lt;ProposalToGnatt[[#This Row],[Start Date]]+ProposalToGnatt[[#This Row],[Days]]),$G$5,"")),"")</f>
        <v/>
      </c>
      <c r="AI69" s="36" t="str">
        <f ca="1">IFERROR(+IF(AI$27=ProposalToGnatt[[#This Row],[Start Date]],Milestone_Marker,IF(AND(AI$27&gt;ProposalToGnatt[[#This Row],[Start Date]],AI$27&lt;ProposalToGnatt[[#This Row],[Start Date]]+ProposalToGnatt[[#This Row],[Days]]),$G$5,"")),"")</f>
        <v/>
      </c>
      <c r="AJ69" s="36" t="str">
        <f ca="1">IFERROR(+IF(AJ$27=ProposalToGnatt[[#This Row],[Start Date]],Milestone_Marker,IF(AND(AJ$27&gt;ProposalToGnatt[[#This Row],[Start Date]],AJ$27&lt;ProposalToGnatt[[#This Row],[Start Date]]+ProposalToGnatt[[#This Row],[Days]]),$G$5,"")),"")</f>
        <v/>
      </c>
      <c r="AK69" s="36" t="str">
        <f ca="1">IFERROR(+IF(AK$27=ProposalToGnatt[[#This Row],[Start Date]],Milestone_Marker,IF(AND(AK$27&gt;ProposalToGnatt[[#This Row],[Start Date]],AK$27&lt;ProposalToGnatt[[#This Row],[Start Date]]+ProposalToGnatt[[#This Row],[Days]]),$G$5,"")),"")</f>
        <v/>
      </c>
      <c r="AL69" s="36" t="str">
        <f ca="1">IFERROR(+IF(AL$27=ProposalToGnatt[[#This Row],[Start Date]],Milestone_Marker,IF(AND(AL$27&gt;ProposalToGnatt[[#This Row],[Start Date]],AL$27&lt;ProposalToGnatt[[#This Row],[Start Date]]+ProposalToGnatt[[#This Row],[Days]]),$G$5,"")),"")</f>
        <v/>
      </c>
      <c r="AM69" s="36" t="str">
        <f ca="1">IFERROR(+IF(AM$27=ProposalToGnatt[[#This Row],[Start Date]],Milestone_Marker,IF(AND(AM$27&gt;ProposalToGnatt[[#This Row],[Start Date]],AM$27&lt;ProposalToGnatt[[#This Row],[Start Date]]+ProposalToGnatt[[#This Row],[Days]]),$G$5,"")),"")</f>
        <v/>
      </c>
      <c r="AN69" s="36" t="str">
        <f ca="1">IFERROR(+IF(AN$27=ProposalToGnatt[[#This Row],[Start Date]],Milestone_Marker,IF(AND(AN$27&gt;ProposalToGnatt[[#This Row],[Start Date]],AN$27&lt;ProposalToGnatt[[#This Row],[Start Date]]+ProposalToGnatt[[#This Row],[Days]]),$G$5,"")),"")</f>
        <v/>
      </c>
      <c r="AO69" s="36" t="str">
        <f ca="1">IFERROR(+IF(AO$27=ProposalToGnatt[[#This Row],[Start Date]],Milestone_Marker,IF(AND(AO$27&gt;ProposalToGnatt[[#This Row],[Start Date]],AO$27&lt;ProposalToGnatt[[#This Row],[Start Date]]+ProposalToGnatt[[#This Row],[Days]]),$G$5,"")),"")</f>
        <v/>
      </c>
      <c r="AP69" s="36" t="str">
        <f ca="1">IFERROR(+IF(AP$27=ProposalToGnatt[[#This Row],[Start Date]],Milestone_Marker,IF(AND(AP$27&gt;ProposalToGnatt[[#This Row],[Start Date]],AP$27&lt;ProposalToGnatt[[#This Row],[Start Date]]+ProposalToGnatt[[#This Row],[Days]]),$G$5,"")),"")</f>
        <v/>
      </c>
      <c r="AQ69" s="36" t="str">
        <f ca="1">IFERROR(+IF(AQ$27=ProposalToGnatt[[#This Row],[Start Date]],Milestone_Marker,IF(AND(AQ$27&gt;ProposalToGnatt[[#This Row],[Start Date]],AQ$27&lt;ProposalToGnatt[[#This Row],[Start Date]]+ProposalToGnatt[[#This Row],[Days]]),$G$5,"")),"")</f>
        <v/>
      </c>
      <c r="AR69" s="36" t="str">
        <f ca="1">IFERROR(+IF(AR$27=ProposalToGnatt[[#This Row],[Start Date]],Milestone_Marker,IF(AND(AR$27&gt;ProposalToGnatt[[#This Row],[Start Date]],AR$27&lt;ProposalToGnatt[[#This Row],[Start Date]]+ProposalToGnatt[[#This Row],[Days]]),$G$5,"")),"")</f>
        <v/>
      </c>
      <c r="AS69" s="36" t="str">
        <f ca="1">IFERROR(+IF(AS$27=ProposalToGnatt[[#This Row],[Start Date]],Milestone_Marker,IF(AND(AS$27&gt;ProposalToGnatt[[#This Row],[Start Date]],AS$27&lt;ProposalToGnatt[[#This Row],[Start Date]]+ProposalToGnatt[[#This Row],[Days]]),$G$5,"")),"")</f>
        <v/>
      </c>
      <c r="AT69" s="36" t="str">
        <f ca="1">IFERROR(+IF(AT$27=ProposalToGnatt[[#This Row],[Start Date]],Milestone_Marker,IF(AND(AT$27&gt;ProposalToGnatt[[#This Row],[Start Date]],AT$27&lt;ProposalToGnatt[[#This Row],[Start Date]]+ProposalToGnatt[[#This Row],[Days]]),$G$5,"")),"")</f>
        <v/>
      </c>
      <c r="AU69" s="36" t="str">
        <f ca="1">IFERROR(+IF(AU$27=ProposalToGnatt[[#This Row],[Start Date]],Milestone_Marker,IF(AND(AU$27&gt;ProposalToGnatt[[#This Row],[Start Date]],AU$27&lt;ProposalToGnatt[[#This Row],[Start Date]]+ProposalToGnatt[[#This Row],[Days]]),$G$5,"")),"")</f>
        <v/>
      </c>
      <c r="AV69" s="36" t="str">
        <f ca="1">IFERROR(+IF(AV$27=ProposalToGnatt[[#This Row],[Start Date]],Milestone_Marker,IF(AND(AV$27&gt;ProposalToGnatt[[#This Row],[Start Date]],AV$27&lt;ProposalToGnatt[[#This Row],[Start Date]]+ProposalToGnatt[[#This Row],[Days]]),$G$5,"")),"")</f>
        <v/>
      </c>
      <c r="AW69" s="36" t="str">
        <f ca="1">IFERROR(+IF(AW$27=ProposalToGnatt[[#This Row],[Start Date]],Milestone_Marker,IF(AND(AW$27&gt;ProposalToGnatt[[#This Row],[Start Date]],AW$27&lt;ProposalToGnatt[[#This Row],[Start Date]]+ProposalToGnatt[[#This Row],[Days]]),$G$5,"")),"")</f>
        <v/>
      </c>
      <c r="AX69" s="36" t="str">
        <f ca="1">IFERROR(+IF(AX$27=ProposalToGnatt[[#This Row],[Start Date]],Milestone_Marker,IF(AND(AX$27&gt;ProposalToGnatt[[#This Row],[Start Date]],AX$27&lt;ProposalToGnatt[[#This Row],[Start Date]]+ProposalToGnatt[[#This Row],[Days]]),$G$5,"")),"")</f>
        <v/>
      </c>
      <c r="AY69" s="36" t="str">
        <f ca="1">IFERROR(+IF(AY$27=ProposalToGnatt[[#This Row],[Start Date]],Milestone_Marker,IF(AND(AY$27&gt;ProposalToGnatt[[#This Row],[Start Date]],AY$27&lt;ProposalToGnatt[[#This Row],[Start Date]]+ProposalToGnatt[[#This Row],[Days]]),$G$5,"")),"")</f>
        <v/>
      </c>
      <c r="AZ69" s="36" t="str">
        <f ca="1">IFERROR(+IF(AZ$27=ProposalToGnatt[[#This Row],[Start Date]],Milestone_Marker,IF(AND(AZ$27&gt;ProposalToGnatt[[#This Row],[Start Date]],AZ$27&lt;ProposalToGnatt[[#This Row],[Start Date]]+ProposalToGnatt[[#This Row],[Days]]),$G$5,"")),"")</f>
        <v/>
      </c>
      <c r="BA69" s="36" t="str">
        <f ca="1">IFERROR(+IF(BA$27=ProposalToGnatt[[#This Row],[Start Date]],Milestone_Marker,IF(AND(BA$27&gt;ProposalToGnatt[[#This Row],[Start Date]],BA$27&lt;ProposalToGnatt[[#This Row],[Start Date]]+ProposalToGnatt[[#This Row],[Days]]),$G$5,"")),"")</f>
        <v/>
      </c>
      <c r="BB69" s="36" t="str">
        <f ca="1">IFERROR(+IF(BB$27=ProposalToGnatt[[#This Row],[Start Date]],Milestone_Marker,IF(AND(BB$27&gt;ProposalToGnatt[[#This Row],[Start Date]],BB$27&lt;ProposalToGnatt[[#This Row],[Start Date]]+ProposalToGnatt[[#This Row],[Days]]),$G$5,"")),"")</f>
        <v/>
      </c>
      <c r="BC69" s="36" t="str">
        <f ca="1">IFERROR(+IF(BC$27=ProposalToGnatt[[#This Row],[Start Date]],Milestone_Marker,IF(AND(BC$27&gt;ProposalToGnatt[[#This Row],[Start Date]],BC$27&lt;ProposalToGnatt[[#This Row],[Start Date]]+ProposalToGnatt[[#This Row],[Days]]),$G$5,"")),"")</f>
        <v/>
      </c>
      <c r="BD69" s="36" t="str">
        <f ca="1">IFERROR(+IF(BD$27=ProposalToGnatt[[#This Row],[Start Date]],Milestone_Marker,IF(AND(BD$27&gt;ProposalToGnatt[[#This Row],[Start Date]],BD$27&lt;ProposalToGnatt[[#This Row],[Start Date]]+ProposalToGnatt[[#This Row],[Days]]),$G$5,"")),"")</f>
        <v/>
      </c>
      <c r="BE69" s="36" t="str">
        <f ca="1">IFERROR(+IF(BE$27=ProposalToGnatt[[#This Row],[Start Date]],Milestone_Marker,IF(AND(BE$27&gt;ProposalToGnatt[[#This Row],[Start Date]],BE$27&lt;ProposalToGnatt[[#This Row],[Start Date]]+ProposalToGnatt[[#This Row],[Days]]),$G$5,"")),"")</f>
        <v/>
      </c>
      <c r="BF69" s="36" t="str">
        <f ca="1">IFERROR(+IF(BF$27=ProposalToGnatt[[#This Row],[Start Date]],Milestone_Marker,IF(AND(BF$27&gt;ProposalToGnatt[[#This Row],[Start Date]],BF$27&lt;ProposalToGnatt[[#This Row],[Start Date]]+ProposalToGnatt[[#This Row],[Days]]),$G$5,"")),"")</f>
        <v/>
      </c>
      <c r="BG69" s="36" t="str">
        <f ca="1">IFERROR(+IF(BG$27=ProposalToGnatt[[#This Row],[Start Date]],Milestone_Marker,IF(AND(BG$27&gt;ProposalToGnatt[[#This Row],[Start Date]],BG$27&lt;ProposalToGnatt[[#This Row],[Start Date]]+ProposalToGnatt[[#This Row],[Days]]),$G$5,"")),"")</f>
        <v/>
      </c>
      <c r="BH69" s="36" t="str">
        <f ca="1">IFERROR(+IF(BH$27=ProposalToGnatt[[#This Row],[Start Date]],Milestone_Marker,IF(AND(BH$27&gt;ProposalToGnatt[[#This Row],[Start Date]],BH$27&lt;ProposalToGnatt[[#This Row],[Start Date]]+ProposalToGnatt[[#This Row],[Days]]),$G$5,"")),"")</f>
        <v/>
      </c>
      <c r="BI69" s="36" t="str">
        <f ca="1">IFERROR(+IF(BI$27=ProposalToGnatt[[#This Row],[Start Date]],Milestone_Marker,IF(AND(BI$27&gt;ProposalToGnatt[[#This Row],[Start Date]],BI$27&lt;ProposalToGnatt[[#This Row],[Start Date]]+ProposalToGnatt[[#This Row],[Days]]),$G$5,"")),"")</f>
        <v/>
      </c>
      <c r="BJ69" s="36" t="str">
        <f ca="1">IFERROR(+IF(BJ$27=ProposalToGnatt[[#This Row],[Start Date]],Milestone_Marker,IF(AND(BJ$27&gt;ProposalToGnatt[[#This Row],[Start Date]],BJ$27&lt;ProposalToGnatt[[#This Row],[Start Date]]+ProposalToGnatt[[#This Row],[Days]]),$G$5,"")),"")</f>
        <v/>
      </c>
      <c r="BK69" s="36" t="str">
        <f ca="1">IFERROR(+IF(BK$27=ProposalToGnatt[[#This Row],[Start Date]],Milestone_Marker,IF(AND(BK$27&gt;ProposalToGnatt[[#This Row],[Start Date]],BK$27&lt;ProposalToGnatt[[#This Row],[Start Date]]+ProposalToGnatt[[#This Row],[Days]]),$G$5,"")),"")</f>
        <v/>
      </c>
      <c r="BL69" s="36" t="str">
        <f ca="1">IFERROR(+IF(BL$27=ProposalToGnatt[[#This Row],[Start Date]],Milestone_Marker,IF(AND(BL$27&gt;ProposalToGnatt[[#This Row],[Start Date]],BL$27&lt;ProposalToGnatt[[#This Row],[Start Date]]+ProposalToGnatt[[#This Row],[Days]]),$G$5,"")),"")</f>
        <v/>
      </c>
      <c r="BM69" s="36" t="str">
        <f ca="1">IFERROR(+IF(BM$27=ProposalToGnatt[[#This Row],[Start Date]],Milestone_Marker,IF(AND(BM$27&gt;ProposalToGnatt[[#This Row],[Start Date]],BM$27&lt;ProposalToGnatt[[#This Row],[Start Date]]+ProposalToGnatt[[#This Row],[Days]]),$G$5,"")),"")</f>
        <v/>
      </c>
      <c r="BN69" s="36" t="str">
        <f ca="1">IFERROR(+IF(BN$27=ProposalToGnatt[[#This Row],[Start Date]],Milestone_Marker,IF(AND(BN$27&gt;ProposalToGnatt[[#This Row],[Start Date]],BN$27&lt;ProposalToGnatt[[#This Row],[Start Date]]+ProposalToGnatt[[#This Row],[Days]]),$G$5,"")),"")</f>
        <v/>
      </c>
      <c r="BO69" s="36" t="str">
        <f ca="1">IFERROR(+IF(BO$27=ProposalToGnatt[[#This Row],[Start Date]],Milestone_Marker,IF(AND(BO$27&gt;ProposalToGnatt[[#This Row],[Start Date]],BO$27&lt;ProposalToGnatt[[#This Row],[Start Date]]+ProposalToGnatt[[#This Row],[Days]]),$G$5,"")),"")</f>
        <v/>
      </c>
      <c r="BP69" s="36" t="str">
        <f ca="1">IFERROR(+IF(BP$27=ProposalToGnatt[[#This Row],[Start Date]],Milestone_Marker,IF(AND(BP$27&gt;ProposalToGnatt[[#This Row],[Start Date]],BP$27&lt;ProposalToGnatt[[#This Row],[Start Date]]+ProposalToGnatt[[#This Row],[Days]]),$G$5,"")),"")</f>
        <v/>
      </c>
      <c r="BQ69" s="36" t="str">
        <f ca="1">IFERROR(+IF(BQ$27=ProposalToGnatt[[#This Row],[Start Date]],Milestone_Marker,IF(AND(BQ$27&gt;ProposalToGnatt[[#This Row],[Start Date]],BQ$27&lt;ProposalToGnatt[[#This Row],[Start Date]]+ProposalToGnatt[[#This Row],[Days]]),$G$5,"")),"")</f>
        <v/>
      </c>
      <c r="BR69" s="36" t="str">
        <f ca="1">IFERROR(+IF(BR$27=ProposalToGnatt[[#This Row],[Start Date]],Milestone_Marker,IF(AND(BR$27&gt;ProposalToGnatt[[#This Row],[Start Date]],BR$27&lt;ProposalToGnatt[[#This Row],[Start Date]]+ProposalToGnatt[[#This Row],[Days]]),$G$5,"")),"")</f>
        <v/>
      </c>
      <c r="BS69" s="36" t="str">
        <f ca="1">IFERROR(+IF(BS$27=ProposalToGnatt[[#This Row],[Start Date]],Milestone_Marker,IF(AND(BS$27&gt;ProposalToGnatt[[#This Row],[Start Date]],BS$27&lt;ProposalToGnatt[[#This Row],[Start Date]]+ProposalToGnatt[[#This Row],[Days]]),$G$5,"")),"")</f>
        <v/>
      </c>
      <c r="BT69" s="36" t="str">
        <f ca="1">IFERROR(+IF(BT$27=ProposalToGnatt[[#This Row],[Start Date]],Milestone_Marker,IF(AND(BT$27&gt;ProposalToGnatt[[#This Row],[Start Date]],BT$27&lt;ProposalToGnatt[[#This Row],[Start Date]]+ProposalToGnatt[[#This Row],[Days]]),$G$5,"")),"")</f>
        <v/>
      </c>
      <c r="BU69" s="36" t="str">
        <f ca="1">IFERROR(+IF(BU$27=ProposalToGnatt[[#This Row],[Start Date]],Milestone_Marker,IF(AND(BU$27&gt;ProposalToGnatt[[#This Row],[Start Date]],BU$27&lt;ProposalToGnatt[[#This Row],[Start Date]]+ProposalToGnatt[[#This Row],[Days]]),$G$5,"")),"")</f>
        <v/>
      </c>
      <c r="BV69" s="36" t="str">
        <f ca="1">IFERROR(+IF(BV$27=ProposalToGnatt[[#This Row],[Start Date]],Milestone_Marker,IF(AND(BV$27&gt;ProposalToGnatt[[#This Row],[Start Date]],BV$27&lt;ProposalToGnatt[[#This Row],[Start Date]]+ProposalToGnatt[[#This Row],[Days]]),$G$5,"")),"")</f>
        <v/>
      </c>
      <c r="BW69" s="36" t="str">
        <f ca="1">IFERROR(+IF(BW$27=ProposalToGnatt[[#This Row],[Start Date]],Milestone_Marker,IF(AND(BW$27&gt;ProposalToGnatt[[#This Row],[Start Date]],BW$27&lt;ProposalToGnatt[[#This Row],[Start Date]]+ProposalToGnatt[[#This Row],[Days]]),$G$5,"")),"")</f>
        <v/>
      </c>
      <c r="BX69" s="36" t="str">
        <f ca="1">IFERROR(+IF(BX$27=ProposalToGnatt[[#This Row],[Start Date]],Milestone_Marker,IF(AND(BX$27&gt;ProposalToGnatt[[#This Row],[Start Date]],BX$27&lt;ProposalToGnatt[[#This Row],[Start Date]]+ProposalToGnatt[[#This Row],[Days]]),$G$5,"")),"")</f>
        <v/>
      </c>
      <c r="BY69" s="36" t="str">
        <f ca="1">IFERROR(+IF(BY$27=ProposalToGnatt[[#This Row],[Start Date]],Milestone_Marker,IF(AND(BY$27&gt;ProposalToGnatt[[#This Row],[Start Date]],BY$27&lt;ProposalToGnatt[[#This Row],[Start Date]]+ProposalToGnatt[[#This Row],[Days]]),$G$5,"")),"")</f>
        <v/>
      </c>
      <c r="BZ69" s="36" t="str">
        <f ca="1">IFERROR(+IF(BZ$27=ProposalToGnatt[[#This Row],[Start Date]],Milestone_Marker,IF(AND(BZ$27&gt;ProposalToGnatt[[#This Row],[Start Date]],BZ$27&lt;ProposalToGnatt[[#This Row],[Start Date]]+ProposalToGnatt[[#This Row],[Days]]),$G$5,"")),"")</f>
        <v/>
      </c>
      <c r="CA69" s="36" t="str">
        <f ca="1">IFERROR(+IF(CA$27=ProposalToGnatt[[#This Row],[Start Date]],Milestone_Marker,IF(AND(CA$27&gt;ProposalToGnatt[[#This Row],[Start Date]],CA$27&lt;ProposalToGnatt[[#This Row],[Start Date]]+ProposalToGnatt[[#This Row],[Days]]),$G$5,"")),"")</f>
        <v/>
      </c>
      <c r="CB69" s="36" t="str">
        <f ca="1">IFERROR(+IF(CB$27=ProposalToGnatt[[#This Row],[Start Date]],Milestone_Marker,IF(AND(CB$27&gt;ProposalToGnatt[[#This Row],[Start Date]],CB$27&lt;ProposalToGnatt[[#This Row],[Start Date]]+ProposalToGnatt[[#This Row],[Days]]),$G$5,"")),"")</f>
        <v/>
      </c>
      <c r="CC69" s="36" t="str">
        <f ca="1">IFERROR(+IF(CC$27=ProposalToGnatt[[#This Row],[Start Date]],Milestone_Marker,IF(AND(CC$27&gt;ProposalToGnatt[[#This Row],[Start Date]],CC$27&lt;ProposalToGnatt[[#This Row],[Start Date]]+ProposalToGnatt[[#This Row],[Days]]),$G$5,"")),"")</f>
        <v/>
      </c>
      <c r="CD69" s="36" t="str">
        <f ca="1">IFERROR(+IF(CD$27=ProposalToGnatt[[#This Row],[Start Date]],Milestone_Marker,IF(AND(CD$27&gt;ProposalToGnatt[[#This Row],[Start Date]],CD$27&lt;ProposalToGnatt[[#This Row],[Start Date]]+ProposalToGnatt[[#This Row],[Days]]),$G$5,"")),"")</f>
        <v/>
      </c>
      <c r="CE69" s="36" t="str">
        <f ca="1">IFERROR(+IF(CE$27=ProposalToGnatt[[#This Row],[Start Date]],Milestone_Marker,IF(AND(CE$27&gt;ProposalToGnatt[[#This Row],[Start Date]],CE$27&lt;ProposalToGnatt[[#This Row],[Start Date]]+ProposalToGnatt[[#This Row],[Days]]),$G$5,"")),"")</f>
        <v/>
      </c>
      <c r="CF69" s="36" t="str">
        <f ca="1">IFERROR(+IF(CF$27=ProposalToGnatt[[#This Row],[Start Date]],Milestone_Marker,IF(AND(CF$27&gt;ProposalToGnatt[[#This Row],[Start Date]],CF$27&lt;ProposalToGnatt[[#This Row],[Start Date]]+ProposalToGnatt[[#This Row],[Days]]),$G$5,"")),"")</f>
        <v/>
      </c>
      <c r="CG69" s="36" t="str">
        <f ca="1">IFERROR(+IF(CG$27=ProposalToGnatt[[#This Row],[Start Date]],Milestone_Marker,IF(AND(CG$27&gt;ProposalToGnatt[[#This Row],[Start Date]],CG$27&lt;ProposalToGnatt[[#This Row],[Start Date]]+ProposalToGnatt[[#This Row],[Days]]),$G$5,"")),"")</f>
        <v/>
      </c>
      <c r="CH69" s="36" t="str">
        <f ca="1">IFERROR(+IF(CH$27=ProposalToGnatt[[#This Row],[Start Date]],Milestone_Marker,IF(AND(CH$27&gt;ProposalToGnatt[[#This Row],[Start Date]],CH$27&lt;ProposalToGnatt[[#This Row],[Start Date]]+ProposalToGnatt[[#This Row],[Days]]),$G$5,"")),"")</f>
        <v/>
      </c>
      <c r="CI69" s="36" t="str">
        <f ca="1">IFERROR(+IF(CI$27=ProposalToGnatt[[#This Row],[Start Date]],Milestone_Marker,IF(AND(CI$27&gt;ProposalToGnatt[[#This Row],[Start Date]],CI$27&lt;ProposalToGnatt[[#This Row],[Start Date]]+ProposalToGnatt[[#This Row],[Days]]),$G$5,"")),"")</f>
        <v/>
      </c>
      <c r="CJ69" s="36" t="str">
        <f ca="1">IFERROR(+IF(CJ$27=ProposalToGnatt[[#This Row],[Start Date]],Milestone_Marker,IF(AND(CJ$27&gt;ProposalToGnatt[[#This Row],[Start Date]],CJ$27&lt;ProposalToGnatt[[#This Row],[Start Date]]+ProposalToGnatt[[#This Row],[Days]]),$G$5,"")),"")</f>
        <v/>
      </c>
      <c r="CK69" s="36" t="str">
        <f ca="1">IFERROR(+IF(CK$27=ProposalToGnatt[[#This Row],[Start Date]],Milestone_Marker,IF(AND(CK$27&gt;ProposalToGnatt[[#This Row],[Start Date]],CK$27&lt;ProposalToGnatt[[#This Row],[Start Date]]+ProposalToGnatt[[#This Row],[Days]]),$G$5,"")),"")</f>
        <v/>
      </c>
      <c r="CL69" s="36" t="str">
        <f ca="1">IFERROR(+IF(CL$27=ProposalToGnatt[[#This Row],[Start Date]],Milestone_Marker,IF(AND(CL$27&gt;ProposalToGnatt[[#This Row],[Start Date]],CL$27&lt;ProposalToGnatt[[#This Row],[Start Date]]+ProposalToGnatt[[#This Row],[Days]]),$G$5,"")),"")</f>
        <v/>
      </c>
      <c r="CM69" s="36" t="str">
        <f ca="1">IFERROR(+IF(CM$27=ProposalToGnatt[[#This Row],[Start Date]],Milestone_Marker,IF(AND(CM$27&gt;ProposalToGnatt[[#This Row],[Start Date]],CM$27&lt;ProposalToGnatt[[#This Row],[Start Date]]+ProposalToGnatt[[#This Row],[Days]]),$G$5,"")),"")</f>
        <v/>
      </c>
      <c r="CN69" s="36" t="str">
        <f ca="1">IFERROR(+IF(CN$27=ProposalToGnatt[[#This Row],[Start Date]],Milestone_Marker,IF(AND(CN$27&gt;ProposalToGnatt[[#This Row],[Start Date]],CN$27&lt;ProposalToGnatt[[#This Row],[Start Date]]+ProposalToGnatt[[#This Row],[Days]]),$G$5,"")),"")</f>
        <v/>
      </c>
      <c r="CO69" s="36" t="str">
        <f ca="1">IFERROR(+IF(CO$27=ProposalToGnatt[[#This Row],[Start Date]],Milestone_Marker,IF(AND(CO$27&gt;ProposalToGnatt[[#This Row],[Start Date]],CO$27&lt;ProposalToGnatt[[#This Row],[Start Date]]+ProposalToGnatt[[#This Row],[Days]]),$G$5,"")),"")</f>
        <v/>
      </c>
      <c r="CP69" s="36" t="str">
        <f ca="1">IFERROR(+IF(CP$27=ProposalToGnatt[[#This Row],[Start Date]],Milestone_Marker,IF(AND(CP$27&gt;ProposalToGnatt[[#This Row],[Start Date]],CP$27&lt;ProposalToGnatt[[#This Row],[Start Date]]+ProposalToGnatt[[#This Row],[Days]]),$G$5,"")),"")</f>
        <v/>
      </c>
      <c r="CQ69" s="36" t="str">
        <f ca="1">IFERROR(+IF(CQ$27=ProposalToGnatt[[#This Row],[Start Date]],Milestone_Marker,IF(AND(CQ$27&gt;ProposalToGnatt[[#This Row],[Start Date]],CQ$27&lt;ProposalToGnatt[[#This Row],[Start Date]]+ProposalToGnatt[[#This Row],[Days]]),$G$5,"")),"")</f>
        <v/>
      </c>
      <c r="CR69" s="36" t="str">
        <f ca="1">IFERROR(+IF(CR$27=ProposalToGnatt[[#This Row],[Start Date]],Milestone_Marker,IF(AND(CR$27&gt;ProposalToGnatt[[#This Row],[Start Date]],CR$27&lt;ProposalToGnatt[[#This Row],[Start Date]]+ProposalToGnatt[[#This Row],[Days]]),$G$5,"")),"")</f>
        <v/>
      </c>
      <c r="CS69" s="36" t="str">
        <f ca="1">IFERROR(+IF(CS$27=ProposalToGnatt[[#This Row],[Start Date]],Milestone_Marker,IF(AND(CS$27&gt;ProposalToGnatt[[#This Row],[Start Date]],CS$27&lt;ProposalToGnatt[[#This Row],[Start Date]]+ProposalToGnatt[[#This Row],[Days]]),$G$5,"")),"")</f>
        <v/>
      </c>
      <c r="CT69" s="36" t="str">
        <f ca="1">IFERROR(+IF(CT$27=ProposalToGnatt[[#This Row],[Start Date]],Milestone_Marker,IF(AND(CT$27&gt;ProposalToGnatt[[#This Row],[Start Date]],CT$27&lt;ProposalToGnatt[[#This Row],[Start Date]]+ProposalToGnatt[[#This Row],[Days]]),$G$5,"")),"")</f>
        <v/>
      </c>
      <c r="CU69" s="36" t="str">
        <f ca="1">IFERROR(+IF(CU$27=ProposalToGnatt[[#This Row],[Start Date]],Milestone_Marker,IF(AND(CU$27&gt;ProposalToGnatt[[#This Row],[Start Date]],CU$27&lt;ProposalToGnatt[[#This Row],[Start Date]]+ProposalToGnatt[[#This Row],[Days]]),$G$5,"")),"")</f>
        <v/>
      </c>
      <c r="CV69" s="36"/>
      <c r="CW69" s="36"/>
      <c r="CX69" s="36"/>
      <c r="CY69" s="36"/>
      <c r="CZ69" s="36"/>
      <c r="DA69" s="36"/>
      <c r="DB69" s="36"/>
      <c r="DC69" s="36"/>
      <c r="DD69" s="36"/>
      <c r="DE69" s="36"/>
      <c r="DF69" s="36"/>
      <c r="DG69" s="36"/>
      <c r="DH69" s="36"/>
      <c r="DI69" s="36"/>
      <c r="DJ69" s="36"/>
      <c r="DK69" s="36"/>
      <c r="DL69" s="36"/>
      <c r="DM69" s="36"/>
      <c r="DN69" s="36"/>
      <c r="DO69" s="36"/>
      <c r="DP69" s="36"/>
      <c r="DQ69" s="36"/>
      <c r="DR69" s="36"/>
      <c r="DS69" s="36"/>
      <c r="DT69" s="36"/>
      <c r="DU69" s="36"/>
    </row>
    <row r="70" spans="1:125" s="41" customFormat="1" ht="15" x14ac:dyDescent="0.25">
      <c r="A70"/>
      <c r="B70"/>
      <c r="C70"/>
      <c r="D70"/>
      <c r="E70"/>
      <c r="F70"/>
      <c r="G70" s="14"/>
      <c r="H70" s="14"/>
      <c r="I70"/>
      <c r="J70"/>
      <c r="K70" s="246"/>
      <c r="L70"/>
      <c r="M70" s="14"/>
      <c r="N70" s="299"/>
      <c r="O70" s="281"/>
      <c r="P70" s="36" t="str">
        <f ca="1">IFERROR(+IF(P$27=ProposalToGnatt[[#This Row],[Start Date]],Milestone_Marker,IF(AND(P$27&gt;ProposalToGnatt[[#This Row],[Start Date]],P$27&lt;ProposalToGnatt[[#This Row],[Start Date]]+ProposalToGnatt[[#This Row],[Days]]),$G$5,"")),"")</f>
        <v/>
      </c>
      <c r="Q70" s="36" t="str">
        <f ca="1">IFERROR(+IF(Q$27=ProposalToGnatt[[#This Row],[Start Date]],Milestone_Marker,IF(AND(Q$27&gt;ProposalToGnatt[[#This Row],[Start Date]],Q$27&lt;ProposalToGnatt[[#This Row],[Start Date]]+ProposalToGnatt[[#This Row],[Days]]),$G$5,"")),"")</f>
        <v/>
      </c>
      <c r="R70" s="36" t="str">
        <f ca="1">IFERROR(+IF(R$27=ProposalToGnatt[[#This Row],[Start Date]],Milestone_Marker,IF(AND(R$27&gt;ProposalToGnatt[[#This Row],[Start Date]],R$27&lt;ProposalToGnatt[[#This Row],[Start Date]]+ProposalToGnatt[[#This Row],[Days]]),$G$5,"")),"")</f>
        <v/>
      </c>
      <c r="S70" s="36" t="str">
        <f ca="1">IFERROR(+IF(S$27=ProposalToGnatt[[#This Row],[Start Date]],Milestone_Marker,IF(AND(S$27&gt;ProposalToGnatt[[#This Row],[Start Date]],S$27&lt;ProposalToGnatt[[#This Row],[Start Date]]+ProposalToGnatt[[#This Row],[Days]]),$G$5,"")),"")</f>
        <v/>
      </c>
      <c r="T70" s="36" t="str">
        <f ca="1">IFERROR(+IF(T$27=ProposalToGnatt[[#This Row],[Start Date]],Milestone_Marker,IF(AND(T$27&gt;ProposalToGnatt[[#This Row],[Start Date]],T$27&lt;ProposalToGnatt[[#This Row],[Start Date]]+ProposalToGnatt[[#This Row],[Days]]),$G$5,"")),"")</f>
        <v/>
      </c>
      <c r="U70" s="36" t="str">
        <f ca="1">IFERROR(+IF(U$27=ProposalToGnatt[[#This Row],[Start Date]],Milestone_Marker,IF(AND(U$27&gt;ProposalToGnatt[[#This Row],[Start Date]],U$27&lt;ProposalToGnatt[[#This Row],[Start Date]]+ProposalToGnatt[[#This Row],[Days]]),$G$5,"")),"")</f>
        <v/>
      </c>
      <c r="V70" s="36" t="str">
        <f ca="1">IFERROR(+IF(V$27=ProposalToGnatt[[#This Row],[Start Date]],Milestone_Marker,IF(AND(V$27&gt;ProposalToGnatt[[#This Row],[Start Date]],V$27&lt;ProposalToGnatt[[#This Row],[Start Date]]+ProposalToGnatt[[#This Row],[Days]]),$G$5,"")),"")</f>
        <v/>
      </c>
      <c r="W70" s="36" t="str">
        <f ca="1">IFERROR(+IF(W$27=ProposalToGnatt[[#This Row],[Start Date]],Milestone_Marker,IF(AND(W$27&gt;ProposalToGnatt[[#This Row],[Start Date]],W$27&lt;ProposalToGnatt[[#This Row],[Start Date]]+ProposalToGnatt[[#This Row],[Days]]),$G$5,"")),"")</f>
        <v/>
      </c>
      <c r="X70" s="36" t="str">
        <f ca="1">IFERROR(+IF(X$27=ProposalToGnatt[[#This Row],[Start Date]],Milestone_Marker,IF(AND(X$27&gt;ProposalToGnatt[[#This Row],[Start Date]],X$27&lt;ProposalToGnatt[[#This Row],[Start Date]]+ProposalToGnatt[[#This Row],[Days]]),$G$5,"")),"")</f>
        <v/>
      </c>
      <c r="Y70" s="36" t="str">
        <f ca="1">IFERROR(+IF(Y$27=ProposalToGnatt[[#This Row],[Start Date]],Milestone_Marker,IF(AND(Y$27&gt;ProposalToGnatt[[#This Row],[Start Date]],Y$27&lt;ProposalToGnatt[[#This Row],[Start Date]]+ProposalToGnatt[[#This Row],[Days]]),$G$5,"")),"")</f>
        <v/>
      </c>
      <c r="Z70" s="36" t="str">
        <f ca="1">IFERROR(+IF(Z$27=ProposalToGnatt[[#This Row],[Start Date]],Milestone_Marker,IF(AND(Z$27&gt;ProposalToGnatt[[#This Row],[Start Date]],Z$27&lt;ProposalToGnatt[[#This Row],[Start Date]]+ProposalToGnatt[[#This Row],[Days]]),$G$5,"")),"")</f>
        <v/>
      </c>
      <c r="AA70" s="36" t="str">
        <f ca="1">IFERROR(+IF(AA$27=ProposalToGnatt[[#This Row],[Start Date]],Milestone_Marker,IF(AND(AA$27&gt;ProposalToGnatt[[#This Row],[Start Date]],AA$27&lt;ProposalToGnatt[[#This Row],[Start Date]]+ProposalToGnatt[[#This Row],[Days]]),$G$5,"")),"")</f>
        <v/>
      </c>
      <c r="AB70" s="36" t="str">
        <f ca="1">IFERROR(+IF(AB$27=ProposalToGnatt[[#This Row],[Start Date]],Milestone_Marker,IF(AND(AB$27&gt;ProposalToGnatt[[#This Row],[Start Date]],AB$27&lt;ProposalToGnatt[[#This Row],[Start Date]]+ProposalToGnatt[[#This Row],[Days]]),$G$5,"")),"")</f>
        <v/>
      </c>
      <c r="AC70" s="36" t="str">
        <f ca="1">IFERROR(+IF(AC$27=ProposalToGnatt[[#This Row],[Start Date]],Milestone_Marker,IF(AND(AC$27&gt;ProposalToGnatt[[#This Row],[Start Date]],AC$27&lt;ProposalToGnatt[[#This Row],[Start Date]]+ProposalToGnatt[[#This Row],[Days]]),$G$5,"")),"")</f>
        <v/>
      </c>
      <c r="AD70" s="36" t="str">
        <f ca="1">IFERROR(+IF(AD$27=ProposalToGnatt[[#This Row],[Start Date]],Milestone_Marker,IF(AND(AD$27&gt;ProposalToGnatt[[#This Row],[Start Date]],AD$27&lt;ProposalToGnatt[[#This Row],[Start Date]]+ProposalToGnatt[[#This Row],[Days]]),$G$5,"")),"")</f>
        <v/>
      </c>
      <c r="AE70" s="36" t="str">
        <f ca="1">IFERROR(+IF(AE$27=ProposalToGnatt[[#This Row],[Start Date]],Milestone_Marker,IF(AND(AE$27&gt;ProposalToGnatt[[#This Row],[Start Date]],AE$27&lt;ProposalToGnatt[[#This Row],[Start Date]]+ProposalToGnatt[[#This Row],[Days]]),$G$5,"")),"")</f>
        <v/>
      </c>
      <c r="AF70" s="36" t="str">
        <f ca="1">IFERROR(+IF(AF$27=ProposalToGnatt[[#This Row],[Start Date]],Milestone_Marker,IF(AND(AF$27&gt;ProposalToGnatt[[#This Row],[Start Date]],AF$27&lt;ProposalToGnatt[[#This Row],[Start Date]]+ProposalToGnatt[[#This Row],[Days]]),$G$5,"")),"")</f>
        <v/>
      </c>
      <c r="AG70" s="36" t="str">
        <f ca="1">IFERROR(+IF(AG$27=ProposalToGnatt[[#This Row],[Start Date]],Milestone_Marker,IF(AND(AG$27&gt;ProposalToGnatt[[#This Row],[Start Date]],AG$27&lt;ProposalToGnatt[[#This Row],[Start Date]]+ProposalToGnatt[[#This Row],[Days]]),$G$5,"")),"")</f>
        <v/>
      </c>
      <c r="AH70" s="36" t="str">
        <f ca="1">IFERROR(+IF(AH$27=ProposalToGnatt[[#This Row],[Start Date]],Milestone_Marker,IF(AND(AH$27&gt;ProposalToGnatt[[#This Row],[Start Date]],AH$27&lt;ProposalToGnatt[[#This Row],[Start Date]]+ProposalToGnatt[[#This Row],[Days]]),$G$5,"")),"")</f>
        <v/>
      </c>
      <c r="AI70" s="36" t="str">
        <f ca="1">IFERROR(+IF(AI$27=ProposalToGnatt[[#This Row],[Start Date]],Milestone_Marker,IF(AND(AI$27&gt;ProposalToGnatt[[#This Row],[Start Date]],AI$27&lt;ProposalToGnatt[[#This Row],[Start Date]]+ProposalToGnatt[[#This Row],[Days]]),$G$5,"")),"")</f>
        <v/>
      </c>
      <c r="AJ70" s="36" t="str">
        <f ca="1">IFERROR(+IF(AJ$27=ProposalToGnatt[[#This Row],[Start Date]],Milestone_Marker,IF(AND(AJ$27&gt;ProposalToGnatt[[#This Row],[Start Date]],AJ$27&lt;ProposalToGnatt[[#This Row],[Start Date]]+ProposalToGnatt[[#This Row],[Days]]),$G$5,"")),"")</f>
        <v/>
      </c>
      <c r="AK70" s="36" t="str">
        <f ca="1">IFERROR(+IF(AK$27=ProposalToGnatt[[#This Row],[Start Date]],Milestone_Marker,IF(AND(AK$27&gt;ProposalToGnatt[[#This Row],[Start Date]],AK$27&lt;ProposalToGnatt[[#This Row],[Start Date]]+ProposalToGnatt[[#This Row],[Days]]),$G$5,"")),"")</f>
        <v/>
      </c>
      <c r="AL70" s="36" t="str">
        <f ca="1">IFERROR(+IF(AL$27=ProposalToGnatt[[#This Row],[Start Date]],Milestone_Marker,IF(AND(AL$27&gt;ProposalToGnatt[[#This Row],[Start Date]],AL$27&lt;ProposalToGnatt[[#This Row],[Start Date]]+ProposalToGnatt[[#This Row],[Days]]),$G$5,"")),"")</f>
        <v/>
      </c>
      <c r="AM70" s="36" t="str">
        <f ca="1">IFERROR(+IF(AM$27=ProposalToGnatt[[#This Row],[Start Date]],Milestone_Marker,IF(AND(AM$27&gt;ProposalToGnatt[[#This Row],[Start Date]],AM$27&lt;ProposalToGnatt[[#This Row],[Start Date]]+ProposalToGnatt[[#This Row],[Days]]),$G$5,"")),"")</f>
        <v/>
      </c>
      <c r="AN70" s="36" t="str">
        <f ca="1">IFERROR(+IF(AN$27=ProposalToGnatt[[#This Row],[Start Date]],Milestone_Marker,IF(AND(AN$27&gt;ProposalToGnatt[[#This Row],[Start Date]],AN$27&lt;ProposalToGnatt[[#This Row],[Start Date]]+ProposalToGnatt[[#This Row],[Days]]),$G$5,"")),"")</f>
        <v/>
      </c>
      <c r="AO70" s="36" t="str">
        <f ca="1">IFERROR(+IF(AO$27=ProposalToGnatt[[#This Row],[Start Date]],Milestone_Marker,IF(AND(AO$27&gt;ProposalToGnatt[[#This Row],[Start Date]],AO$27&lt;ProposalToGnatt[[#This Row],[Start Date]]+ProposalToGnatt[[#This Row],[Days]]),$G$5,"")),"")</f>
        <v/>
      </c>
      <c r="AP70" s="36" t="str">
        <f ca="1">IFERROR(+IF(AP$27=ProposalToGnatt[[#This Row],[Start Date]],Milestone_Marker,IF(AND(AP$27&gt;ProposalToGnatt[[#This Row],[Start Date]],AP$27&lt;ProposalToGnatt[[#This Row],[Start Date]]+ProposalToGnatt[[#This Row],[Days]]),$G$5,"")),"")</f>
        <v/>
      </c>
      <c r="AQ70" s="36" t="str">
        <f ca="1">IFERROR(+IF(AQ$27=ProposalToGnatt[[#This Row],[Start Date]],Milestone_Marker,IF(AND(AQ$27&gt;ProposalToGnatt[[#This Row],[Start Date]],AQ$27&lt;ProposalToGnatt[[#This Row],[Start Date]]+ProposalToGnatt[[#This Row],[Days]]),$G$5,"")),"")</f>
        <v/>
      </c>
      <c r="AR70" s="36" t="str">
        <f ca="1">IFERROR(+IF(AR$27=ProposalToGnatt[[#This Row],[Start Date]],Milestone_Marker,IF(AND(AR$27&gt;ProposalToGnatt[[#This Row],[Start Date]],AR$27&lt;ProposalToGnatt[[#This Row],[Start Date]]+ProposalToGnatt[[#This Row],[Days]]),$G$5,"")),"")</f>
        <v/>
      </c>
      <c r="AS70" s="36" t="str">
        <f ca="1">IFERROR(+IF(AS$27=ProposalToGnatt[[#This Row],[Start Date]],Milestone_Marker,IF(AND(AS$27&gt;ProposalToGnatt[[#This Row],[Start Date]],AS$27&lt;ProposalToGnatt[[#This Row],[Start Date]]+ProposalToGnatt[[#This Row],[Days]]),$G$5,"")),"")</f>
        <v/>
      </c>
      <c r="AT70" s="36" t="str">
        <f ca="1">IFERROR(+IF(AT$27=ProposalToGnatt[[#This Row],[Start Date]],Milestone_Marker,IF(AND(AT$27&gt;ProposalToGnatt[[#This Row],[Start Date]],AT$27&lt;ProposalToGnatt[[#This Row],[Start Date]]+ProposalToGnatt[[#This Row],[Days]]),$G$5,"")),"")</f>
        <v/>
      </c>
      <c r="AU70" s="36" t="str">
        <f ca="1">IFERROR(+IF(AU$27=ProposalToGnatt[[#This Row],[Start Date]],Milestone_Marker,IF(AND(AU$27&gt;ProposalToGnatt[[#This Row],[Start Date]],AU$27&lt;ProposalToGnatt[[#This Row],[Start Date]]+ProposalToGnatt[[#This Row],[Days]]),$G$5,"")),"")</f>
        <v/>
      </c>
      <c r="AV70" s="36" t="str">
        <f ca="1">IFERROR(+IF(AV$27=ProposalToGnatt[[#This Row],[Start Date]],Milestone_Marker,IF(AND(AV$27&gt;ProposalToGnatt[[#This Row],[Start Date]],AV$27&lt;ProposalToGnatt[[#This Row],[Start Date]]+ProposalToGnatt[[#This Row],[Days]]),$G$5,"")),"")</f>
        <v/>
      </c>
      <c r="AW70" s="36" t="str">
        <f ca="1">IFERROR(+IF(AW$27=ProposalToGnatt[[#This Row],[Start Date]],Milestone_Marker,IF(AND(AW$27&gt;ProposalToGnatt[[#This Row],[Start Date]],AW$27&lt;ProposalToGnatt[[#This Row],[Start Date]]+ProposalToGnatt[[#This Row],[Days]]),$G$5,"")),"")</f>
        <v/>
      </c>
      <c r="AX70" s="36" t="str">
        <f ca="1">IFERROR(+IF(AX$27=ProposalToGnatt[[#This Row],[Start Date]],Milestone_Marker,IF(AND(AX$27&gt;ProposalToGnatt[[#This Row],[Start Date]],AX$27&lt;ProposalToGnatt[[#This Row],[Start Date]]+ProposalToGnatt[[#This Row],[Days]]),$G$5,"")),"")</f>
        <v/>
      </c>
      <c r="AY70" s="36" t="str">
        <f ca="1">IFERROR(+IF(AY$27=ProposalToGnatt[[#This Row],[Start Date]],Milestone_Marker,IF(AND(AY$27&gt;ProposalToGnatt[[#This Row],[Start Date]],AY$27&lt;ProposalToGnatt[[#This Row],[Start Date]]+ProposalToGnatt[[#This Row],[Days]]),$G$5,"")),"")</f>
        <v/>
      </c>
      <c r="AZ70" s="36" t="str">
        <f ca="1">IFERROR(+IF(AZ$27=ProposalToGnatt[[#This Row],[Start Date]],Milestone_Marker,IF(AND(AZ$27&gt;ProposalToGnatt[[#This Row],[Start Date]],AZ$27&lt;ProposalToGnatt[[#This Row],[Start Date]]+ProposalToGnatt[[#This Row],[Days]]),$G$5,"")),"")</f>
        <v/>
      </c>
      <c r="BA70" s="36" t="str">
        <f ca="1">IFERROR(+IF(BA$27=ProposalToGnatt[[#This Row],[Start Date]],Milestone_Marker,IF(AND(BA$27&gt;ProposalToGnatt[[#This Row],[Start Date]],BA$27&lt;ProposalToGnatt[[#This Row],[Start Date]]+ProposalToGnatt[[#This Row],[Days]]),$G$5,"")),"")</f>
        <v/>
      </c>
      <c r="BB70" s="36" t="str">
        <f ca="1">IFERROR(+IF(BB$27=ProposalToGnatt[[#This Row],[Start Date]],Milestone_Marker,IF(AND(BB$27&gt;ProposalToGnatt[[#This Row],[Start Date]],BB$27&lt;ProposalToGnatt[[#This Row],[Start Date]]+ProposalToGnatt[[#This Row],[Days]]),$G$5,"")),"")</f>
        <v/>
      </c>
      <c r="BC70" s="36" t="str">
        <f ca="1">IFERROR(+IF(BC$27=ProposalToGnatt[[#This Row],[Start Date]],Milestone_Marker,IF(AND(BC$27&gt;ProposalToGnatt[[#This Row],[Start Date]],BC$27&lt;ProposalToGnatt[[#This Row],[Start Date]]+ProposalToGnatt[[#This Row],[Days]]),$G$5,"")),"")</f>
        <v/>
      </c>
      <c r="BD70" s="36" t="str">
        <f ca="1">IFERROR(+IF(BD$27=ProposalToGnatt[[#This Row],[Start Date]],Milestone_Marker,IF(AND(BD$27&gt;ProposalToGnatt[[#This Row],[Start Date]],BD$27&lt;ProposalToGnatt[[#This Row],[Start Date]]+ProposalToGnatt[[#This Row],[Days]]),$G$5,"")),"")</f>
        <v/>
      </c>
      <c r="BE70" s="36" t="str">
        <f ca="1">IFERROR(+IF(BE$27=ProposalToGnatt[[#This Row],[Start Date]],Milestone_Marker,IF(AND(BE$27&gt;ProposalToGnatt[[#This Row],[Start Date]],BE$27&lt;ProposalToGnatt[[#This Row],[Start Date]]+ProposalToGnatt[[#This Row],[Days]]),$G$5,"")),"")</f>
        <v/>
      </c>
      <c r="BF70" s="36" t="str">
        <f ca="1">IFERROR(+IF(BF$27=ProposalToGnatt[[#This Row],[Start Date]],Milestone_Marker,IF(AND(BF$27&gt;ProposalToGnatt[[#This Row],[Start Date]],BF$27&lt;ProposalToGnatt[[#This Row],[Start Date]]+ProposalToGnatt[[#This Row],[Days]]),$G$5,"")),"")</f>
        <v/>
      </c>
      <c r="BG70" s="36" t="str">
        <f ca="1">IFERROR(+IF(BG$27=ProposalToGnatt[[#This Row],[Start Date]],Milestone_Marker,IF(AND(BG$27&gt;ProposalToGnatt[[#This Row],[Start Date]],BG$27&lt;ProposalToGnatt[[#This Row],[Start Date]]+ProposalToGnatt[[#This Row],[Days]]),$G$5,"")),"")</f>
        <v/>
      </c>
      <c r="BH70" s="36" t="str">
        <f ca="1">IFERROR(+IF(BH$27=ProposalToGnatt[[#This Row],[Start Date]],Milestone_Marker,IF(AND(BH$27&gt;ProposalToGnatt[[#This Row],[Start Date]],BH$27&lt;ProposalToGnatt[[#This Row],[Start Date]]+ProposalToGnatt[[#This Row],[Days]]),$G$5,"")),"")</f>
        <v/>
      </c>
      <c r="BI70" s="36" t="str">
        <f ca="1">IFERROR(+IF(BI$27=ProposalToGnatt[[#This Row],[Start Date]],Milestone_Marker,IF(AND(BI$27&gt;ProposalToGnatt[[#This Row],[Start Date]],BI$27&lt;ProposalToGnatt[[#This Row],[Start Date]]+ProposalToGnatt[[#This Row],[Days]]),$G$5,"")),"")</f>
        <v/>
      </c>
      <c r="BJ70" s="36" t="str">
        <f ca="1">IFERROR(+IF(BJ$27=ProposalToGnatt[[#This Row],[Start Date]],Milestone_Marker,IF(AND(BJ$27&gt;ProposalToGnatt[[#This Row],[Start Date]],BJ$27&lt;ProposalToGnatt[[#This Row],[Start Date]]+ProposalToGnatt[[#This Row],[Days]]),$G$5,"")),"")</f>
        <v/>
      </c>
      <c r="BK70" s="36" t="str">
        <f ca="1">IFERROR(+IF(BK$27=ProposalToGnatt[[#This Row],[Start Date]],Milestone_Marker,IF(AND(BK$27&gt;ProposalToGnatt[[#This Row],[Start Date]],BK$27&lt;ProposalToGnatt[[#This Row],[Start Date]]+ProposalToGnatt[[#This Row],[Days]]),$G$5,"")),"")</f>
        <v/>
      </c>
      <c r="BL70" s="36" t="str">
        <f ca="1">IFERROR(+IF(BL$27=ProposalToGnatt[[#This Row],[Start Date]],Milestone_Marker,IF(AND(BL$27&gt;ProposalToGnatt[[#This Row],[Start Date]],BL$27&lt;ProposalToGnatt[[#This Row],[Start Date]]+ProposalToGnatt[[#This Row],[Days]]),$G$5,"")),"")</f>
        <v/>
      </c>
      <c r="BM70" s="36" t="str">
        <f ca="1">IFERROR(+IF(BM$27=ProposalToGnatt[[#This Row],[Start Date]],Milestone_Marker,IF(AND(BM$27&gt;ProposalToGnatt[[#This Row],[Start Date]],BM$27&lt;ProposalToGnatt[[#This Row],[Start Date]]+ProposalToGnatt[[#This Row],[Days]]),$G$5,"")),"")</f>
        <v/>
      </c>
      <c r="BN70" s="36" t="str">
        <f ca="1">IFERROR(+IF(BN$27=ProposalToGnatt[[#This Row],[Start Date]],Milestone_Marker,IF(AND(BN$27&gt;ProposalToGnatt[[#This Row],[Start Date]],BN$27&lt;ProposalToGnatt[[#This Row],[Start Date]]+ProposalToGnatt[[#This Row],[Days]]),$G$5,"")),"")</f>
        <v/>
      </c>
      <c r="BO70" s="36" t="str">
        <f ca="1">IFERROR(+IF(BO$27=ProposalToGnatt[[#This Row],[Start Date]],Milestone_Marker,IF(AND(BO$27&gt;ProposalToGnatt[[#This Row],[Start Date]],BO$27&lt;ProposalToGnatt[[#This Row],[Start Date]]+ProposalToGnatt[[#This Row],[Days]]),$G$5,"")),"")</f>
        <v/>
      </c>
      <c r="BP70" s="36" t="str">
        <f ca="1">IFERROR(+IF(BP$27=ProposalToGnatt[[#This Row],[Start Date]],Milestone_Marker,IF(AND(BP$27&gt;ProposalToGnatt[[#This Row],[Start Date]],BP$27&lt;ProposalToGnatt[[#This Row],[Start Date]]+ProposalToGnatt[[#This Row],[Days]]),$G$5,"")),"")</f>
        <v/>
      </c>
      <c r="BQ70" s="36" t="str">
        <f ca="1">IFERROR(+IF(BQ$27=ProposalToGnatt[[#This Row],[Start Date]],Milestone_Marker,IF(AND(BQ$27&gt;ProposalToGnatt[[#This Row],[Start Date]],BQ$27&lt;ProposalToGnatt[[#This Row],[Start Date]]+ProposalToGnatt[[#This Row],[Days]]),$G$5,"")),"")</f>
        <v/>
      </c>
      <c r="BR70" s="36" t="str">
        <f ca="1">IFERROR(+IF(BR$27=ProposalToGnatt[[#This Row],[Start Date]],Milestone_Marker,IF(AND(BR$27&gt;ProposalToGnatt[[#This Row],[Start Date]],BR$27&lt;ProposalToGnatt[[#This Row],[Start Date]]+ProposalToGnatt[[#This Row],[Days]]),$G$5,"")),"")</f>
        <v/>
      </c>
      <c r="BS70" s="36" t="str">
        <f ca="1">IFERROR(+IF(BS$27=ProposalToGnatt[[#This Row],[Start Date]],Milestone_Marker,IF(AND(BS$27&gt;ProposalToGnatt[[#This Row],[Start Date]],BS$27&lt;ProposalToGnatt[[#This Row],[Start Date]]+ProposalToGnatt[[#This Row],[Days]]),$G$5,"")),"")</f>
        <v/>
      </c>
      <c r="BT70" s="36" t="str">
        <f ca="1">IFERROR(+IF(BT$27=ProposalToGnatt[[#This Row],[Start Date]],Milestone_Marker,IF(AND(BT$27&gt;ProposalToGnatt[[#This Row],[Start Date]],BT$27&lt;ProposalToGnatt[[#This Row],[Start Date]]+ProposalToGnatt[[#This Row],[Days]]),$G$5,"")),"")</f>
        <v/>
      </c>
      <c r="BU70" s="36" t="str">
        <f ca="1">IFERROR(+IF(BU$27=ProposalToGnatt[[#This Row],[Start Date]],Milestone_Marker,IF(AND(BU$27&gt;ProposalToGnatt[[#This Row],[Start Date]],BU$27&lt;ProposalToGnatt[[#This Row],[Start Date]]+ProposalToGnatt[[#This Row],[Days]]),$G$5,"")),"")</f>
        <v/>
      </c>
      <c r="BV70" s="36" t="str">
        <f ca="1">IFERROR(+IF(BV$27=ProposalToGnatt[[#This Row],[Start Date]],Milestone_Marker,IF(AND(BV$27&gt;ProposalToGnatt[[#This Row],[Start Date]],BV$27&lt;ProposalToGnatt[[#This Row],[Start Date]]+ProposalToGnatt[[#This Row],[Days]]),$G$5,"")),"")</f>
        <v/>
      </c>
      <c r="BW70" s="36" t="str">
        <f ca="1">IFERROR(+IF(BW$27=ProposalToGnatt[[#This Row],[Start Date]],Milestone_Marker,IF(AND(BW$27&gt;ProposalToGnatt[[#This Row],[Start Date]],BW$27&lt;ProposalToGnatt[[#This Row],[Start Date]]+ProposalToGnatt[[#This Row],[Days]]),$G$5,"")),"")</f>
        <v/>
      </c>
      <c r="BX70" s="36" t="str">
        <f ca="1">IFERROR(+IF(BX$27=ProposalToGnatt[[#This Row],[Start Date]],Milestone_Marker,IF(AND(BX$27&gt;ProposalToGnatt[[#This Row],[Start Date]],BX$27&lt;ProposalToGnatt[[#This Row],[Start Date]]+ProposalToGnatt[[#This Row],[Days]]),$G$5,"")),"")</f>
        <v/>
      </c>
      <c r="BY70" s="36" t="str">
        <f ca="1">IFERROR(+IF(BY$27=ProposalToGnatt[[#This Row],[Start Date]],Milestone_Marker,IF(AND(BY$27&gt;ProposalToGnatt[[#This Row],[Start Date]],BY$27&lt;ProposalToGnatt[[#This Row],[Start Date]]+ProposalToGnatt[[#This Row],[Days]]),$G$5,"")),"")</f>
        <v/>
      </c>
      <c r="BZ70" s="36" t="str">
        <f ca="1">IFERROR(+IF(BZ$27=ProposalToGnatt[[#This Row],[Start Date]],Milestone_Marker,IF(AND(BZ$27&gt;ProposalToGnatt[[#This Row],[Start Date]],BZ$27&lt;ProposalToGnatt[[#This Row],[Start Date]]+ProposalToGnatt[[#This Row],[Days]]),$G$5,"")),"")</f>
        <v/>
      </c>
      <c r="CA70" s="36" t="str">
        <f ca="1">IFERROR(+IF(CA$27=ProposalToGnatt[[#This Row],[Start Date]],Milestone_Marker,IF(AND(CA$27&gt;ProposalToGnatt[[#This Row],[Start Date]],CA$27&lt;ProposalToGnatt[[#This Row],[Start Date]]+ProposalToGnatt[[#This Row],[Days]]),$G$5,"")),"")</f>
        <v/>
      </c>
      <c r="CB70" s="36" t="str">
        <f ca="1">IFERROR(+IF(CB$27=ProposalToGnatt[[#This Row],[Start Date]],Milestone_Marker,IF(AND(CB$27&gt;ProposalToGnatt[[#This Row],[Start Date]],CB$27&lt;ProposalToGnatt[[#This Row],[Start Date]]+ProposalToGnatt[[#This Row],[Days]]),$G$5,"")),"")</f>
        <v/>
      </c>
      <c r="CC70" s="36" t="str">
        <f ca="1">IFERROR(+IF(CC$27=ProposalToGnatt[[#This Row],[Start Date]],Milestone_Marker,IF(AND(CC$27&gt;ProposalToGnatt[[#This Row],[Start Date]],CC$27&lt;ProposalToGnatt[[#This Row],[Start Date]]+ProposalToGnatt[[#This Row],[Days]]),$G$5,"")),"")</f>
        <v/>
      </c>
      <c r="CD70" s="36" t="str">
        <f ca="1">IFERROR(+IF(CD$27=ProposalToGnatt[[#This Row],[Start Date]],Milestone_Marker,IF(AND(CD$27&gt;ProposalToGnatt[[#This Row],[Start Date]],CD$27&lt;ProposalToGnatt[[#This Row],[Start Date]]+ProposalToGnatt[[#This Row],[Days]]),$G$5,"")),"")</f>
        <v/>
      </c>
      <c r="CE70" s="36" t="str">
        <f ca="1">IFERROR(+IF(CE$27=ProposalToGnatt[[#This Row],[Start Date]],Milestone_Marker,IF(AND(CE$27&gt;ProposalToGnatt[[#This Row],[Start Date]],CE$27&lt;ProposalToGnatt[[#This Row],[Start Date]]+ProposalToGnatt[[#This Row],[Days]]),$G$5,"")),"")</f>
        <v/>
      </c>
      <c r="CF70" s="36" t="str">
        <f ca="1">IFERROR(+IF(CF$27=ProposalToGnatt[[#This Row],[Start Date]],Milestone_Marker,IF(AND(CF$27&gt;ProposalToGnatt[[#This Row],[Start Date]],CF$27&lt;ProposalToGnatt[[#This Row],[Start Date]]+ProposalToGnatt[[#This Row],[Days]]),$G$5,"")),"")</f>
        <v/>
      </c>
      <c r="CG70" s="36" t="str">
        <f ca="1">IFERROR(+IF(CG$27=ProposalToGnatt[[#This Row],[Start Date]],Milestone_Marker,IF(AND(CG$27&gt;ProposalToGnatt[[#This Row],[Start Date]],CG$27&lt;ProposalToGnatt[[#This Row],[Start Date]]+ProposalToGnatt[[#This Row],[Days]]),$G$5,"")),"")</f>
        <v/>
      </c>
      <c r="CH70" s="36" t="str">
        <f ca="1">IFERROR(+IF(CH$27=ProposalToGnatt[[#This Row],[Start Date]],Milestone_Marker,IF(AND(CH$27&gt;ProposalToGnatt[[#This Row],[Start Date]],CH$27&lt;ProposalToGnatt[[#This Row],[Start Date]]+ProposalToGnatt[[#This Row],[Days]]),$G$5,"")),"")</f>
        <v/>
      </c>
      <c r="CI70" s="36" t="str">
        <f ca="1">IFERROR(+IF(CI$27=ProposalToGnatt[[#This Row],[Start Date]],Milestone_Marker,IF(AND(CI$27&gt;ProposalToGnatt[[#This Row],[Start Date]],CI$27&lt;ProposalToGnatt[[#This Row],[Start Date]]+ProposalToGnatt[[#This Row],[Days]]),$G$5,"")),"")</f>
        <v/>
      </c>
      <c r="CJ70" s="36" t="str">
        <f ca="1">IFERROR(+IF(CJ$27=ProposalToGnatt[[#This Row],[Start Date]],Milestone_Marker,IF(AND(CJ$27&gt;ProposalToGnatt[[#This Row],[Start Date]],CJ$27&lt;ProposalToGnatt[[#This Row],[Start Date]]+ProposalToGnatt[[#This Row],[Days]]),$G$5,"")),"")</f>
        <v/>
      </c>
      <c r="CK70" s="36" t="str">
        <f ca="1">IFERROR(+IF(CK$27=ProposalToGnatt[[#This Row],[Start Date]],Milestone_Marker,IF(AND(CK$27&gt;ProposalToGnatt[[#This Row],[Start Date]],CK$27&lt;ProposalToGnatt[[#This Row],[Start Date]]+ProposalToGnatt[[#This Row],[Days]]),$G$5,"")),"")</f>
        <v/>
      </c>
      <c r="CL70" s="36" t="str">
        <f ca="1">IFERROR(+IF(CL$27=ProposalToGnatt[[#This Row],[Start Date]],Milestone_Marker,IF(AND(CL$27&gt;ProposalToGnatt[[#This Row],[Start Date]],CL$27&lt;ProposalToGnatt[[#This Row],[Start Date]]+ProposalToGnatt[[#This Row],[Days]]),$G$5,"")),"")</f>
        <v/>
      </c>
      <c r="CM70" s="36" t="str">
        <f ca="1">IFERROR(+IF(CM$27=ProposalToGnatt[[#This Row],[Start Date]],Milestone_Marker,IF(AND(CM$27&gt;ProposalToGnatt[[#This Row],[Start Date]],CM$27&lt;ProposalToGnatt[[#This Row],[Start Date]]+ProposalToGnatt[[#This Row],[Days]]),$G$5,"")),"")</f>
        <v/>
      </c>
      <c r="CN70" s="36" t="str">
        <f ca="1">IFERROR(+IF(CN$27=ProposalToGnatt[[#This Row],[Start Date]],Milestone_Marker,IF(AND(CN$27&gt;ProposalToGnatt[[#This Row],[Start Date]],CN$27&lt;ProposalToGnatt[[#This Row],[Start Date]]+ProposalToGnatt[[#This Row],[Days]]),$G$5,"")),"")</f>
        <v/>
      </c>
      <c r="CO70" s="36" t="str">
        <f ca="1">IFERROR(+IF(CO$27=ProposalToGnatt[[#This Row],[Start Date]],Milestone_Marker,IF(AND(CO$27&gt;ProposalToGnatt[[#This Row],[Start Date]],CO$27&lt;ProposalToGnatt[[#This Row],[Start Date]]+ProposalToGnatt[[#This Row],[Days]]),$G$5,"")),"")</f>
        <v/>
      </c>
      <c r="CP70" s="36" t="str">
        <f ca="1">IFERROR(+IF(CP$27=ProposalToGnatt[[#This Row],[Start Date]],Milestone_Marker,IF(AND(CP$27&gt;ProposalToGnatt[[#This Row],[Start Date]],CP$27&lt;ProposalToGnatt[[#This Row],[Start Date]]+ProposalToGnatt[[#This Row],[Days]]),$G$5,"")),"")</f>
        <v/>
      </c>
      <c r="CQ70" s="36" t="str">
        <f ca="1">IFERROR(+IF(CQ$27=ProposalToGnatt[[#This Row],[Start Date]],Milestone_Marker,IF(AND(CQ$27&gt;ProposalToGnatt[[#This Row],[Start Date]],CQ$27&lt;ProposalToGnatt[[#This Row],[Start Date]]+ProposalToGnatt[[#This Row],[Days]]),$G$5,"")),"")</f>
        <v/>
      </c>
      <c r="CR70" s="36" t="str">
        <f ca="1">IFERROR(+IF(CR$27=ProposalToGnatt[[#This Row],[Start Date]],Milestone_Marker,IF(AND(CR$27&gt;ProposalToGnatt[[#This Row],[Start Date]],CR$27&lt;ProposalToGnatt[[#This Row],[Start Date]]+ProposalToGnatt[[#This Row],[Days]]),$G$5,"")),"")</f>
        <v/>
      </c>
      <c r="CS70" s="36" t="str">
        <f ca="1">IFERROR(+IF(CS$27=ProposalToGnatt[[#This Row],[Start Date]],Milestone_Marker,IF(AND(CS$27&gt;ProposalToGnatt[[#This Row],[Start Date]],CS$27&lt;ProposalToGnatt[[#This Row],[Start Date]]+ProposalToGnatt[[#This Row],[Days]]),$G$5,"")),"")</f>
        <v/>
      </c>
      <c r="CT70" s="36" t="str">
        <f ca="1">IFERROR(+IF(CT$27=ProposalToGnatt[[#This Row],[Start Date]],Milestone_Marker,IF(AND(CT$27&gt;ProposalToGnatt[[#This Row],[Start Date]],CT$27&lt;ProposalToGnatt[[#This Row],[Start Date]]+ProposalToGnatt[[#This Row],[Days]]),$G$5,"")),"")</f>
        <v/>
      </c>
      <c r="CU70" s="36" t="str">
        <f ca="1">IFERROR(+IF(CU$27=ProposalToGnatt[[#This Row],[Start Date]],Milestone_Marker,IF(AND(CU$27&gt;ProposalToGnatt[[#This Row],[Start Date]],CU$27&lt;ProposalToGnatt[[#This Row],[Start Date]]+ProposalToGnatt[[#This Row],[Days]]),$G$5,"")),"")</f>
        <v/>
      </c>
      <c r="CV70" s="36"/>
      <c r="CW70" s="36"/>
      <c r="CX70" s="36"/>
      <c r="CY70" s="36"/>
      <c r="CZ70" s="36"/>
      <c r="DA70" s="36"/>
      <c r="DB70" s="36"/>
      <c r="DC70" s="36"/>
      <c r="DD70" s="36"/>
      <c r="DE70" s="36"/>
      <c r="DF70" s="36"/>
      <c r="DG70" s="36"/>
      <c r="DH70" s="36"/>
      <c r="DI70" s="36"/>
      <c r="DJ70" s="36"/>
      <c r="DK70" s="36"/>
      <c r="DL70" s="36"/>
      <c r="DM70" s="36"/>
      <c r="DN70" s="36"/>
      <c r="DO70" s="36"/>
      <c r="DP70" s="36"/>
      <c r="DQ70" s="36"/>
      <c r="DR70" s="36"/>
      <c r="DS70" s="36"/>
      <c r="DT70" s="36"/>
      <c r="DU70" s="36"/>
    </row>
    <row r="71" spans="1:125" s="41" customFormat="1" ht="15" x14ac:dyDescent="0.25">
      <c r="A71"/>
      <c r="B71"/>
      <c r="C71"/>
      <c r="D71"/>
      <c r="E71"/>
      <c r="F71"/>
      <c r="G71" s="14"/>
      <c r="H71" s="14"/>
      <c r="I71"/>
      <c r="J71"/>
      <c r="K71" s="246"/>
      <c r="L71"/>
      <c r="M71" s="14"/>
      <c r="N71" s="299"/>
      <c r="O71" s="281"/>
      <c r="P71" s="36" t="str">
        <f ca="1">IFERROR(+IF(P$27=ProposalToGnatt[[#This Row],[Start Date]],Milestone_Marker,IF(AND(P$27&gt;ProposalToGnatt[[#This Row],[Start Date]],P$27&lt;ProposalToGnatt[[#This Row],[Start Date]]+ProposalToGnatt[[#This Row],[Days]]),$G$5,"")),"")</f>
        <v/>
      </c>
      <c r="Q71" s="36" t="str">
        <f ca="1">IFERROR(+IF(Q$27=ProposalToGnatt[[#This Row],[Start Date]],Milestone_Marker,IF(AND(Q$27&gt;ProposalToGnatt[[#This Row],[Start Date]],Q$27&lt;ProposalToGnatt[[#This Row],[Start Date]]+ProposalToGnatt[[#This Row],[Days]]),$G$5,"")),"")</f>
        <v/>
      </c>
      <c r="R71" s="36" t="str">
        <f ca="1">IFERROR(+IF(R$27=ProposalToGnatt[[#This Row],[Start Date]],Milestone_Marker,IF(AND(R$27&gt;ProposalToGnatt[[#This Row],[Start Date]],R$27&lt;ProposalToGnatt[[#This Row],[Start Date]]+ProposalToGnatt[[#This Row],[Days]]),$G$5,"")),"")</f>
        <v/>
      </c>
      <c r="S71" s="36" t="str">
        <f ca="1">IFERROR(+IF(S$27=ProposalToGnatt[[#This Row],[Start Date]],Milestone_Marker,IF(AND(S$27&gt;ProposalToGnatt[[#This Row],[Start Date]],S$27&lt;ProposalToGnatt[[#This Row],[Start Date]]+ProposalToGnatt[[#This Row],[Days]]),$G$5,"")),"")</f>
        <v/>
      </c>
      <c r="T71" s="36" t="str">
        <f ca="1">IFERROR(+IF(T$27=ProposalToGnatt[[#This Row],[Start Date]],Milestone_Marker,IF(AND(T$27&gt;ProposalToGnatt[[#This Row],[Start Date]],T$27&lt;ProposalToGnatt[[#This Row],[Start Date]]+ProposalToGnatt[[#This Row],[Days]]),$G$5,"")),"")</f>
        <v/>
      </c>
      <c r="U71" s="36" t="str">
        <f ca="1">IFERROR(+IF(U$27=ProposalToGnatt[[#This Row],[Start Date]],Milestone_Marker,IF(AND(U$27&gt;ProposalToGnatt[[#This Row],[Start Date]],U$27&lt;ProposalToGnatt[[#This Row],[Start Date]]+ProposalToGnatt[[#This Row],[Days]]),$G$5,"")),"")</f>
        <v/>
      </c>
      <c r="V71" s="36" t="str">
        <f ca="1">IFERROR(+IF(V$27=ProposalToGnatt[[#This Row],[Start Date]],Milestone_Marker,IF(AND(V$27&gt;ProposalToGnatt[[#This Row],[Start Date]],V$27&lt;ProposalToGnatt[[#This Row],[Start Date]]+ProposalToGnatt[[#This Row],[Days]]),$G$5,"")),"")</f>
        <v/>
      </c>
      <c r="W71" s="36" t="str">
        <f ca="1">IFERROR(+IF(W$27=ProposalToGnatt[[#This Row],[Start Date]],Milestone_Marker,IF(AND(W$27&gt;ProposalToGnatt[[#This Row],[Start Date]],W$27&lt;ProposalToGnatt[[#This Row],[Start Date]]+ProposalToGnatt[[#This Row],[Days]]),$G$5,"")),"")</f>
        <v/>
      </c>
      <c r="X71" s="36" t="str">
        <f ca="1">IFERROR(+IF(X$27=ProposalToGnatt[[#This Row],[Start Date]],Milestone_Marker,IF(AND(X$27&gt;ProposalToGnatt[[#This Row],[Start Date]],X$27&lt;ProposalToGnatt[[#This Row],[Start Date]]+ProposalToGnatt[[#This Row],[Days]]),$G$5,"")),"")</f>
        <v/>
      </c>
      <c r="Y71" s="36" t="str">
        <f ca="1">IFERROR(+IF(Y$27=ProposalToGnatt[[#This Row],[Start Date]],Milestone_Marker,IF(AND(Y$27&gt;ProposalToGnatt[[#This Row],[Start Date]],Y$27&lt;ProposalToGnatt[[#This Row],[Start Date]]+ProposalToGnatt[[#This Row],[Days]]),$G$5,"")),"")</f>
        <v/>
      </c>
      <c r="Z71" s="36" t="str">
        <f ca="1">IFERROR(+IF(Z$27=ProposalToGnatt[[#This Row],[Start Date]],Milestone_Marker,IF(AND(Z$27&gt;ProposalToGnatt[[#This Row],[Start Date]],Z$27&lt;ProposalToGnatt[[#This Row],[Start Date]]+ProposalToGnatt[[#This Row],[Days]]),$G$5,"")),"")</f>
        <v/>
      </c>
      <c r="AA71" s="36" t="str">
        <f ca="1">IFERROR(+IF(AA$27=ProposalToGnatt[[#This Row],[Start Date]],Milestone_Marker,IF(AND(AA$27&gt;ProposalToGnatt[[#This Row],[Start Date]],AA$27&lt;ProposalToGnatt[[#This Row],[Start Date]]+ProposalToGnatt[[#This Row],[Days]]),$G$5,"")),"")</f>
        <v/>
      </c>
      <c r="AB71" s="36" t="str">
        <f ca="1">IFERROR(+IF(AB$27=ProposalToGnatt[[#This Row],[Start Date]],Milestone_Marker,IF(AND(AB$27&gt;ProposalToGnatt[[#This Row],[Start Date]],AB$27&lt;ProposalToGnatt[[#This Row],[Start Date]]+ProposalToGnatt[[#This Row],[Days]]),$G$5,"")),"")</f>
        <v/>
      </c>
      <c r="AC71" s="36" t="str">
        <f ca="1">IFERROR(+IF(AC$27=ProposalToGnatt[[#This Row],[Start Date]],Milestone_Marker,IF(AND(AC$27&gt;ProposalToGnatt[[#This Row],[Start Date]],AC$27&lt;ProposalToGnatt[[#This Row],[Start Date]]+ProposalToGnatt[[#This Row],[Days]]),$G$5,"")),"")</f>
        <v/>
      </c>
      <c r="AD71" s="36" t="str">
        <f ca="1">IFERROR(+IF(AD$27=ProposalToGnatt[[#This Row],[Start Date]],Milestone_Marker,IF(AND(AD$27&gt;ProposalToGnatt[[#This Row],[Start Date]],AD$27&lt;ProposalToGnatt[[#This Row],[Start Date]]+ProposalToGnatt[[#This Row],[Days]]),$G$5,"")),"")</f>
        <v/>
      </c>
      <c r="AE71" s="36" t="str">
        <f ca="1">IFERROR(+IF(AE$27=ProposalToGnatt[[#This Row],[Start Date]],Milestone_Marker,IF(AND(AE$27&gt;ProposalToGnatt[[#This Row],[Start Date]],AE$27&lt;ProposalToGnatt[[#This Row],[Start Date]]+ProposalToGnatt[[#This Row],[Days]]),$G$5,"")),"")</f>
        <v/>
      </c>
      <c r="AF71" s="36" t="str">
        <f ca="1">IFERROR(+IF(AF$27=ProposalToGnatt[[#This Row],[Start Date]],Milestone_Marker,IF(AND(AF$27&gt;ProposalToGnatt[[#This Row],[Start Date]],AF$27&lt;ProposalToGnatt[[#This Row],[Start Date]]+ProposalToGnatt[[#This Row],[Days]]),$G$5,"")),"")</f>
        <v/>
      </c>
      <c r="AG71" s="36" t="str">
        <f ca="1">IFERROR(+IF(AG$27=ProposalToGnatt[[#This Row],[Start Date]],Milestone_Marker,IF(AND(AG$27&gt;ProposalToGnatt[[#This Row],[Start Date]],AG$27&lt;ProposalToGnatt[[#This Row],[Start Date]]+ProposalToGnatt[[#This Row],[Days]]),$G$5,"")),"")</f>
        <v/>
      </c>
      <c r="AH71" s="36" t="str">
        <f ca="1">IFERROR(+IF(AH$27=ProposalToGnatt[[#This Row],[Start Date]],Milestone_Marker,IF(AND(AH$27&gt;ProposalToGnatt[[#This Row],[Start Date]],AH$27&lt;ProposalToGnatt[[#This Row],[Start Date]]+ProposalToGnatt[[#This Row],[Days]]),$G$5,"")),"")</f>
        <v/>
      </c>
      <c r="AI71" s="36" t="str">
        <f ca="1">IFERROR(+IF(AI$27=ProposalToGnatt[[#This Row],[Start Date]],Milestone_Marker,IF(AND(AI$27&gt;ProposalToGnatt[[#This Row],[Start Date]],AI$27&lt;ProposalToGnatt[[#This Row],[Start Date]]+ProposalToGnatt[[#This Row],[Days]]),$G$5,"")),"")</f>
        <v/>
      </c>
      <c r="AJ71" s="36" t="str">
        <f ca="1">IFERROR(+IF(AJ$27=ProposalToGnatt[[#This Row],[Start Date]],Milestone_Marker,IF(AND(AJ$27&gt;ProposalToGnatt[[#This Row],[Start Date]],AJ$27&lt;ProposalToGnatt[[#This Row],[Start Date]]+ProposalToGnatt[[#This Row],[Days]]),$G$5,"")),"")</f>
        <v/>
      </c>
      <c r="AK71" s="36" t="str">
        <f ca="1">IFERROR(+IF(AK$27=ProposalToGnatt[[#This Row],[Start Date]],Milestone_Marker,IF(AND(AK$27&gt;ProposalToGnatt[[#This Row],[Start Date]],AK$27&lt;ProposalToGnatt[[#This Row],[Start Date]]+ProposalToGnatt[[#This Row],[Days]]),$G$5,"")),"")</f>
        <v/>
      </c>
      <c r="AL71" s="36" t="str">
        <f ca="1">IFERROR(+IF(AL$27=ProposalToGnatt[[#This Row],[Start Date]],Milestone_Marker,IF(AND(AL$27&gt;ProposalToGnatt[[#This Row],[Start Date]],AL$27&lt;ProposalToGnatt[[#This Row],[Start Date]]+ProposalToGnatt[[#This Row],[Days]]),$G$5,"")),"")</f>
        <v/>
      </c>
      <c r="AM71" s="36" t="str">
        <f ca="1">IFERROR(+IF(AM$27=ProposalToGnatt[[#This Row],[Start Date]],Milestone_Marker,IF(AND(AM$27&gt;ProposalToGnatt[[#This Row],[Start Date]],AM$27&lt;ProposalToGnatt[[#This Row],[Start Date]]+ProposalToGnatt[[#This Row],[Days]]),$G$5,"")),"")</f>
        <v/>
      </c>
      <c r="AN71" s="36" t="str">
        <f ca="1">IFERROR(+IF(AN$27=ProposalToGnatt[[#This Row],[Start Date]],Milestone_Marker,IF(AND(AN$27&gt;ProposalToGnatt[[#This Row],[Start Date]],AN$27&lt;ProposalToGnatt[[#This Row],[Start Date]]+ProposalToGnatt[[#This Row],[Days]]),$G$5,"")),"")</f>
        <v/>
      </c>
      <c r="AO71" s="36" t="str">
        <f ca="1">IFERROR(+IF(AO$27=ProposalToGnatt[[#This Row],[Start Date]],Milestone_Marker,IF(AND(AO$27&gt;ProposalToGnatt[[#This Row],[Start Date]],AO$27&lt;ProposalToGnatt[[#This Row],[Start Date]]+ProposalToGnatt[[#This Row],[Days]]),$G$5,"")),"")</f>
        <v/>
      </c>
      <c r="AP71" s="36" t="str">
        <f ca="1">IFERROR(+IF(AP$27=ProposalToGnatt[[#This Row],[Start Date]],Milestone_Marker,IF(AND(AP$27&gt;ProposalToGnatt[[#This Row],[Start Date]],AP$27&lt;ProposalToGnatt[[#This Row],[Start Date]]+ProposalToGnatt[[#This Row],[Days]]),$G$5,"")),"")</f>
        <v/>
      </c>
      <c r="AQ71" s="36" t="str">
        <f ca="1">IFERROR(+IF(AQ$27=ProposalToGnatt[[#This Row],[Start Date]],Milestone_Marker,IF(AND(AQ$27&gt;ProposalToGnatt[[#This Row],[Start Date]],AQ$27&lt;ProposalToGnatt[[#This Row],[Start Date]]+ProposalToGnatt[[#This Row],[Days]]),$G$5,"")),"")</f>
        <v/>
      </c>
      <c r="AR71" s="36" t="str">
        <f ca="1">IFERROR(+IF(AR$27=ProposalToGnatt[[#This Row],[Start Date]],Milestone_Marker,IF(AND(AR$27&gt;ProposalToGnatt[[#This Row],[Start Date]],AR$27&lt;ProposalToGnatt[[#This Row],[Start Date]]+ProposalToGnatt[[#This Row],[Days]]),$G$5,"")),"")</f>
        <v/>
      </c>
      <c r="AS71" s="36" t="str">
        <f ca="1">IFERROR(+IF(AS$27=ProposalToGnatt[[#This Row],[Start Date]],Milestone_Marker,IF(AND(AS$27&gt;ProposalToGnatt[[#This Row],[Start Date]],AS$27&lt;ProposalToGnatt[[#This Row],[Start Date]]+ProposalToGnatt[[#This Row],[Days]]),$G$5,"")),"")</f>
        <v/>
      </c>
      <c r="AT71" s="36" t="str">
        <f ca="1">IFERROR(+IF(AT$27=ProposalToGnatt[[#This Row],[Start Date]],Milestone_Marker,IF(AND(AT$27&gt;ProposalToGnatt[[#This Row],[Start Date]],AT$27&lt;ProposalToGnatt[[#This Row],[Start Date]]+ProposalToGnatt[[#This Row],[Days]]),$G$5,"")),"")</f>
        <v/>
      </c>
      <c r="AU71" s="36" t="str">
        <f ca="1">IFERROR(+IF(AU$27=ProposalToGnatt[[#This Row],[Start Date]],Milestone_Marker,IF(AND(AU$27&gt;ProposalToGnatt[[#This Row],[Start Date]],AU$27&lt;ProposalToGnatt[[#This Row],[Start Date]]+ProposalToGnatt[[#This Row],[Days]]),$G$5,"")),"")</f>
        <v/>
      </c>
      <c r="AV71" s="36" t="str">
        <f ca="1">IFERROR(+IF(AV$27=ProposalToGnatt[[#This Row],[Start Date]],Milestone_Marker,IF(AND(AV$27&gt;ProposalToGnatt[[#This Row],[Start Date]],AV$27&lt;ProposalToGnatt[[#This Row],[Start Date]]+ProposalToGnatt[[#This Row],[Days]]),$G$5,"")),"")</f>
        <v/>
      </c>
      <c r="AW71" s="36" t="str">
        <f ca="1">IFERROR(+IF(AW$27=ProposalToGnatt[[#This Row],[Start Date]],Milestone_Marker,IF(AND(AW$27&gt;ProposalToGnatt[[#This Row],[Start Date]],AW$27&lt;ProposalToGnatt[[#This Row],[Start Date]]+ProposalToGnatt[[#This Row],[Days]]),$G$5,"")),"")</f>
        <v/>
      </c>
      <c r="AX71" s="36" t="str">
        <f ca="1">IFERROR(+IF(AX$27=ProposalToGnatt[[#This Row],[Start Date]],Milestone_Marker,IF(AND(AX$27&gt;ProposalToGnatt[[#This Row],[Start Date]],AX$27&lt;ProposalToGnatt[[#This Row],[Start Date]]+ProposalToGnatt[[#This Row],[Days]]),$G$5,"")),"")</f>
        <v/>
      </c>
      <c r="AY71" s="36" t="str">
        <f ca="1">IFERROR(+IF(AY$27=ProposalToGnatt[[#This Row],[Start Date]],Milestone_Marker,IF(AND(AY$27&gt;ProposalToGnatt[[#This Row],[Start Date]],AY$27&lt;ProposalToGnatt[[#This Row],[Start Date]]+ProposalToGnatt[[#This Row],[Days]]),$G$5,"")),"")</f>
        <v/>
      </c>
      <c r="AZ71" s="36" t="str">
        <f ca="1">IFERROR(+IF(AZ$27=ProposalToGnatt[[#This Row],[Start Date]],Milestone_Marker,IF(AND(AZ$27&gt;ProposalToGnatt[[#This Row],[Start Date]],AZ$27&lt;ProposalToGnatt[[#This Row],[Start Date]]+ProposalToGnatt[[#This Row],[Days]]),$G$5,"")),"")</f>
        <v/>
      </c>
      <c r="BA71" s="36" t="str">
        <f ca="1">IFERROR(+IF(BA$27=ProposalToGnatt[[#This Row],[Start Date]],Milestone_Marker,IF(AND(BA$27&gt;ProposalToGnatt[[#This Row],[Start Date]],BA$27&lt;ProposalToGnatt[[#This Row],[Start Date]]+ProposalToGnatt[[#This Row],[Days]]),$G$5,"")),"")</f>
        <v/>
      </c>
      <c r="BB71" s="36" t="str">
        <f ca="1">IFERROR(+IF(BB$27=ProposalToGnatt[[#This Row],[Start Date]],Milestone_Marker,IF(AND(BB$27&gt;ProposalToGnatt[[#This Row],[Start Date]],BB$27&lt;ProposalToGnatt[[#This Row],[Start Date]]+ProposalToGnatt[[#This Row],[Days]]),$G$5,"")),"")</f>
        <v/>
      </c>
      <c r="BC71" s="36" t="str">
        <f ca="1">IFERROR(+IF(BC$27=ProposalToGnatt[[#This Row],[Start Date]],Milestone_Marker,IF(AND(BC$27&gt;ProposalToGnatt[[#This Row],[Start Date]],BC$27&lt;ProposalToGnatt[[#This Row],[Start Date]]+ProposalToGnatt[[#This Row],[Days]]),$G$5,"")),"")</f>
        <v/>
      </c>
      <c r="BD71" s="36" t="str">
        <f ca="1">IFERROR(+IF(BD$27=ProposalToGnatt[[#This Row],[Start Date]],Milestone_Marker,IF(AND(BD$27&gt;ProposalToGnatt[[#This Row],[Start Date]],BD$27&lt;ProposalToGnatt[[#This Row],[Start Date]]+ProposalToGnatt[[#This Row],[Days]]),$G$5,"")),"")</f>
        <v/>
      </c>
      <c r="BE71" s="36" t="str">
        <f ca="1">IFERROR(+IF(BE$27=ProposalToGnatt[[#This Row],[Start Date]],Milestone_Marker,IF(AND(BE$27&gt;ProposalToGnatt[[#This Row],[Start Date]],BE$27&lt;ProposalToGnatt[[#This Row],[Start Date]]+ProposalToGnatt[[#This Row],[Days]]),$G$5,"")),"")</f>
        <v/>
      </c>
      <c r="BF71" s="36" t="str">
        <f ca="1">IFERROR(+IF(BF$27=ProposalToGnatt[[#This Row],[Start Date]],Milestone_Marker,IF(AND(BF$27&gt;ProposalToGnatt[[#This Row],[Start Date]],BF$27&lt;ProposalToGnatt[[#This Row],[Start Date]]+ProposalToGnatt[[#This Row],[Days]]),$G$5,"")),"")</f>
        <v/>
      </c>
      <c r="BG71" s="36" t="str">
        <f ca="1">IFERROR(+IF(BG$27=ProposalToGnatt[[#This Row],[Start Date]],Milestone_Marker,IF(AND(BG$27&gt;ProposalToGnatt[[#This Row],[Start Date]],BG$27&lt;ProposalToGnatt[[#This Row],[Start Date]]+ProposalToGnatt[[#This Row],[Days]]),$G$5,"")),"")</f>
        <v/>
      </c>
      <c r="BH71" s="36" t="str">
        <f ca="1">IFERROR(+IF(BH$27=ProposalToGnatt[[#This Row],[Start Date]],Milestone_Marker,IF(AND(BH$27&gt;ProposalToGnatt[[#This Row],[Start Date]],BH$27&lt;ProposalToGnatt[[#This Row],[Start Date]]+ProposalToGnatt[[#This Row],[Days]]),$G$5,"")),"")</f>
        <v/>
      </c>
      <c r="BI71" s="36" t="str">
        <f ca="1">IFERROR(+IF(BI$27=ProposalToGnatt[[#This Row],[Start Date]],Milestone_Marker,IF(AND(BI$27&gt;ProposalToGnatt[[#This Row],[Start Date]],BI$27&lt;ProposalToGnatt[[#This Row],[Start Date]]+ProposalToGnatt[[#This Row],[Days]]),$G$5,"")),"")</f>
        <v/>
      </c>
      <c r="BJ71" s="36" t="str">
        <f ca="1">IFERROR(+IF(BJ$27=ProposalToGnatt[[#This Row],[Start Date]],Milestone_Marker,IF(AND(BJ$27&gt;ProposalToGnatt[[#This Row],[Start Date]],BJ$27&lt;ProposalToGnatt[[#This Row],[Start Date]]+ProposalToGnatt[[#This Row],[Days]]),$G$5,"")),"")</f>
        <v/>
      </c>
      <c r="BK71" s="36" t="str">
        <f ca="1">IFERROR(+IF(BK$27=ProposalToGnatt[[#This Row],[Start Date]],Milestone_Marker,IF(AND(BK$27&gt;ProposalToGnatt[[#This Row],[Start Date]],BK$27&lt;ProposalToGnatt[[#This Row],[Start Date]]+ProposalToGnatt[[#This Row],[Days]]),$G$5,"")),"")</f>
        <v/>
      </c>
      <c r="BL71" s="36" t="str">
        <f ca="1">IFERROR(+IF(BL$27=ProposalToGnatt[[#This Row],[Start Date]],Milestone_Marker,IF(AND(BL$27&gt;ProposalToGnatt[[#This Row],[Start Date]],BL$27&lt;ProposalToGnatt[[#This Row],[Start Date]]+ProposalToGnatt[[#This Row],[Days]]),$G$5,"")),"")</f>
        <v/>
      </c>
      <c r="BM71" s="36" t="str">
        <f ca="1">IFERROR(+IF(BM$27=ProposalToGnatt[[#This Row],[Start Date]],Milestone_Marker,IF(AND(BM$27&gt;ProposalToGnatt[[#This Row],[Start Date]],BM$27&lt;ProposalToGnatt[[#This Row],[Start Date]]+ProposalToGnatt[[#This Row],[Days]]),$G$5,"")),"")</f>
        <v/>
      </c>
      <c r="BN71" s="36" t="str">
        <f ca="1">IFERROR(+IF(BN$27=ProposalToGnatt[[#This Row],[Start Date]],Milestone_Marker,IF(AND(BN$27&gt;ProposalToGnatt[[#This Row],[Start Date]],BN$27&lt;ProposalToGnatt[[#This Row],[Start Date]]+ProposalToGnatt[[#This Row],[Days]]),$G$5,"")),"")</f>
        <v/>
      </c>
      <c r="BO71" s="36" t="str">
        <f ca="1">IFERROR(+IF(BO$27=ProposalToGnatt[[#This Row],[Start Date]],Milestone_Marker,IF(AND(BO$27&gt;ProposalToGnatt[[#This Row],[Start Date]],BO$27&lt;ProposalToGnatt[[#This Row],[Start Date]]+ProposalToGnatt[[#This Row],[Days]]),$G$5,"")),"")</f>
        <v/>
      </c>
      <c r="BP71" s="36" t="str">
        <f ca="1">IFERROR(+IF(BP$27=ProposalToGnatt[[#This Row],[Start Date]],Milestone_Marker,IF(AND(BP$27&gt;ProposalToGnatt[[#This Row],[Start Date]],BP$27&lt;ProposalToGnatt[[#This Row],[Start Date]]+ProposalToGnatt[[#This Row],[Days]]),$G$5,"")),"")</f>
        <v/>
      </c>
      <c r="BQ71" s="36" t="str">
        <f ca="1">IFERROR(+IF(BQ$27=ProposalToGnatt[[#This Row],[Start Date]],Milestone_Marker,IF(AND(BQ$27&gt;ProposalToGnatt[[#This Row],[Start Date]],BQ$27&lt;ProposalToGnatt[[#This Row],[Start Date]]+ProposalToGnatt[[#This Row],[Days]]),$G$5,"")),"")</f>
        <v/>
      </c>
      <c r="BR71" s="36" t="str">
        <f ca="1">IFERROR(+IF(BR$27=ProposalToGnatt[[#This Row],[Start Date]],Milestone_Marker,IF(AND(BR$27&gt;ProposalToGnatt[[#This Row],[Start Date]],BR$27&lt;ProposalToGnatt[[#This Row],[Start Date]]+ProposalToGnatt[[#This Row],[Days]]),$G$5,"")),"")</f>
        <v/>
      </c>
      <c r="BS71" s="36" t="str">
        <f ca="1">IFERROR(+IF(BS$27=ProposalToGnatt[[#This Row],[Start Date]],Milestone_Marker,IF(AND(BS$27&gt;ProposalToGnatt[[#This Row],[Start Date]],BS$27&lt;ProposalToGnatt[[#This Row],[Start Date]]+ProposalToGnatt[[#This Row],[Days]]),$G$5,"")),"")</f>
        <v/>
      </c>
      <c r="BT71" s="36" t="str">
        <f ca="1">IFERROR(+IF(BT$27=ProposalToGnatt[[#This Row],[Start Date]],Milestone_Marker,IF(AND(BT$27&gt;ProposalToGnatt[[#This Row],[Start Date]],BT$27&lt;ProposalToGnatt[[#This Row],[Start Date]]+ProposalToGnatt[[#This Row],[Days]]),$G$5,"")),"")</f>
        <v/>
      </c>
      <c r="BU71" s="36" t="str">
        <f ca="1">IFERROR(+IF(BU$27=ProposalToGnatt[[#This Row],[Start Date]],Milestone_Marker,IF(AND(BU$27&gt;ProposalToGnatt[[#This Row],[Start Date]],BU$27&lt;ProposalToGnatt[[#This Row],[Start Date]]+ProposalToGnatt[[#This Row],[Days]]),$G$5,"")),"")</f>
        <v/>
      </c>
      <c r="BV71" s="36" t="str">
        <f ca="1">IFERROR(+IF(BV$27=ProposalToGnatt[[#This Row],[Start Date]],Milestone_Marker,IF(AND(BV$27&gt;ProposalToGnatt[[#This Row],[Start Date]],BV$27&lt;ProposalToGnatt[[#This Row],[Start Date]]+ProposalToGnatt[[#This Row],[Days]]),$G$5,"")),"")</f>
        <v/>
      </c>
      <c r="BW71" s="36" t="str">
        <f ca="1">IFERROR(+IF(BW$27=ProposalToGnatt[[#This Row],[Start Date]],Milestone_Marker,IF(AND(BW$27&gt;ProposalToGnatt[[#This Row],[Start Date]],BW$27&lt;ProposalToGnatt[[#This Row],[Start Date]]+ProposalToGnatt[[#This Row],[Days]]),$G$5,"")),"")</f>
        <v/>
      </c>
      <c r="BX71" s="36" t="str">
        <f ca="1">IFERROR(+IF(BX$27=ProposalToGnatt[[#This Row],[Start Date]],Milestone_Marker,IF(AND(BX$27&gt;ProposalToGnatt[[#This Row],[Start Date]],BX$27&lt;ProposalToGnatt[[#This Row],[Start Date]]+ProposalToGnatt[[#This Row],[Days]]),$G$5,"")),"")</f>
        <v/>
      </c>
      <c r="BY71" s="36" t="str">
        <f ca="1">IFERROR(+IF(BY$27=ProposalToGnatt[[#This Row],[Start Date]],Milestone_Marker,IF(AND(BY$27&gt;ProposalToGnatt[[#This Row],[Start Date]],BY$27&lt;ProposalToGnatt[[#This Row],[Start Date]]+ProposalToGnatt[[#This Row],[Days]]),$G$5,"")),"")</f>
        <v/>
      </c>
      <c r="BZ71" s="36" t="str">
        <f ca="1">IFERROR(+IF(BZ$27=ProposalToGnatt[[#This Row],[Start Date]],Milestone_Marker,IF(AND(BZ$27&gt;ProposalToGnatt[[#This Row],[Start Date]],BZ$27&lt;ProposalToGnatt[[#This Row],[Start Date]]+ProposalToGnatt[[#This Row],[Days]]),$G$5,"")),"")</f>
        <v/>
      </c>
      <c r="CA71" s="36" t="str">
        <f ca="1">IFERROR(+IF(CA$27=ProposalToGnatt[[#This Row],[Start Date]],Milestone_Marker,IF(AND(CA$27&gt;ProposalToGnatt[[#This Row],[Start Date]],CA$27&lt;ProposalToGnatt[[#This Row],[Start Date]]+ProposalToGnatt[[#This Row],[Days]]),$G$5,"")),"")</f>
        <v/>
      </c>
      <c r="CB71" s="36" t="str">
        <f ca="1">IFERROR(+IF(CB$27=ProposalToGnatt[[#This Row],[Start Date]],Milestone_Marker,IF(AND(CB$27&gt;ProposalToGnatt[[#This Row],[Start Date]],CB$27&lt;ProposalToGnatt[[#This Row],[Start Date]]+ProposalToGnatt[[#This Row],[Days]]),$G$5,"")),"")</f>
        <v/>
      </c>
      <c r="CC71" s="36" t="str">
        <f ca="1">IFERROR(+IF(CC$27=ProposalToGnatt[[#This Row],[Start Date]],Milestone_Marker,IF(AND(CC$27&gt;ProposalToGnatt[[#This Row],[Start Date]],CC$27&lt;ProposalToGnatt[[#This Row],[Start Date]]+ProposalToGnatt[[#This Row],[Days]]),$G$5,"")),"")</f>
        <v/>
      </c>
      <c r="CD71" s="36" t="str">
        <f ca="1">IFERROR(+IF(CD$27=ProposalToGnatt[[#This Row],[Start Date]],Milestone_Marker,IF(AND(CD$27&gt;ProposalToGnatt[[#This Row],[Start Date]],CD$27&lt;ProposalToGnatt[[#This Row],[Start Date]]+ProposalToGnatt[[#This Row],[Days]]),$G$5,"")),"")</f>
        <v/>
      </c>
      <c r="CE71" s="36" t="str">
        <f ca="1">IFERROR(+IF(CE$27=ProposalToGnatt[[#This Row],[Start Date]],Milestone_Marker,IF(AND(CE$27&gt;ProposalToGnatt[[#This Row],[Start Date]],CE$27&lt;ProposalToGnatt[[#This Row],[Start Date]]+ProposalToGnatt[[#This Row],[Days]]),$G$5,"")),"")</f>
        <v/>
      </c>
      <c r="CF71" s="36" t="str">
        <f ca="1">IFERROR(+IF(CF$27=ProposalToGnatt[[#This Row],[Start Date]],Milestone_Marker,IF(AND(CF$27&gt;ProposalToGnatt[[#This Row],[Start Date]],CF$27&lt;ProposalToGnatt[[#This Row],[Start Date]]+ProposalToGnatt[[#This Row],[Days]]),$G$5,"")),"")</f>
        <v/>
      </c>
      <c r="CG71" s="36" t="str">
        <f ca="1">IFERROR(+IF(CG$27=ProposalToGnatt[[#This Row],[Start Date]],Milestone_Marker,IF(AND(CG$27&gt;ProposalToGnatt[[#This Row],[Start Date]],CG$27&lt;ProposalToGnatt[[#This Row],[Start Date]]+ProposalToGnatt[[#This Row],[Days]]),$G$5,"")),"")</f>
        <v/>
      </c>
      <c r="CH71" s="36" t="str">
        <f ca="1">IFERROR(+IF(CH$27=ProposalToGnatt[[#This Row],[Start Date]],Milestone_Marker,IF(AND(CH$27&gt;ProposalToGnatt[[#This Row],[Start Date]],CH$27&lt;ProposalToGnatt[[#This Row],[Start Date]]+ProposalToGnatt[[#This Row],[Days]]),$G$5,"")),"")</f>
        <v/>
      </c>
      <c r="CI71" s="36" t="str">
        <f ca="1">IFERROR(+IF(CI$27=ProposalToGnatt[[#This Row],[Start Date]],Milestone_Marker,IF(AND(CI$27&gt;ProposalToGnatt[[#This Row],[Start Date]],CI$27&lt;ProposalToGnatt[[#This Row],[Start Date]]+ProposalToGnatt[[#This Row],[Days]]),$G$5,"")),"")</f>
        <v/>
      </c>
      <c r="CJ71" s="36" t="str">
        <f ca="1">IFERROR(+IF(CJ$27=ProposalToGnatt[[#This Row],[Start Date]],Milestone_Marker,IF(AND(CJ$27&gt;ProposalToGnatt[[#This Row],[Start Date]],CJ$27&lt;ProposalToGnatt[[#This Row],[Start Date]]+ProposalToGnatt[[#This Row],[Days]]),$G$5,"")),"")</f>
        <v/>
      </c>
      <c r="CK71" s="36" t="str">
        <f ca="1">IFERROR(+IF(CK$27=ProposalToGnatt[[#This Row],[Start Date]],Milestone_Marker,IF(AND(CK$27&gt;ProposalToGnatt[[#This Row],[Start Date]],CK$27&lt;ProposalToGnatt[[#This Row],[Start Date]]+ProposalToGnatt[[#This Row],[Days]]),$G$5,"")),"")</f>
        <v/>
      </c>
      <c r="CL71" s="36" t="str">
        <f ca="1">IFERROR(+IF(CL$27=ProposalToGnatt[[#This Row],[Start Date]],Milestone_Marker,IF(AND(CL$27&gt;ProposalToGnatt[[#This Row],[Start Date]],CL$27&lt;ProposalToGnatt[[#This Row],[Start Date]]+ProposalToGnatt[[#This Row],[Days]]),$G$5,"")),"")</f>
        <v/>
      </c>
      <c r="CM71" s="36" t="str">
        <f ca="1">IFERROR(+IF(CM$27=ProposalToGnatt[[#This Row],[Start Date]],Milestone_Marker,IF(AND(CM$27&gt;ProposalToGnatt[[#This Row],[Start Date]],CM$27&lt;ProposalToGnatt[[#This Row],[Start Date]]+ProposalToGnatt[[#This Row],[Days]]),$G$5,"")),"")</f>
        <v/>
      </c>
      <c r="CN71" s="36" t="str">
        <f ca="1">IFERROR(+IF(CN$27=ProposalToGnatt[[#This Row],[Start Date]],Milestone_Marker,IF(AND(CN$27&gt;ProposalToGnatt[[#This Row],[Start Date]],CN$27&lt;ProposalToGnatt[[#This Row],[Start Date]]+ProposalToGnatt[[#This Row],[Days]]),$G$5,"")),"")</f>
        <v/>
      </c>
      <c r="CO71" s="36" t="str">
        <f ca="1">IFERROR(+IF(CO$27=ProposalToGnatt[[#This Row],[Start Date]],Milestone_Marker,IF(AND(CO$27&gt;ProposalToGnatt[[#This Row],[Start Date]],CO$27&lt;ProposalToGnatt[[#This Row],[Start Date]]+ProposalToGnatt[[#This Row],[Days]]),$G$5,"")),"")</f>
        <v/>
      </c>
      <c r="CP71" s="36" t="str">
        <f ca="1">IFERROR(+IF(CP$27=ProposalToGnatt[[#This Row],[Start Date]],Milestone_Marker,IF(AND(CP$27&gt;ProposalToGnatt[[#This Row],[Start Date]],CP$27&lt;ProposalToGnatt[[#This Row],[Start Date]]+ProposalToGnatt[[#This Row],[Days]]),$G$5,"")),"")</f>
        <v/>
      </c>
      <c r="CQ71" s="36" t="str">
        <f ca="1">IFERROR(+IF(CQ$27=ProposalToGnatt[[#This Row],[Start Date]],Milestone_Marker,IF(AND(CQ$27&gt;ProposalToGnatt[[#This Row],[Start Date]],CQ$27&lt;ProposalToGnatt[[#This Row],[Start Date]]+ProposalToGnatt[[#This Row],[Days]]),$G$5,"")),"")</f>
        <v/>
      </c>
      <c r="CR71" s="36" t="str">
        <f ca="1">IFERROR(+IF(CR$27=ProposalToGnatt[[#This Row],[Start Date]],Milestone_Marker,IF(AND(CR$27&gt;ProposalToGnatt[[#This Row],[Start Date]],CR$27&lt;ProposalToGnatt[[#This Row],[Start Date]]+ProposalToGnatt[[#This Row],[Days]]),$G$5,"")),"")</f>
        <v/>
      </c>
      <c r="CS71" s="36" t="str">
        <f ca="1">IFERROR(+IF(CS$27=ProposalToGnatt[[#This Row],[Start Date]],Milestone_Marker,IF(AND(CS$27&gt;ProposalToGnatt[[#This Row],[Start Date]],CS$27&lt;ProposalToGnatt[[#This Row],[Start Date]]+ProposalToGnatt[[#This Row],[Days]]),$G$5,"")),"")</f>
        <v/>
      </c>
      <c r="CT71" s="36" t="str">
        <f ca="1">IFERROR(+IF(CT$27=ProposalToGnatt[[#This Row],[Start Date]],Milestone_Marker,IF(AND(CT$27&gt;ProposalToGnatt[[#This Row],[Start Date]],CT$27&lt;ProposalToGnatt[[#This Row],[Start Date]]+ProposalToGnatt[[#This Row],[Days]]),$G$5,"")),"")</f>
        <v/>
      </c>
      <c r="CU71" s="36" t="str">
        <f ca="1">IFERROR(+IF(CU$27=ProposalToGnatt[[#This Row],[Start Date]],Milestone_Marker,IF(AND(CU$27&gt;ProposalToGnatt[[#This Row],[Start Date]],CU$27&lt;ProposalToGnatt[[#This Row],[Start Date]]+ProposalToGnatt[[#This Row],[Days]]),$G$5,"")),"")</f>
        <v/>
      </c>
      <c r="CV71" s="36"/>
      <c r="CW71" s="36"/>
      <c r="CX71" s="36"/>
      <c r="CY71" s="36"/>
      <c r="CZ71" s="36"/>
      <c r="DA71" s="36"/>
      <c r="DB71" s="36"/>
      <c r="DC71" s="36"/>
      <c r="DD71" s="36"/>
      <c r="DE71" s="36"/>
      <c r="DF71" s="36"/>
      <c r="DG71" s="36"/>
      <c r="DH71" s="36"/>
      <c r="DI71" s="36"/>
      <c r="DJ71" s="36"/>
      <c r="DK71" s="36"/>
      <c r="DL71" s="36"/>
      <c r="DM71" s="36"/>
      <c r="DN71" s="36"/>
      <c r="DO71" s="36"/>
      <c r="DP71" s="36"/>
      <c r="DQ71" s="36"/>
      <c r="DR71" s="36"/>
      <c r="DS71" s="36"/>
      <c r="DT71" s="36"/>
      <c r="DU71" s="36"/>
    </row>
    <row r="72" spans="1:125" ht="15" x14ac:dyDescent="0.25">
      <c r="A72"/>
      <c r="B72"/>
      <c r="C72"/>
      <c r="D72"/>
      <c r="E72"/>
      <c r="F72"/>
      <c r="G72" s="14"/>
      <c r="H72" s="14"/>
      <c r="I72"/>
      <c r="J72"/>
      <c r="K72" s="246"/>
      <c r="L72"/>
      <c r="M72" s="14"/>
      <c r="N72" s="299"/>
      <c r="O72" s="281"/>
      <c r="P72" s="36" t="str">
        <f ca="1">IFERROR(+IF(P$27=ProposalToGnatt[[#This Row],[Start Date]],Milestone_Marker,IF(AND(P$27&gt;ProposalToGnatt[[#This Row],[Start Date]],P$27&lt;ProposalToGnatt[[#This Row],[Start Date]]+ProposalToGnatt[[#This Row],[Days]]),$G$5,"")),"")</f>
        <v/>
      </c>
      <c r="Q72" s="36" t="str">
        <f ca="1">IFERROR(+IF(Q$27=ProposalToGnatt[[#This Row],[Start Date]],Milestone_Marker,IF(AND(Q$27&gt;ProposalToGnatt[[#This Row],[Start Date]],Q$27&lt;ProposalToGnatt[[#This Row],[Start Date]]+ProposalToGnatt[[#This Row],[Days]]),$G$5,"")),"")</f>
        <v/>
      </c>
      <c r="R72" s="36" t="str">
        <f ca="1">IFERROR(+IF(R$27=ProposalToGnatt[[#This Row],[Start Date]],Milestone_Marker,IF(AND(R$27&gt;ProposalToGnatt[[#This Row],[Start Date]],R$27&lt;ProposalToGnatt[[#This Row],[Start Date]]+ProposalToGnatt[[#This Row],[Days]]),$G$5,"")),"")</f>
        <v/>
      </c>
      <c r="S72" s="36" t="str">
        <f ca="1">IFERROR(+IF(S$27=ProposalToGnatt[[#This Row],[Start Date]],Milestone_Marker,IF(AND(S$27&gt;ProposalToGnatt[[#This Row],[Start Date]],S$27&lt;ProposalToGnatt[[#This Row],[Start Date]]+ProposalToGnatt[[#This Row],[Days]]),$G$5,"")),"")</f>
        <v/>
      </c>
      <c r="T72" s="36" t="str">
        <f ca="1">IFERROR(+IF(T$27=ProposalToGnatt[[#This Row],[Start Date]],Milestone_Marker,IF(AND(T$27&gt;ProposalToGnatt[[#This Row],[Start Date]],T$27&lt;ProposalToGnatt[[#This Row],[Start Date]]+ProposalToGnatt[[#This Row],[Days]]),$G$5,"")),"")</f>
        <v/>
      </c>
      <c r="U72" s="36" t="str">
        <f ca="1">IFERROR(+IF(U$27=ProposalToGnatt[[#This Row],[Start Date]],Milestone_Marker,IF(AND(U$27&gt;ProposalToGnatt[[#This Row],[Start Date]],U$27&lt;ProposalToGnatt[[#This Row],[Start Date]]+ProposalToGnatt[[#This Row],[Days]]),$G$5,"")),"")</f>
        <v/>
      </c>
      <c r="V72" s="36" t="str">
        <f ca="1">IFERROR(+IF(V$27=ProposalToGnatt[[#This Row],[Start Date]],Milestone_Marker,IF(AND(V$27&gt;ProposalToGnatt[[#This Row],[Start Date]],V$27&lt;ProposalToGnatt[[#This Row],[Start Date]]+ProposalToGnatt[[#This Row],[Days]]),$G$5,"")),"")</f>
        <v/>
      </c>
      <c r="W72" s="36" t="str">
        <f ca="1">IFERROR(+IF(W$27=ProposalToGnatt[[#This Row],[Start Date]],Milestone_Marker,IF(AND(W$27&gt;ProposalToGnatt[[#This Row],[Start Date]],W$27&lt;ProposalToGnatt[[#This Row],[Start Date]]+ProposalToGnatt[[#This Row],[Days]]),$G$5,"")),"")</f>
        <v/>
      </c>
      <c r="X72" s="36" t="str">
        <f ca="1">IFERROR(+IF(X$27=ProposalToGnatt[[#This Row],[Start Date]],Milestone_Marker,IF(AND(X$27&gt;ProposalToGnatt[[#This Row],[Start Date]],X$27&lt;ProposalToGnatt[[#This Row],[Start Date]]+ProposalToGnatt[[#This Row],[Days]]),$G$5,"")),"")</f>
        <v/>
      </c>
      <c r="Y72" s="36" t="str">
        <f ca="1">IFERROR(+IF(Y$27=ProposalToGnatt[[#This Row],[Start Date]],Milestone_Marker,IF(AND(Y$27&gt;ProposalToGnatt[[#This Row],[Start Date]],Y$27&lt;ProposalToGnatt[[#This Row],[Start Date]]+ProposalToGnatt[[#This Row],[Days]]),$G$5,"")),"")</f>
        <v/>
      </c>
      <c r="Z72" s="36" t="str">
        <f ca="1">IFERROR(+IF(Z$27=ProposalToGnatt[[#This Row],[Start Date]],Milestone_Marker,IF(AND(Z$27&gt;ProposalToGnatt[[#This Row],[Start Date]],Z$27&lt;ProposalToGnatt[[#This Row],[Start Date]]+ProposalToGnatt[[#This Row],[Days]]),$G$5,"")),"")</f>
        <v/>
      </c>
      <c r="AA72" s="36" t="str">
        <f ca="1">IFERROR(+IF(AA$27=ProposalToGnatt[[#This Row],[Start Date]],Milestone_Marker,IF(AND(AA$27&gt;ProposalToGnatt[[#This Row],[Start Date]],AA$27&lt;ProposalToGnatt[[#This Row],[Start Date]]+ProposalToGnatt[[#This Row],[Days]]),$G$5,"")),"")</f>
        <v/>
      </c>
      <c r="AB72" s="36" t="str">
        <f ca="1">IFERROR(+IF(AB$27=ProposalToGnatt[[#This Row],[Start Date]],Milestone_Marker,IF(AND(AB$27&gt;ProposalToGnatt[[#This Row],[Start Date]],AB$27&lt;ProposalToGnatt[[#This Row],[Start Date]]+ProposalToGnatt[[#This Row],[Days]]),$G$5,"")),"")</f>
        <v/>
      </c>
      <c r="AC72" s="36" t="str">
        <f ca="1">IFERROR(+IF(AC$27=ProposalToGnatt[[#This Row],[Start Date]],Milestone_Marker,IF(AND(AC$27&gt;ProposalToGnatt[[#This Row],[Start Date]],AC$27&lt;ProposalToGnatt[[#This Row],[Start Date]]+ProposalToGnatt[[#This Row],[Days]]),$G$5,"")),"")</f>
        <v/>
      </c>
      <c r="AD72" s="36" t="str">
        <f ca="1">IFERROR(+IF(AD$27=ProposalToGnatt[[#This Row],[Start Date]],Milestone_Marker,IF(AND(AD$27&gt;ProposalToGnatt[[#This Row],[Start Date]],AD$27&lt;ProposalToGnatt[[#This Row],[Start Date]]+ProposalToGnatt[[#This Row],[Days]]),$G$5,"")),"")</f>
        <v/>
      </c>
      <c r="AE72" s="36" t="str">
        <f ca="1">IFERROR(+IF(AE$27=ProposalToGnatt[[#This Row],[Start Date]],Milestone_Marker,IF(AND(AE$27&gt;ProposalToGnatt[[#This Row],[Start Date]],AE$27&lt;ProposalToGnatt[[#This Row],[Start Date]]+ProposalToGnatt[[#This Row],[Days]]),$G$5,"")),"")</f>
        <v/>
      </c>
      <c r="AF72" s="36" t="str">
        <f ca="1">IFERROR(+IF(AF$27=ProposalToGnatt[[#This Row],[Start Date]],Milestone_Marker,IF(AND(AF$27&gt;ProposalToGnatt[[#This Row],[Start Date]],AF$27&lt;ProposalToGnatt[[#This Row],[Start Date]]+ProposalToGnatt[[#This Row],[Days]]),$G$5,"")),"")</f>
        <v/>
      </c>
      <c r="AG72" s="36" t="str">
        <f ca="1">IFERROR(+IF(AG$27=ProposalToGnatt[[#This Row],[Start Date]],Milestone_Marker,IF(AND(AG$27&gt;ProposalToGnatt[[#This Row],[Start Date]],AG$27&lt;ProposalToGnatt[[#This Row],[Start Date]]+ProposalToGnatt[[#This Row],[Days]]),$G$5,"")),"")</f>
        <v/>
      </c>
      <c r="AH72" s="36" t="str">
        <f ca="1">IFERROR(+IF(AH$27=ProposalToGnatt[[#This Row],[Start Date]],Milestone_Marker,IF(AND(AH$27&gt;ProposalToGnatt[[#This Row],[Start Date]],AH$27&lt;ProposalToGnatt[[#This Row],[Start Date]]+ProposalToGnatt[[#This Row],[Days]]),$G$5,"")),"")</f>
        <v/>
      </c>
      <c r="AI72" s="36" t="str">
        <f ca="1">IFERROR(+IF(AI$27=ProposalToGnatt[[#This Row],[Start Date]],Milestone_Marker,IF(AND(AI$27&gt;ProposalToGnatt[[#This Row],[Start Date]],AI$27&lt;ProposalToGnatt[[#This Row],[Start Date]]+ProposalToGnatt[[#This Row],[Days]]),$G$5,"")),"")</f>
        <v/>
      </c>
      <c r="AJ72" s="36" t="str">
        <f ca="1">IFERROR(+IF(AJ$27=ProposalToGnatt[[#This Row],[Start Date]],Milestone_Marker,IF(AND(AJ$27&gt;ProposalToGnatt[[#This Row],[Start Date]],AJ$27&lt;ProposalToGnatt[[#This Row],[Start Date]]+ProposalToGnatt[[#This Row],[Days]]),$G$5,"")),"")</f>
        <v/>
      </c>
      <c r="AK72" s="36" t="str">
        <f ca="1">IFERROR(+IF(AK$27=ProposalToGnatt[[#This Row],[Start Date]],Milestone_Marker,IF(AND(AK$27&gt;ProposalToGnatt[[#This Row],[Start Date]],AK$27&lt;ProposalToGnatt[[#This Row],[Start Date]]+ProposalToGnatt[[#This Row],[Days]]),$G$5,"")),"")</f>
        <v/>
      </c>
      <c r="AL72" s="36" t="str">
        <f ca="1">IFERROR(+IF(AL$27=ProposalToGnatt[[#This Row],[Start Date]],Milestone_Marker,IF(AND(AL$27&gt;ProposalToGnatt[[#This Row],[Start Date]],AL$27&lt;ProposalToGnatt[[#This Row],[Start Date]]+ProposalToGnatt[[#This Row],[Days]]),$G$5,"")),"")</f>
        <v/>
      </c>
      <c r="AM72" s="36" t="str">
        <f ca="1">IFERROR(+IF(AM$27=ProposalToGnatt[[#This Row],[Start Date]],Milestone_Marker,IF(AND(AM$27&gt;ProposalToGnatt[[#This Row],[Start Date]],AM$27&lt;ProposalToGnatt[[#This Row],[Start Date]]+ProposalToGnatt[[#This Row],[Days]]),$G$5,"")),"")</f>
        <v/>
      </c>
      <c r="AN72" s="36" t="str">
        <f ca="1">IFERROR(+IF(AN$27=ProposalToGnatt[[#This Row],[Start Date]],Milestone_Marker,IF(AND(AN$27&gt;ProposalToGnatt[[#This Row],[Start Date]],AN$27&lt;ProposalToGnatt[[#This Row],[Start Date]]+ProposalToGnatt[[#This Row],[Days]]),$G$5,"")),"")</f>
        <v/>
      </c>
      <c r="AO72" s="36" t="str">
        <f ca="1">IFERROR(+IF(AO$27=ProposalToGnatt[[#This Row],[Start Date]],Milestone_Marker,IF(AND(AO$27&gt;ProposalToGnatt[[#This Row],[Start Date]],AO$27&lt;ProposalToGnatt[[#This Row],[Start Date]]+ProposalToGnatt[[#This Row],[Days]]),$G$5,"")),"")</f>
        <v/>
      </c>
      <c r="AP72" s="36" t="str">
        <f ca="1">IFERROR(+IF(AP$27=ProposalToGnatt[[#This Row],[Start Date]],Milestone_Marker,IF(AND(AP$27&gt;ProposalToGnatt[[#This Row],[Start Date]],AP$27&lt;ProposalToGnatt[[#This Row],[Start Date]]+ProposalToGnatt[[#This Row],[Days]]),$G$5,"")),"")</f>
        <v/>
      </c>
      <c r="AQ72" s="36" t="str">
        <f ca="1">IFERROR(+IF(AQ$27=ProposalToGnatt[[#This Row],[Start Date]],Milestone_Marker,IF(AND(AQ$27&gt;ProposalToGnatt[[#This Row],[Start Date]],AQ$27&lt;ProposalToGnatt[[#This Row],[Start Date]]+ProposalToGnatt[[#This Row],[Days]]),$G$5,"")),"")</f>
        <v/>
      </c>
      <c r="AR72" s="36" t="str">
        <f ca="1">IFERROR(+IF(AR$27=ProposalToGnatt[[#This Row],[Start Date]],Milestone_Marker,IF(AND(AR$27&gt;ProposalToGnatt[[#This Row],[Start Date]],AR$27&lt;ProposalToGnatt[[#This Row],[Start Date]]+ProposalToGnatt[[#This Row],[Days]]),$G$5,"")),"")</f>
        <v/>
      </c>
      <c r="AS72" s="36" t="str">
        <f ca="1">IFERROR(+IF(AS$27=ProposalToGnatt[[#This Row],[Start Date]],Milestone_Marker,IF(AND(AS$27&gt;ProposalToGnatt[[#This Row],[Start Date]],AS$27&lt;ProposalToGnatt[[#This Row],[Start Date]]+ProposalToGnatt[[#This Row],[Days]]),$G$5,"")),"")</f>
        <v/>
      </c>
      <c r="AT72" s="36" t="str">
        <f ca="1">IFERROR(+IF(AT$27=ProposalToGnatt[[#This Row],[Start Date]],Milestone_Marker,IF(AND(AT$27&gt;ProposalToGnatt[[#This Row],[Start Date]],AT$27&lt;ProposalToGnatt[[#This Row],[Start Date]]+ProposalToGnatt[[#This Row],[Days]]),$G$5,"")),"")</f>
        <v/>
      </c>
      <c r="AU72" s="36" t="str">
        <f ca="1">IFERROR(+IF(AU$27=ProposalToGnatt[[#This Row],[Start Date]],Milestone_Marker,IF(AND(AU$27&gt;ProposalToGnatt[[#This Row],[Start Date]],AU$27&lt;ProposalToGnatt[[#This Row],[Start Date]]+ProposalToGnatt[[#This Row],[Days]]),$G$5,"")),"")</f>
        <v/>
      </c>
      <c r="AV72" s="36" t="str">
        <f ca="1">IFERROR(+IF(AV$27=ProposalToGnatt[[#This Row],[Start Date]],Milestone_Marker,IF(AND(AV$27&gt;ProposalToGnatt[[#This Row],[Start Date]],AV$27&lt;ProposalToGnatt[[#This Row],[Start Date]]+ProposalToGnatt[[#This Row],[Days]]),$G$5,"")),"")</f>
        <v/>
      </c>
      <c r="AW72" s="36" t="str">
        <f ca="1">IFERROR(+IF(AW$27=ProposalToGnatt[[#This Row],[Start Date]],Milestone_Marker,IF(AND(AW$27&gt;ProposalToGnatt[[#This Row],[Start Date]],AW$27&lt;ProposalToGnatt[[#This Row],[Start Date]]+ProposalToGnatt[[#This Row],[Days]]),$G$5,"")),"")</f>
        <v/>
      </c>
      <c r="AX72" s="36" t="str">
        <f ca="1">IFERROR(+IF(AX$27=ProposalToGnatt[[#This Row],[Start Date]],Milestone_Marker,IF(AND(AX$27&gt;ProposalToGnatt[[#This Row],[Start Date]],AX$27&lt;ProposalToGnatt[[#This Row],[Start Date]]+ProposalToGnatt[[#This Row],[Days]]),$G$5,"")),"")</f>
        <v/>
      </c>
      <c r="AY72" s="36" t="str">
        <f ca="1">IFERROR(+IF(AY$27=ProposalToGnatt[[#This Row],[Start Date]],Milestone_Marker,IF(AND(AY$27&gt;ProposalToGnatt[[#This Row],[Start Date]],AY$27&lt;ProposalToGnatt[[#This Row],[Start Date]]+ProposalToGnatt[[#This Row],[Days]]),$G$5,"")),"")</f>
        <v/>
      </c>
      <c r="AZ72" s="36" t="str">
        <f ca="1">IFERROR(+IF(AZ$27=ProposalToGnatt[[#This Row],[Start Date]],Milestone_Marker,IF(AND(AZ$27&gt;ProposalToGnatt[[#This Row],[Start Date]],AZ$27&lt;ProposalToGnatt[[#This Row],[Start Date]]+ProposalToGnatt[[#This Row],[Days]]),$G$5,"")),"")</f>
        <v/>
      </c>
      <c r="BA72" s="36" t="str">
        <f ca="1">IFERROR(+IF(BA$27=ProposalToGnatt[[#This Row],[Start Date]],Milestone_Marker,IF(AND(BA$27&gt;ProposalToGnatt[[#This Row],[Start Date]],BA$27&lt;ProposalToGnatt[[#This Row],[Start Date]]+ProposalToGnatt[[#This Row],[Days]]),$G$5,"")),"")</f>
        <v/>
      </c>
      <c r="BB72" s="36" t="str">
        <f ca="1">IFERROR(+IF(BB$27=ProposalToGnatt[[#This Row],[Start Date]],Milestone_Marker,IF(AND(BB$27&gt;ProposalToGnatt[[#This Row],[Start Date]],BB$27&lt;ProposalToGnatt[[#This Row],[Start Date]]+ProposalToGnatt[[#This Row],[Days]]),$G$5,"")),"")</f>
        <v/>
      </c>
      <c r="BC72" s="36" t="str">
        <f ca="1">IFERROR(+IF(BC$27=ProposalToGnatt[[#This Row],[Start Date]],Milestone_Marker,IF(AND(BC$27&gt;ProposalToGnatt[[#This Row],[Start Date]],BC$27&lt;ProposalToGnatt[[#This Row],[Start Date]]+ProposalToGnatt[[#This Row],[Days]]),$G$5,"")),"")</f>
        <v/>
      </c>
      <c r="BD72" s="36" t="str">
        <f ca="1">IFERROR(+IF(BD$27=ProposalToGnatt[[#This Row],[Start Date]],Milestone_Marker,IF(AND(BD$27&gt;ProposalToGnatt[[#This Row],[Start Date]],BD$27&lt;ProposalToGnatt[[#This Row],[Start Date]]+ProposalToGnatt[[#This Row],[Days]]),$G$5,"")),"")</f>
        <v/>
      </c>
      <c r="BE72" s="36" t="str">
        <f ca="1">IFERROR(+IF(BE$27=ProposalToGnatt[[#This Row],[Start Date]],Milestone_Marker,IF(AND(BE$27&gt;ProposalToGnatt[[#This Row],[Start Date]],BE$27&lt;ProposalToGnatt[[#This Row],[Start Date]]+ProposalToGnatt[[#This Row],[Days]]),$G$5,"")),"")</f>
        <v/>
      </c>
      <c r="BF72" s="36" t="str">
        <f ca="1">IFERROR(+IF(BF$27=ProposalToGnatt[[#This Row],[Start Date]],Milestone_Marker,IF(AND(BF$27&gt;ProposalToGnatt[[#This Row],[Start Date]],BF$27&lt;ProposalToGnatt[[#This Row],[Start Date]]+ProposalToGnatt[[#This Row],[Days]]),$G$5,"")),"")</f>
        <v/>
      </c>
      <c r="BG72" s="36" t="str">
        <f ca="1">IFERROR(+IF(BG$27=ProposalToGnatt[[#This Row],[Start Date]],Milestone_Marker,IF(AND(BG$27&gt;ProposalToGnatt[[#This Row],[Start Date]],BG$27&lt;ProposalToGnatt[[#This Row],[Start Date]]+ProposalToGnatt[[#This Row],[Days]]),$G$5,"")),"")</f>
        <v/>
      </c>
      <c r="BH72" s="36" t="str">
        <f ca="1">IFERROR(+IF(BH$27=ProposalToGnatt[[#This Row],[Start Date]],Milestone_Marker,IF(AND(BH$27&gt;ProposalToGnatt[[#This Row],[Start Date]],BH$27&lt;ProposalToGnatt[[#This Row],[Start Date]]+ProposalToGnatt[[#This Row],[Days]]),$G$5,"")),"")</f>
        <v/>
      </c>
      <c r="BI72" s="36" t="str">
        <f ca="1">IFERROR(+IF(BI$27=ProposalToGnatt[[#This Row],[Start Date]],Milestone_Marker,IF(AND(BI$27&gt;ProposalToGnatt[[#This Row],[Start Date]],BI$27&lt;ProposalToGnatt[[#This Row],[Start Date]]+ProposalToGnatt[[#This Row],[Days]]),$G$5,"")),"")</f>
        <v/>
      </c>
      <c r="BJ72" s="36" t="str">
        <f ca="1">IFERROR(+IF(BJ$27=ProposalToGnatt[[#This Row],[Start Date]],Milestone_Marker,IF(AND(BJ$27&gt;ProposalToGnatt[[#This Row],[Start Date]],BJ$27&lt;ProposalToGnatt[[#This Row],[Start Date]]+ProposalToGnatt[[#This Row],[Days]]),$G$5,"")),"")</f>
        <v/>
      </c>
      <c r="BK72" s="36" t="str">
        <f ca="1">IFERROR(+IF(BK$27=ProposalToGnatt[[#This Row],[Start Date]],Milestone_Marker,IF(AND(BK$27&gt;ProposalToGnatt[[#This Row],[Start Date]],BK$27&lt;ProposalToGnatt[[#This Row],[Start Date]]+ProposalToGnatt[[#This Row],[Days]]),$G$5,"")),"")</f>
        <v/>
      </c>
      <c r="BL72" s="36" t="str">
        <f ca="1">IFERROR(+IF(BL$27=ProposalToGnatt[[#This Row],[Start Date]],Milestone_Marker,IF(AND(BL$27&gt;ProposalToGnatt[[#This Row],[Start Date]],BL$27&lt;ProposalToGnatt[[#This Row],[Start Date]]+ProposalToGnatt[[#This Row],[Days]]),$G$5,"")),"")</f>
        <v/>
      </c>
      <c r="BM72" s="36" t="str">
        <f ca="1">IFERROR(+IF(BM$27=ProposalToGnatt[[#This Row],[Start Date]],Milestone_Marker,IF(AND(BM$27&gt;ProposalToGnatt[[#This Row],[Start Date]],BM$27&lt;ProposalToGnatt[[#This Row],[Start Date]]+ProposalToGnatt[[#This Row],[Days]]),$G$5,"")),"")</f>
        <v/>
      </c>
      <c r="BN72" s="36" t="str">
        <f ca="1">IFERROR(+IF(BN$27=ProposalToGnatt[[#This Row],[Start Date]],Milestone_Marker,IF(AND(BN$27&gt;ProposalToGnatt[[#This Row],[Start Date]],BN$27&lt;ProposalToGnatt[[#This Row],[Start Date]]+ProposalToGnatt[[#This Row],[Days]]),$G$5,"")),"")</f>
        <v/>
      </c>
      <c r="BO72" s="36" t="str">
        <f ca="1">IFERROR(+IF(BO$27=ProposalToGnatt[[#This Row],[Start Date]],Milestone_Marker,IF(AND(BO$27&gt;ProposalToGnatt[[#This Row],[Start Date]],BO$27&lt;ProposalToGnatt[[#This Row],[Start Date]]+ProposalToGnatt[[#This Row],[Days]]),$G$5,"")),"")</f>
        <v/>
      </c>
      <c r="BP72" s="36" t="str">
        <f ca="1">IFERROR(+IF(BP$27=ProposalToGnatt[[#This Row],[Start Date]],Milestone_Marker,IF(AND(BP$27&gt;ProposalToGnatt[[#This Row],[Start Date]],BP$27&lt;ProposalToGnatt[[#This Row],[Start Date]]+ProposalToGnatt[[#This Row],[Days]]),$G$5,"")),"")</f>
        <v/>
      </c>
      <c r="BQ72" s="36" t="str">
        <f ca="1">IFERROR(+IF(BQ$27=ProposalToGnatt[[#This Row],[Start Date]],Milestone_Marker,IF(AND(BQ$27&gt;ProposalToGnatt[[#This Row],[Start Date]],BQ$27&lt;ProposalToGnatt[[#This Row],[Start Date]]+ProposalToGnatt[[#This Row],[Days]]),$G$5,"")),"")</f>
        <v/>
      </c>
      <c r="BR72" s="36" t="str">
        <f ca="1">IFERROR(+IF(BR$27=ProposalToGnatt[[#This Row],[Start Date]],Milestone_Marker,IF(AND(BR$27&gt;ProposalToGnatt[[#This Row],[Start Date]],BR$27&lt;ProposalToGnatt[[#This Row],[Start Date]]+ProposalToGnatt[[#This Row],[Days]]),$G$5,"")),"")</f>
        <v/>
      </c>
      <c r="BS72" s="36" t="str">
        <f ca="1">IFERROR(+IF(BS$27=ProposalToGnatt[[#This Row],[Start Date]],Milestone_Marker,IF(AND(BS$27&gt;ProposalToGnatt[[#This Row],[Start Date]],BS$27&lt;ProposalToGnatt[[#This Row],[Start Date]]+ProposalToGnatt[[#This Row],[Days]]),$G$5,"")),"")</f>
        <v/>
      </c>
      <c r="BT72" s="36" t="str">
        <f ca="1">IFERROR(+IF(BT$27=ProposalToGnatt[[#This Row],[Start Date]],Milestone_Marker,IF(AND(BT$27&gt;ProposalToGnatt[[#This Row],[Start Date]],BT$27&lt;ProposalToGnatt[[#This Row],[Start Date]]+ProposalToGnatt[[#This Row],[Days]]),$G$5,"")),"")</f>
        <v/>
      </c>
      <c r="BU72" s="36" t="str">
        <f ca="1">IFERROR(+IF(BU$27=ProposalToGnatt[[#This Row],[Start Date]],Milestone_Marker,IF(AND(BU$27&gt;ProposalToGnatt[[#This Row],[Start Date]],BU$27&lt;ProposalToGnatt[[#This Row],[Start Date]]+ProposalToGnatt[[#This Row],[Days]]),$G$5,"")),"")</f>
        <v/>
      </c>
      <c r="BV72" s="36" t="str">
        <f ca="1">IFERROR(+IF(BV$27=ProposalToGnatt[[#This Row],[Start Date]],Milestone_Marker,IF(AND(BV$27&gt;ProposalToGnatt[[#This Row],[Start Date]],BV$27&lt;ProposalToGnatt[[#This Row],[Start Date]]+ProposalToGnatt[[#This Row],[Days]]),$G$5,"")),"")</f>
        <v/>
      </c>
      <c r="BW72" s="36" t="str">
        <f ca="1">IFERROR(+IF(BW$27=ProposalToGnatt[[#This Row],[Start Date]],Milestone_Marker,IF(AND(BW$27&gt;ProposalToGnatt[[#This Row],[Start Date]],BW$27&lt;ProposalToGnatt[[#This Row],[Start Date]]+ProposalToGnatt[[#This Row],[Days]]),$G$5,"")),"")</f>
        <v/>
      </c>
      <c r="BX72" s="36" t="str">
        <f ca="1">IFERROR(+IF(BX$27=ProposalToGnatt[[#This Row],[Start Date]],Milestone_Marker,IF(AND(BX$27&gt;ProposalToGnatt[[#This Row],[Start Date]],BX$27&lt;ProposalToGnatt[[#This Row],[Start Date]]+ProposalToGnatt[[#This Row],[Days]]),$G$5,"")),"")</f>
        <v/>
      </c>
      <c r="BY72" s="36" t="str">
        <f ca="1">IFERROR(+IF(BY$27=ProposalToGnatt[[#This Row],[Start Date]],Milestone_Marker,IF(AND(BY$27&gt;ProposalToGnatt[[#This Row],[Start Date]],BY$27&lt;ProposalToGnatt[[#This Row],[Start Date]]+ProposalToGnatt[[#This Row],[Days]]),$G$5,"")),"")</f>
        <v/>
      </c>
      <c r="BZ72" s="36" t="str">
        <f ca="1">IFERROR(+IF(BZ$27=ProposalToGnatt[[#This Row],[Start Date]],Milestone_Marker,IF(AND(BZ$27&gt;ProposalToGnatt[[#This Row],[Start Date]],BZ$27&lt;ProposalToGnatt[[#This Row],[Start Date]]+ProposalToGnatt[[#This Row],[Days]]),$G$5,"")),"")</f>
        <v/>
      </c>
      <c r="CA72" s="36" t="str">
        <f ca="1">IFERROR(+IF(CA$27=ProposalToGnatt[[#This Row],[Start Date]],Milestone_Marker,IF(AND(CA$27&gt;ProposalToGnatt[[#This Row],[Start Date]],CA$27&lt;ProposalToGnatt[[#This Row],[Start Date]]+ProposalToGnatt[[#This Row],[Days]]),$G$5,"")),"")</f>
        <v/>
      </c>
      <c r="CB72" s="36" t="str">
        <f ca="1">IFERROR(+IF(CB$27=ProposalToGnatt[[#This Row],[Start Date]],Milestone_Marker,IF(AND(CB$27&gt;ProposalToGnatt[[#This Row],[Start Date]],CB$27&lt;ProposalToGnatt[[#This Row],[Start Date]]+ProposalToGnatt[[#This Row],[Days]]),$G$5,"")),"")</f>
        <v/>
      </c>
      <c r="CC72" s="36" t="str">
        <f ca="1">IFERROR(+IF(CC$27=ProposalToGnatt[[#This Row],[Start Date]],Milestone_Marker,IF(AND(CC$27&gt;ProposalToGnatt[[#This Row],[Start Date]],CC$27&lt;ProposalToGnatt[[#This Row],[Start Date]]+ProposalToGnatt[[#This Row],[Days]]),$G$5,"")),"")</f>
        <v/>
      </c>
      <c r="CD72" s="36" t="str">
        <f ca="1">IFERROR(+IF(CD$27=ProposalToGnatt[[#This Row],[Start Date]],Milestone_Marker,IF(AND(CD$27&gt;ProposalToGnatt[[#This Row],[Start Date]],CD$27&lt;ProposalToGnatt[[#This Row],[Start Date]]+ProposalToGnatt[[#This Row],[Days]]),$G$5,"")),"")</f>
        <v/>
      </c>
      <c r="CE72" s="36" t="str">
        <f ca="1">IFERROR(+IF(CE$27=ProposalToGnatt[[#This Row],[Start Date]],Milestone_Marker,IF(AND(CE$27&gt;ProposalToGnatt[[#This Row],[Start Date]],CE$27&lt;ProposalToGnatt[[#This Row],[Start Date]]+ProposalToGnatt[[#This Row],[Days]]),$G$5,"")),"")</f>
        <v/>
      </c>
      <c r="CF72" s="36" t="str">
        <f ca="1">IFERROR(+IF(CF$27=ProposalToGnatt[[#This Row],[Start Date]],Milestone_Marker,IF(AND(CF$27&gt;ProposalToGnatt[[#This Row],[Start Date]],CF$27&lt;ProposalToGnatt[[#This Row],[Start Date]]+ProposalToGnatt[[#This Row],[Days]]),$G$5,"")),"")</f>
        <v/>
      </c>
      <c r="CG72" s="36" t="str">
        <f ca="1">IFERROR(+IF(CG$27=ProposalToGnatt[[#This Row],[Start Date]],Milestone_Marker,IF(AND(CG$27&gt;ProposalToGnatt[[#This Row],[Start Date]],CG$27&lt;ProposalToGnatt[[#This Row],[Start Date]]+ProposalToGnatt[[#This Row],[Days]]),$G$5,"")),"")</f>
        <v/>
      </c>
      <c r="CH72" s="36" t="str">
        <f ca="1">IFERROR(+IF(CH$27=ProposalToGnatt[[#This Row],[Start Date]],Milestone_Marker,IF(AND(CH$27&gt;ProposalToGnatt[[#This Row],[Start Date]],CH$27&lt;ProposalToGnatt[[#This Row],[Start Date]]+ProposalToGnatt[[#This Row],[Days]]),$G$5,"")),"")</f>
        <v/>
      </c>
      <c r="CI72" s="36" t="str">
        <f ca="1">IFERROR(+IF(CI$27=ProposalToGnatt[[#This Row],[Start Date]],Milestone_Marker,IF(AND(CI$27&gt;ProposalToGnatt[[#This Row],[Start Date]],CI$27&lt;ProposalToGnatt[[#This Row],[Start Date]]+ProposalToGnatt[[#This Row],[Days]]),$G$5,"")),"")</f>
        <v/>
      </c>
      <c r="CJ72" s="36" t="str">
        <f ca="1">IFERROR(+IF(CJ$27=ProposalToGnatt[[#This Row],[Start Date]],Milestone_Marker,IF(AND(CJ$27&gt;ProposalToGnatt[[#This Row],[Start Date]],CJ$27&lt;ProposalToGnatt[[#This Row],[Start Date]]+ProposalToGnatt[[#This Row],[Days]]),$G$5,"")),"")</f>
        <v/>
      </c>
      <c r="CK72" s="36" t="str">
        <f ca="1">IFERROR(+IF(CK$27=ProposalToGnatt[[#This Row],[Start Date]],Milestone_Marker,IF(AND(CK$27&gt;ProposalToGnatt[[#This Row],[Start Date]],CK$27&lt;ProposalToGnatt[[#This Row],[Start Date]]+ProposalToGnatt[[#This Row],[Days]]),$G$5,"")),"")</f>
        <v/>
      </c>
      <c r="CL72" s="36" t="str">
        <f ca="1">IFERROR(+IF(CL$27=ProposalToGnatt[[#This Row],[Start Date]],Milestone_Marker,IF(AND(CL$27&gt;ProposalToGnatt[[#This Row],[Start Date]],CL$27&lt;ProposalToGnatt[[#This Row],[Start Date]]+ProposalToGnatt[[#This Row],[Days]]),$G$5,"")),"")</f>
        <v/>
      </c>
      <c r="CM72" s="36" t="str">
        <f ca="1">IFERROR(+IF(CM$27=ProposalToGnatt[[#This Row],[Start Date]],Milestone_Marker,IF(AND(CM$27&gt;ProposalToGnatt[[#This Row],[Start Date]],CM$27&lt;ProposalToGnatt[[#This Row],[Start Date]]+ProposalToGnatt[[#This Row],[Days]]),$G$5,"")),"")</f>
        <v/>
      </c>
      <c r="CN72" s="36" t="str">
        <f ca="1">IFERROR(+IF(CN$27=ProposalToGnatt[[#This Row],[Start Date]],Milestone_Marker,IF(AND(CN$27&gt;ProposalToGnatt[[#This Row],[Start Date]],CN$27&lt;ProposalToGnatt[[#This Row],[Start Date]]+ProposalToGnatt[[#This Row],[Days]]),$G$5,"")),"")</f>
        <v/>
      </c>
      <c r="CO72" s="36" t="str">
        <f ca="1">IFERROR(+IF(CO$27=ProposalToGnatt[[#This Row],[Start Date]],Milestone_Marker,IF(AND(CO$27&gt;ProposalToGnatt[[#This Row],[Start Date]],CO$27&lt;ProposalToGnatt[[#This Row],[Start Date]]+ProposalToGnatt[[#This Row],[Days]]),$G$5,"")),"")</f>
        <v/>
      </c>
      <c r="CP72" s="36" t="str">
        <f ca="1">IFERROR(+IF(CP$27=ProposalToGnatt[[#This Row],[Start Date]],Milestone_Marker,IF(AND(CP$27&gt;ProposalToGnatt[[#This Row],[Start Date]],CP$27&lt;ProposalToGnatt[[#This Row],[Start Date]]+ProposalToGnatt[[#This Row],[Days]]),$G$5,"")),"")</f>
        <v/>
      </c>
      <c r="CQ72" s="36" t="str">
        <f ca="1">IFERROR(+IF(CQ$27=ProposalToGnatt[[#This Row],[Start Date]],Milestone_Marker,IF(AND(CQ$27&gt;ProposalToGnatt[[#This Row],[Start Date]],CQ$27&lt;ProposalToGnatt[[#This Row],[Start Date]]+ProposalToGnatt[[#This Row],[Days]]),$G$5,"")),"")</f>
        <v/>
      </c>
      <c r="CR72" s="36" t="str">
        <f ca="1">IFERROR(+IF(CR$27=ProposalToGnatt[[#This Row],[Start Date]],Milestone_Marker,IF(AND(CR$27&gt;ProposalToGnatt[[#This Row],[Start Date]],CR$27&lt;ProposalToGnatt[[#This Row],[Start Date]]+ProposalToGnatt[[#This Row],[Days]]),$G$5,"")),"")</f>
        <v/>
      </c>
      <c r="CS72" s="36" t="str">
        <f ca="1">IFERROR(+IF(CS$27=ProposalToGnatt[[#This Row],[Start Date]],Milestone_Marker,IF(AND(CS$27&gt;ProposalToGnatt[[#This Row],[Start Date]],CS$27&lt;ProposalToGnatt[[#This Row],[Start Date]]+ProposalToGnatt[[#This Row],[Days]]),$G$5,"")),"")</f>
        <v/>
      </c>
      <c r="CT72" s="36" t="str">
        <f ca="1">IFERROR(+IF(CT$27=ProposalToGnatt[[#This Row],[Start Date]],Milestone_Marker,IF(AND(CT$27&gt;ProposalToGnatt[[#This Row],[Start Date]],CT$27&lt;ProposalToGnatt[[#This Row],[Start Date]]+ProposalToGnatt[[#This Row],[Days]]),$G$5,"")),"")</f>
        <v/>
      </c>
      <c r="CU72" s="36" t="str">
        <f ca="1">IFERROR(+IF(CU$27=ProposalToGnatt[[#This Row],[Start Date]],Milestone_Marker,IF(AND(CU$27&gt;ProposalToGnatt[[#This Row],[Start Date]],CU$27&lt;ProposalToGnatt[[#This Row],[Start Date]]+ProposalToGnatt[[#This Row],[Days]]),$G$5,"")),"")</f>
        <v/>
      </c>
      <c r="CV72" s="36"/>
      <c r="CW72" s="36"/>
      <c r="CX72" s="36"/>
      <c r="CY72" s="36"/>
      <c r="CZ72" s="36"/>
      <c r="DA72" s="36"/>
      <c r="DB72" s="36"/>
      <c r="DC72" s="36"/>
      <c r="DD72" s="36"/>
      <c r="DE72" s="36"/>
      <c r="DF72" s="36"/>
      <c r="DG72" s="36"/>
      <c r="DH72" s="36"/>
      <c r="DI72" s="36"/>
      <c r="DJ72" s="36"/>
      <c r="DK72" s="36"/>
      <c r="DL72" s="36"/>
      <c r="DM72" s="36"/>
      <c r="DN72" s="36"/>
      <c r="DO72" s="36"/>
      <c r="DP72" s="36"/>
      <c r="DQ72" s="36"/>
      <c r="DR72" s="36"/>
      <c r="DS72" s="36"/>
      <c r="DT72" s="36"/>
      <c r="DU72" s="36"/>
    </row>
    <row r="73" spans="1:125" ht="15" x14ac:dyDescent="0.25">
      <c r="A73"/>
      <c r="B73"/>
      <c r="C73"/>
      <c r="D73"/>
      <c r="E73"/>
      <c r="F73"/>
      <c r="G73" s="14"/>
      <c r="H73" s="14"/>
      <c r="I73"/>
      <c r="J73"/>
      <c r="K73" s="246"/>
      <c r="L73"/>
      <c r="M73" s="14"/>
      <c r="N73" s="299"/>
      <c r="O73" s="281"/>
      <c r="P73" s="36" t="str">
        <f ca="1">IFERROR(+IF(P$27=ProposalToGnatt[[#This Row],[Start Date]],Milestone_Marker,IF(AND(P$27&gt;ProposalToGnatt[[#This Row],[Start Date]],P$27&lt;ProposalToGnatt[[#This Row],[Start Date]]+ProposalToGnatt[[#This Row],[Days]]),$G$5,"")),"")</f>
        <v/>
      </c>
      <c r="Q73" s="36" t="str">
        <f ca="1">IFERROR(+IF(Q$27=ProposalToGnatt[[#This Row],[Start Date]],Milestone_Marker,IF(AND(Q$27&gt;ProposalToGnatt[[#This Row],[Start Date]],Q$27&lt;ProposalToGnatt[[#This Row],[Start Date]]+ProposalToGnatt[[#This Row],[Days]]),$G$5,"")),"")</f>
        <v/>
      </c>
      <c r="R73" s="36" t="str">
        <f ca="1">IFERROR(+IF(R$27=ProposalToGnatt[[#This Row],[Start Date]],Milestone_Marker,IF(AND(R$27&gt;ProposalToGnatt[[#This Row],[Start Date]],R$27&lt;ProposalToGnatt[[#This Row],[Start Date]]+ProposalToGnatt[[#This Row],[Days]]),$G$5,"")),"")</f>
        <v/>
      </c>
      <c r="S73" s="36" t="str">
        <f ca="1">IFERROR(+IF(S$27=ProposalToGnatt[[#This Row],[Start Date]],Milestone_Marker,IF(AND(S$27&gt;ProposalToGnatt[[#This Row],[Start Date]],S$27&lt;ProposalToGnatt[[#This Row],[Start Date]]+ProposalToGnatt[[#This Row],[Days]]),$G$5,"")),"")</f>
        <v/>
      </c>
      <c r="T73" s="36" t="str">
        <f ca="1">IFERROR(+IF(T$27=ProposalToGnatt[[#This Row],[Start Date]],Milestone_Marker,IF(AND(T$27&gt;ProposalToGnatt[[#This Row],[Start Date]],T$27&lt;ProposalToGnatt[[#This Row],[Start Date]]+ProposalToGnatt[[#This Row],[Days]]),$G$5,"")),"")</f>
        <v/>
      </c>
      <c r="U73" s="36" t="str">
        <f ca="1">IFERROR(+IF(U$27=ProposalToGnatt[[#This Row],[Start Date]],Milestone_Marker,IF(AND(U$27&gt;ProposalToGnatt[[#This Row],[Start Date]],U$27&lt;ProposalToGnatt[[#This Row],[Start Date]]+ProposalToGnatt[[#This Row],[Days]]),$G$5,"")),"")</f>
        <v/>
      </c>
      <c r="V73" s="36" t="str">
        <f ca="1">IFERROR(+IF(V$27=ProposalToGnatt[[#This Row],[Start Date]],Milestone_Marker,IF(AND(V$27&gt;ProposalToGnatt[[#This Row],[Start Date]],V$27&lt;ProposalToGnatt[[#This Row],[Start Date]]+ProposalToGnatt[[#This Row],[Days]]),$G$5,"")),"")</f>
        <v/>
      </c>
      <c r="W73" s="36" t="str">
        <f ca="1">IFERROR(+IF(W$27=ProposalToGnatt[[#This Row],[Start Date]],Milestone_Marker,IF(AND(W$27&gt;ProposalToGnatt[[#This Row],[Start Date]],W$27&lt;ProposalToGnatt[[#This Row],[Start Date]]+ProposalToGnatt[[#This Row],[Days]]),$G$5,"")),"")</f>
        <v/>
      </c>
      <c r="X73" s="36" t="str">
        <f ca="1">IFERROR(+IF(X$27=ProposalToGnatt[[#This Row],[Start Date]],Milestone_Marker,IF(AND(X$27&gt;ProposalToGnatt[[#This Row],[Start Date]],X$27&lt;ProposalToGnatt[[#This Row],[Start Date]]+ProposalToGnatt[[#This Row],[Days]]),$G$5,"")),"")</f>
        <v/>
      </c>
      <c r="Y73" s="36" t="str">
        <f ca="1">IFERROR(+IF(Y$27=ProposalToGnatt[[#This Row],[Start Date]],Milestone_Marker,IF(AND(Y$27&gt;ProposalToGnatt[[#This Row],[Start Date]],Y$27&lt;ProposalToGnatt[[#This Row],[Start Date]]+ProposalToGnatt[[#This Row],[Days]]),$G$5,"")),"")</f>
        <v/>
      </c>
      <c r="Z73" s="36" t="str">
        <f ca="1">IFERROR(+IF(Z$27=ProposalToGnatt[[#This Row],[Start Date]],Milestone_Marker,IF(AND(Z$27&gt;ProposalToGnatt[[#This Row],[Start Date]],Z$27&lt;ProposalToGnatt[[#This Row],[Start Date]]+ProposalToGnatt[[#This Row],[Days]]),$G$5,"")),"")</f>
        <v/>
      </c>
      <c r="AA73" s="36" t="str">
        <f ca="1">IFERROR(+IF(AA$27=ProposalToGnatt[[#This Row],[Start Date]],Milestone_Marker,IF(AND(AA$27&gt;ProposalToGnatt[[#This Row],[Start Date]],AA$27&lt;ProposalToGnatt[[#This Row],[Start Date]]+ProposalToGnatt[[#This Row],[Days]]),$G$5,"")),"")</f>
        <v/>
      </c>
      <c r="AB73" s="36" t="str">
        <f ca="1">IFERROR(+IF(AB$27=ProposalToGnatt[[#This Row],[Start Date]],Milestone_Marker,IF(AND(AB$27&gt;ProposalToGnatt[[#This Row],[Start Date]],AB$27&lt;ProposalToGnatt[[#This Row],[Start Date]]+ProposalToGnatt[[#This Row],[Days]]),$G$5,"")),"")</f>
        <v/>
      </c>
      <c r="AC73" s="36" t="str">
        <f ca="1">IFERROR(+IF(AC$27=ProposalToGnatt[[#This Row],[Start Date]],Milestone_Marker,IF(AND(AC$27&gt;ProposalToGnatt[[#This Row],[Start Date]],AC$27&lt;ProposalToGnatt[[#This Row],[Start Date]]+ProposalToGnatt[[#This Row],[Days]]),$G$5,"")),"")</f>
        <v/>
      </c>
      <c r="AD73" s="36" t="str">
        <f ca="1">IFERROR(+IF(AD$27=ProposalToGnatt[[#This Row],[Start Date]],Milestone_Marker,IF(AND(AD$27&gt;ProposalToGnatt[[#This Row],[Start Date]],AD$27&lt;ProposalToGnatt[[#This Row],[Start Date]]+ProposalToGnatt[[#This Row],[Days]]),$G$5,"")),"")</f>
        <v/>
      </c>
      <c r="AE73" s="36" t="str">
        <f ca="1">IFERROR(+IF(AE$27=ProposalToGnatt[[#This Row],[Start Date]],Milestone_Marker,IF(AND(AE$27&gt;ProposalToGnatt[[#This Row],[Start Date]],AE$27&lt;ProposalToGnatt[[#This Row],[Start Date]]+ProposalToGnatt[[#This Row],[Days]]),$G$5,"")),"")</f>
        <v/>
      </c>
      <c r="AF73" s="36" t="str">
        <f ca="1">IFERROR(+IF(AF$27=ProposalToGnatt[[#This Row],[Start Date]],Milestone_Marker,IF(AND(AF$27&gt;ProposalToGnatt[[#This Row],[Start Date]],AF$27&lt;ProposalToGnatt[[#This Row],[Start Date]]+ProposalToGnatt[[#This Row],[Days]]),$G$5,"")),"")</f>
        <v/>
      </c>
      <c r="AG73" s="36" t="str">
        <f ca="1">IFERROR(+IF(AG$27=ProposalToGnatt[[#This Row],[Start Date]],Milestone_Marker,IF(AND(AG$27&gt;ProposalToGnatt[[#This Row],[Start Date]],AG$27&lt;ProposalToGnatt[[#This Row],[Start Date]]+ProposalToGnatt[[#This Row],[Days]]),$G$5,"")),"")</f>
        <v/>
      </c>
      <c r="AH73" s="36" t="str">
        <f ca="1">IFERROR(+IF(AH$27=ProposalToGnatt[[#This Row],[Start Date]],Milestone_Marker,IF(AND(AH$27&gt;ProposalToGnatt[[#This Row],[Start Date]],AH$27&lt;ProposalToGnatt[[#This Row],[Start Date]]+ProposalToGnatt[[#This Row],[Days]]),$G$5,"")),"")</f>
        <v/>
      </c>
      <c r="AI73" s="36" t="str">
        <f ca="1">IFERROR(+IF(AI$27=ProposalToGnatt[[#This Row],[Start Date]],Milestone_Marker,IF(AND(AI$27&gt;ProposalToGnatt[[#This Row],[Start Date]],AI$27&lt;ProposalToGnatt[[#This Row],[Start Date]]+ProposalToGnatt[[#This Row],[Days]]),$G$5,"")),"")</f>
        <v/>
      </c>
      <c r="AJ73" s="36" t="str">
        <f ca="1">IFERROR(+IF(AJ$27=ProposalToGnatt[[#This Row],[Start Date]],Milestone_Marker,IF(AND(AJ$27&gt;ProposalToGnatt[[#This Row],[Start Date]],AJ$27&lt;ProposalToGnatt[[#This Row],[Start Date]]+ProposalToGnatt[[#This Row],[Days]]),$G$5,"")),"")</f>
        <v/>
      </c>
      <c r="AK73" s="36" t="str">
        <f ca="1">IFERROR(+IF(AK$27=ProposalToGnatt[[#This Row],[Start Date]],Milestone_Marker,IF(AND(AK$27&gt;ProposalToGnatt[[#This Row],[Start Date]],AK$27&lt;ProposalToGnatt[[#This Row],[Start Date]]+ProposalToGnatt[[#This Row],[Days]]),$G$5,"")),"")</f>
        <v/>
      </c>
      <c r="AL73" s="36" t="str">
        <f ca="1">IFERROR(+IF(AL$27=ProposalToGnatt[[#This Row],[Start Date]],Milestone_Marker,IF(AND(AL$27&gt;ProposalToGnatt[[#This Row],[Start Date]],AL$27&lt;ProposalToGnatt[[#This Row],[Start Date]]+ProposalToGnatt[[#This Row],[Days]]),$G$5,"")),"")</f>
        <v/>
      </c>
      <c r="AM73" s="36" t="str">
        <f ca="1">IFERROR(+IF(AM$27=ProposalToGnatt[[#This Row],[Start Date]],Milestone_Marker,IF(AND(AM$27&gt;ProposalToGnatt[[#This Row],[Start Date]],AM$27&lt;ProposalToGnatt[[#This Row],[Start Date]]+ProposalToGnatt[[#This Row],[Days]]),$G$5,"")),"")</f>
        <v/>
      </c>
      <c r="AN73" s="36" t="str">
        <f ca="1">IFERROR(+IF(AN$27=ProposalToGnatt[[#This Row],[Start Date]],Milestone_Marker,IF(AND(AN$27&gt;ProposalToGnatt[[#This Row],[Start Date]],AN$27&lt;ProposalToGnatt[[#This Row],[Start Date]]+ProposalToGnatt[[#This Row],[Days]]),$G$5,"")),"")</f>
        <v/>
      </c>
      <c r="AO73" s="36" t="str">
        <f ca="1">IFERROR(+IF(AO$27=ProposalToGnatt[[#This Row],[Start Date]],Milestone_Marker,IF(AND(AO$27&gt;ProposalToGnatt[[#This Row],[Start Date]],AO$27&lt;ProposalToGnatt[[#This Row],[Start Date]]+ProposalToGnatt[[#This Row],[Days]]),$G$5,"")),"")</f>
        <v/>
      </c>
      <c r="AP73" s="36" t="str">
        <f ca="1">IFERROR(+IF(AP$27=ProposalToGnatt[[#This Row],[Start Date]],Milestone_Marker,IF(AND(AP$27&gt;ProposalToGnatt[[#This Row],[Start Date]],AP$27&lt;ProposalToGnatt[[#This Row],[Start Date]]+ProposalToGnatt[[#This Row],[Days]]),$G$5,"")),"")</f>
        <v/>
      </c>
      <c r="AQ73" s="36" t="str">
        <f ca="1">IFERROR(+IF(AQ$27=ProposalToGnatt[[#This Row],[Start Date]],Milestone_Marker,IF(AND(AQ$27&gt;ProposalToGnatt[[#This Row],[Start Date]],AQ$27&lt;ProposalToGnatt[[#This Row],[Start Date]]+ProposalToGnatt[[#This Row],[Days]]),$G$5,"")),"")</f>
        <v/>
      </c>
      <c r="AR73" s="36" t="str">
        <f ca="1">IFERROR(+IF(AR$27=ProposalToGnatt[[#This Row],[Start Date]],Milestone_Marker,IF(AND(AR$27&gt;ProposalToGnatt[[#This Row],[Start Date]],AR$27&lt;ProposalToGnatt[[#This Row],[Start Date]]+ProposalToGnatt[[#This Row],[Days]]),$G$5,"")),"")</f>
        <v/>
      </c>
      <c r="AS73" s="36" t="str">
        <f ca="1">IFERROR(+IF(AS$27=ProposalToGnatt[[#This Row],[Start Date]],Milestone_Marker,IF(AND(AS$27&gt;ProposalToGnatt[[#This Row],[Start Date]],AS$27&lt;ProposalToGnatt[[#This Row],[Start Date]]+ProposalToGnatt[[#This Row],[Days]]),$G$5,"")),"")</f>
        <v/>
      </c>
      <c r="AT73" s="36" t="str">
        <f ca="1">IFERROR(+IF(AT$27=ProposalToGnatt[[#This Row],[Start Date]],Milestone_Marker,IF(AND(AT$27&gt;ProposalToGnatt[[#This Row],[Start Date]],AT$27&lt;ProposalToGnatt[[#This Row],[Start Date]]+ProposalToGnatt[[#This Row],[Days]]),$G$5,"")),"")</f>
        <v/>
      </c>
      <c r="AU73" s="36" t="str">
        <f ca="1">IFERROR(+IF(AU$27=ProposalToGnatt[[#This Row],[Start Date]],Milestone_Marker,IF(AND(AU$27&gt;ProposalToGnatt[[#This Row],[Start Date]],AU$27&lt;ProposalToGnatt[[#This Row],[Start Date]]+ProposalToGnatt[[#This Row],[Days]]),$G$5,"")),"")</f>
        <v/>
      </c>
      <c r="AV73" s="36" t="str">
        <f ca="1">IFERROR(+IF(AV$27=ProposalToGnatt[[#This Row],[Start Date]],Milestone_Marker,IF(AND(AV$27&gt;ProposalToGnatt[[#This Row],[Start Date]],AV$27&lt;ProposalToGnatt[[#This Row],[Start Date]]+ProposalToGnatt[[#This Row],[Days]]),$G$5,"")),"")</f>
        <v/>
      </c>
      <c r="AW73" s="36" t="str">
        <f ca="1">IFERROR(+IF(AW$27=ProposalToGnatt[[#This Row],[Start Date]],Milestone_Marker,IF(AND(AW$27&gt;ProposalToGnatt[[#This Row],[Start Date]],AW$27&lt;ProposalToGnatt[[#This Row],[Start Date]]+ProposalToGnatt[[#This Row],[Days]]),$G$5,"")),"")</f>
        <v/>
      </c>
      <c r="AX73" s="36" t="str">
        <f ca="1">IFERROR(+IF(AX$27=ProposalToGnatt[[#This Row],[Start Date]],Milestone_Marker,IF(AND(AX$27&gt;ProposalToGnatt[[#This Row],[Start Date]],AX$27&lt;ProposalToGnatt[[#This Row],[Start Date]]+ProposalToGnatt[[#This Row],[Days]]),$G$5,"")),"")</f>
        <v/>
      </c>
      <c r="AY73" s="36" t="str">
        <f ca="1">IFERROR(+IF(AY$27=ProposalToGnatt[[#This Row],[Start Date]],Milestone_Marker,IF(AND(AY$27&gt;ProposalToGnatt[[#This Row],[Start Date]],AY$27&lt;ProposalToGnatt[[#This Row],[Start Date]]+ProposalToGnatt[[#This Row],[Days]]),$G$5,"")),"")</f>
        <v/>
      </c>
      <c r="AZ73" s="36" t="str">
        <f ca="1">IFERROR(+IF(AZ$27=ProposalToGnatt[[#This Row],[Start Date]],Milestone_Marker,IF(AND(AZ$27&gt;ProposalToGnatt[[#This Row],[Start Date]],AZ$27&lt;ProposalToGnatt[[#This Row],[Start Date]]+ProposalToGnatt[[#This Row],[Days]]),$G$5,"")),"")</f>
        <v/>
      </c>
      <c r="BA73" s="36" t="str">
        <f ca="1">IFERROR(+IF(BA$27=ProposalToGnatt[[#This Row],[Start Date]],Milestone_Marker,IF(AND(BA$27&gt;ProposalToGnatt[[#This Row],[Start Date]],BA$27&lt;ProposalToGnatt[[#This Row],[Start Date]]+ProposalToGnatt[[#This Row],[Days]]),$G$5,"")),"")</f>
        <v/>
      </c>
      <c r="BB73" s="36" t="str">
        <f ca="1">IFERROR(+IF(BB$27=ProposalToGnatt[[#This Row],[Start Date]],Milestone_Marker,IF(AND(BB$27&gt;ProposalToGnatt[[#This Row],[Start Date]],BB$27&lt;ProposalToGnatt[[#This Row],[Start Date]]+ProposalToGnatt[[#This Row],[Days]]),$G$5,"")),"")</f>
        <v/>
      </c>
      <c r="BC73" s="36" t="str">
        <f ca="1">IFERROR(+IF(BC$27=ProposalToGnatt[[#This Row],[Start Date]],Milestone_Marker,IF(AND(BC$27&gt;ProposalToGnatt[[#This Row],[Start Date]],BC$27&lt;ProposalToGnatt[[#This Row],[Start Date]]+ProposalToGnatt[[#This Row],[Days]]),$G$5,"")),"")</f>
        <v/>
      </c>
      <c r="BD73" s="36" t="str">
        <f ca="1">IFERROR(+IF(BD$27=ProposalToGnatt[[#This Row],[Start Date]],Milestone_Marker,IF(AND(BD$27&gt;ProposalToGnatt[[#This Row],[Start Date]],BD$27&lt;ProposalToGnatt[[#This Row],[Start Date]]+ProposalToGnatt[[#This Row],[Days]]),$G$5,"")),"")</f>
        <v/>
      </c>
      <c r="BE73" s="36" t="str">
        <f ca="1">IFERROR(+IF(BE$27=ProposalToGnatt[[#This Row],[Start Date]],Milestone_Marker,IF(AND(BE$27&gt;ProposalToGnatt[[#This Row],[Start Date]],BE$27&lt;ProposalToGnatt[[#This Row],[Start Date]]+ProposalToGnatt[[#This Row],[Days]]),$G$5,"")),"")</f>
        <v/>
      </c>
      <c r="BF73" s="36" t="str">
        <f ca="1">IFERROR(+IF(BF$27=ProposalToGnatt[[#This Row],[Start Date]],Milestone_Marker,IF(AND(BF$27&gt;ProposalToGnatt[[#This Row],[Start Date]],BF$27&lt;ProposalToGnatt[[#This Row],[Start Date]]+ProposalToGnatt[[#This Row],[Days]]),$G$5,"")),"")</f>
        <v/>
      </c>
      <c r="BG73" s="36" t="str">
        <f ca="1">IFERROR(+IF(BG$27=ProposalToGnatt[[#This Row],[Start Date]],Milestone_Marker,IF(AND(BG$27&gt;ProposalToGnatt[[#This Row],[Start Date]],BG$27&lt;ProposalToGnatt[[#This Row],[Start Date]]+ProposalToGnatt[[#This Row],[Days]]),$G$5,"")),"")</f>
        <v/>
      </c>
      <c r="BH73" s="36" t="str">
        <f ca="1">IFERROR(+IF(BH$27=ProposalToGnatt[[#This Row],[Start Date]],Milestone_Marker,IF(AND(BH$27&gt;ProposalToGnatt[[#This Row],[Start Date]],BH$27&lt;ProposalToGnatt[[#This Row],[Start Date]]+ProposalToGnatt[[#This Row],[Days]]),$G$5,"")),"")</f>
        <v/>
      </c>
      <c r="BI73" s="36" t="str">
        <f ca="1">IFERROR(+IF(BI$27=ProposalToGnatt[[#This Row],[Start Date]],Milestone_Marker,IF(AND(BI$27&gt;ProposalToGnatt[[#This Row],[Start Date]],BI$27&lt;ProposalToGnatt[[#This Row],[Start Date]]+ProposalToGnatt[[#This Row],[Days]]),$G$5,"")),"")</f>
        <v/>
      </c>
      <c r="BJ73" s="36" t="str">
        <f ca="1">IFERROR(+IF(BJ$27=ProposalToGnatt[[#This Row],[Start Date]],Milestone_Marker,IF(AND(BJ$27&gt;ProposalToGnatt[[#This Row],[Start Date]],BJ$27&lt;ProposalToGnatt[[#This Row],[Start Date]]+ProposalToGnatt[[#This Row],[Days]]),$G$5,"")),"")</f>
        <v/>
      </c>
      <c r="BK73" s="36" t="str">
        <f ca="1">IFERROR(+IF(BK$27=ProposalToGnatt[[#This Row],[Start Date]],Milestone_Marker,IF(AND(BK$27&gt;ProposalToGnatt[[#This Row],[Start Date]],BK$27&lt;ProposalToGnatt[[#This Row],[Start Date]]+ProposalToGnatt[[#This Row],[Days]]),$G$5,"")),"")</f>
        <v/>
      </c>
      <c r="BL73" s="36" t="str">
        <f ca="1">IFERROR(+IF(BL$27=ProposalToGnatt[[#This Row],[Start Date]],Milestone_Marker,IF(AND(BL$27&gt;ProposalToGnatt[[#This Row],[Start Date]],BL$27&lt;ProposalToGnatt[[#This Row],[Start Date]]+ProposalToGnatt[[#This Row],[Days]]),$G$5,"")),"")</f>
        <v/>
      </c>
      <c r="BM73" s="36" t="str">
        <f ca="1">IFERROR(+IF(BM$27=ProposalToGnatt[[#This Row],[Start Date]],Milestone_Marker,IF(AND(BM$27&gt;ProposalToGnatt[[#This Row],[Start Date]],BM$27&lt;ProposalToGnatt[[#This Row],[Start Date]]+ProposalToGnatt[[#This Row],[Days]]),$G$5,"")),"")</f>
        <v/>
      </c>
      <c r="BN73" s="36" t="str">
        <f ca="1">IFERROR(+IF(BN$27=ProposalToGnatt[[#This Row],[Start Date]],Milestone_Marker,IF(AND(BN$27&gt;ProposalToGnatt[[#This Row],[Start Date]],BN$27&lt;ProposalToGnatt[[#This Row],[Start Date]]+ProposalToGnatt[[#This Row],[Days]]),$G$5,"")),"")</f>
        <v/>
      </c>
      <c r="BO73" s="36" t="str">
        <f ca="1">IFERROR(+IF(BO$27=ProposalToGnatt[[#This Row],[Start Date]],Milestone_Marker,IF(AND(BO$27&gt;ProposalToGnatt[[#This Row],[Start Date]],BO$27&lt;ProposalToGnatt[[#This Row],[Start Date]]+ProposalToGnatt[[#This Row],[Days]]),$G$5,"")),"")</f>
        <v/>
      </c>
      <c r="BP73" s="36" t="str">
        <f ca="1">IFERROR(+IF(BP$27=ProposalToGnatt[[#This Row],[Start Date]],Milestone_Marker,IF(AND(BP$27&gt;ProposalToGnatt[[#This Row],[Start Date]],BP$27&lt;ProposalToGnatt[[#This Row],[Start Date]]+ProposalToGnatt[[#This Row],[Days]]),$G$5,"")),"")</f>
        <v/>
      </c>
      <c r="BQ73" s="36" t="str">
        <f ca="1">IFERROR(+IF(BQ$27=ProposalToGnatt[[#This Row],[Start Date]],Milestone_Marker,IF(AND(BQ$27&gt;ProposalToGnatt[[#This Row],[Start Date]],BQ$27&lt;ProposalToGnatt[[#This Row],[Start Date]]+ProposalToGnatt[[#This Row],[Days]]),$G$5,"")),"")</f>
        <v/>
      </c>
      <c r="BR73" s="36" t="str">
        <f ca="1">IFERROR(+IF(BR$27=ProposalToGnatt[[#This Row],[Start Date]],Milestone_Marker,IF(AND(BR$27&gt;ProposalToGnatt[[#This Row],[Start Date]],BR$27&lt;ProposalToGnatt[[#This Row],[Start Date]]+ProposalToGnatt[[#This Row],[Days]]),$G$5,"")),"")</f>
        <v/>
      </c>
      <c r="BS73" s="36" t="str">
        <f ca="1">IFERROR(+IF(BS$27=ProposalToGnatt[[#This Row],[Start Date]],Milestone_Marker,IF(AND(BS$27&gt;ProposalToGnatt[[#This Row],[Start Date]],BS$27&lt;ProposalToGnatt[[#This Row],[Start Date]]+ProposalToGnatt[[#This Row],[Days]]),$G$5,"")),"")</f>
        <v/>
      </c>
      <c r="BT73" s="36" t="str">
        <f ca="1">IFERROR(+IF(BT$27=ProposalToGnatt[[#This Row],[Start Date]],Milestone_Marker,IF(AND(BT$27&gt;ProposalToGnatt[[#This Row],[Start Date]],BT$27&lt;ProposalToGnatt[[#This Row],[Start Date]]+ProposalToGnatt[[#This Row],[Days]]),$G$5,"")),"")</f>
        <v/>
      </c>
      <c r="BU73" s="36" t="str">
        <f ca="1">IFERROR(+IF(BU$27=ProposalToGnatt[[#This Row],[Start Date]],Milestone_Marker,IF(AND(BU$27&gt;ProposalToGnatt[[#This Row],[Start Date]],BU$27&lt;ProposalToGnatt[[#This Row],[Start Date]]+ProposalToGnatt[[#This Row],[Days]]),$G$5,"")),"")</f>
        <v/>
      </c>
      <c r="BV73" s="36" t="str">
        <f ca="1">IFERROR(+IF(BV$27=ProposalToGnatt[[#This Row],[Start Date]],Milestone_Marker,IF(AND(BV$27&gt;ProposalToGnatt[[#This Row],[Start Date]],BV$27&lt;ProposalToGnatt[[#This Row],[Start Date]]+ProposalToGnatt[[#This Row],[Days]]),$G$5,"")),"")</f>
        <v/>
      </c>
      <c r="BW73" s="36" t="str">
        <f ca="1">IFERROR(+IF(BW$27=ProposalToGnatt[[#This Row],[Start Date]],Milestone_Marker,IF(AND(BW$27&gt;ProposalToGnatt[[#This Row],[Start Date]],BW$27&lt;ProposalToGnatt[[#This Row],[Start Date]]+ProposalToGnatt[[#This Row],[Days]]),$G$5,"")),"")</f>
        <v/>
      </c>
      <c r="BX73" s="36" t="str">
        <f ca="1">IFERROR(+IF(BX$27=ProposalToGnatt[[#This Row],[Start Date]],Milestone_Marker,IF(AND(BX$27&gt;ProposalToGnatt[[#This Row],[Start Date]],BX$27&lt;ProposalToGnatt[[#This Row],[Start Date]]+ProposalToGnatt[[#This Row],[Days]]),$G$5,"")),"")</f>
        <v/>
      </c>
      <c r="BY73" s="36" t="str">
        <f ca="1">IFERROR(+IF(BY$27=ProposalToGnatt[[#This Row],[Start Date]],Milestone_Marker,IF(AND(BY$27&gt;ProposalToGnatt[[#This Row],[Start Date]],BY$27&lt;ProposalToGnatt[[#This Row],[Start Date]]+ProposalToGnatt[[#This Row],[Days]]),$G$5,"")),"")</f>
        <v/>
      </c>
      <c r="BZ73" s="36" t="str">
        <f ca="1">IFERROR(+IF(BZ$27=ProposalToGnatt[[#This Row],[Start Date]],Milestone_Marker,IF(AND(BZ$27&gt;ProposalToGnatt[[#This Row],[Start Date]],BZ$27&lt;ProposalToGnatt[[#This Row],[Start Date]]+ProposalToGnatt[[#This Row],[Days]]),$G$5,"")),"")</f>
        <v/>
      </c>
      <c r="CA73" s="36" t="str">
        <f ca="1">IFERROR(+IF(CA$27=ProposalToGnatt[[#This Row],[Start Date]],Milestone_Marker,IF(AND(CA$27&gt;ProposalToGnatt[[#This Row],[Start Date]],CA$27&lt;ProposalToGnatt[[#This Row],[Start Date]]+ProposalToGnatt[[#This Row],[Days]]),$G$5,"")),"")</f>
        <v/>
      </c>
      <c r="CB73" s="36" t="str">
        <f ca="1">IFERROR(+IF(CB$27=ProposalToGnatt[[#This Row],[Start Date]],Milestone_Marker,IF(AND(CB$27&gt;ProposalToGnatt[[#This Row],[Start Date]],CB$27&lt;ProposalToGnatt[[#This Row],[Start Date]]+ProposalToGnatt[[#This Row],[Days]]),$G$5,"")),"")</f>
        <v/>
      </c>
      <c r="CC73" s="36" t="str">
        <f ca="1">IFERROR(+IF(CC$27=ProposalToGnatt[[#This Row],[Start Date]],Milestone_Marker,IF(AND(CC$27&gt;ProposalToGnatt[[#This Row],[Start Date]],CC$27&lt;ProposalToGnatt[[#This Row],[Start Date]]+ProposalToGnatt[[#This Row],[Days]]),$G$5,"")),"")</f>
        <v/>
      </c>
      <c r="CD73" s="36" t="str">
        <f ca="1">IFERROR(+IF(CD$27=ProposalToGnatt[[#This Row],[Start Date]],Milestone_Marker,IF(AND(CD$27&gt;ProposalToGnatt[[#This Row],[Start Date]],CD$27&lt;ProposalToGnatt[[#This Row],[Start Date]]+ProposalToGnatt[[#This Row],[Days]]),$G$5,"")),"")</f>
        <v/>
      </c>
      <c r="CE73" s="36" t="str">
        <f ca="1">IFERROR(+IF(CE$27=ProposalToGnatt[[#This Row],[Start Date]],Milestone_Marker,IF(AND(CE$27&gt;ProposalToGnatt[[#This Row],[Start Date]],CE$27&lt;ProposalToGnatt[[#This Row],[Start Date]]+ProposalToGnatt[[#This Row],[Days]]),$G$5,"")),"")</f>
        <v/>
      </c>
      <c r="CF73" s="36" t="str">
        <f ca="1">IFERROR(+IF(CF$27=ProposalToGnatt[[#This Row],[Start Date]],Milestone_Marker,IF(AND(CF$27&gt;ProposalToGnatt[[#This Row],[Start Date]],CF$27&lt;ProposalToGnatt[[#This Row],[Start Date]]+ProposalToGnatt[[#This Row],[Days]]),$G$5,"")),"")</f>
        <v/>
      </c>
      <c r="CG73" s="36" t="str">
        <f ca="1">IFERROR(+IF(CG$27=ProposalToGnatt[[#This Row],[Start Date]],Milestone_Marker,IF(AND(CG$27&gt;ProposalToGnatt[[#This Row],[Start Date]],CG$27&lt;ProposalToGnatt[[#This Row],[Start Date]]+ProposalToGnatt[[#This Row],[Days]]),$G$5,"")),"")</f>
        <v/>
      </c>
      <c r="CH73" s="36" t="str">
        <f ca="1">IFERROR(+IF(CH$27=ProposalToGnatt[[#This Row],[Start Date]],Milestone_Marker,IF(AND(CH$27&gt;ProposalToGnatt[[#This Row],[Start Date]],CH$27&lt;ProposalToGnatt[[#This Row],[Start Date]]+ProposalToGnatt[[#This Row],[Days]]),$G$5,"")),"")</f>
        <v/>
      </c>
      <c r="CI73" s="36" t="str">
        <f ca="1">IFERROR(+IF(CI$27=ProposalToGnatt[[#This Row],[Start Date]],Milestone_Marker,IF(AND(CI$27&gt;ProposalToGnatt[[#This Row],[Start Date]],CI$27&lt;ProposalToGnatt[[#This Row],[Start Date]]+ProposalToGnatt[[#This Row],[Days]]),$G$5,"")),"")</f>
        <v/>
      </c>
      <c r="CJ73" s="36" t="str">
        <f ca="1">IFERROR(+IF(CJ$27=ProposalToGnatt[[#This Row],[Start Date]],Milestone_Marker,IF(AND(CJ$27&gt;ProposalToGnatt[[#This Row],[Start Date]],CJ$27&lt;ProposalToGnatt[[#This Row],[Start Date]]+ProposalToGnatt[[#This Row],[Days]]),$G$5,"")),"")</f>
        <v/>
      </c>
      <c r="CK73" s="36" t="str">
        <f ca="1">IFERROR(+IF(CK$27=ProposalToGnatt[[#This Row],[Start Date]],Milestone_Marker,IF(AND(CK$27&gt;ProposalToGnatt[[#This Row],[Start Date]],CK$27&lt;ProposalToGnatt[[#This Row],[Start Date]]+ProposalToGnatt[[#This Row],[Days]]),$G$5,"")),"")</f>
        <v/>
      </c>
      <c r="CL73" s="36" t="str">
        <f ca="1">IFERROR(+IF(CL$27=ProposalToGnatt[[#This Row],[Start Date]],Milestone_Marker,IF(AND(CL$27&gt;ProposalToGnatt[[#This Row],[Start Date]],CL$27&lt;ProposalToGnatt[[#This Row],[Start Date]]+ProposalToGnatt[[#This Row],[Days]]),$G$5,"")),"")</f>
        <v/>
      </c>
      <c r="CM73" s="36" t="str">
        <f ca="1">IFERROR(+IF(CM$27=ProposalToGnatt[[#This Row],[Start Date]],Milestone_Marker,IF(AND(CM$27&gt;ProposalToGnatt[[#This Row],[Start Date]],CM$27&lt;ProposalToGnatt[[#This Row],[Start Date]]+ProposalToGnatt[[#This Row],[Days]]),$G$5,"")),"")</f>
        <v/>
      </c>
      <c r="CN73" s="36" t="str">
        <f ca="1">IFERROR(+IF(CN$27=ProposalToGnatt[[#This Row],[Start Date]],Milestone_Marker,IF(AND(CN$27&gt;ProposalToGnatt[[#This Row],[Start Date]],CN$27&lt;ProposalToGnatt[[#This Row],[Start Date]]+ProposalToGnatt[[#This Row],[Days]]),$G$5,"")),"")</f>
        <v/>
      </c>
      <c r="CO73" s="36" t="str">
        <f ca="1">IFERROR(+IF(CO$27=ProposalToGnatt[[#This Row],[Start Date]],Milestone_Marker,IF(AND(CO$27&gt;ProposalToGnatt[[#This Row],[Start Date]],CO$27&lt;ProposalToGnatt[[#This Row],[Start Date]]+ProposalToGnatt[[#This Row],[Days]]),$G$5,"")),"")</f>
        <v/>
      </c>
      <c r="CP73" s="36" t="str">
        <f ca="1">IFERROR(+IF(CP$27=ProposalToGnatt[[#This Row],[Start Date]],Milestone_Marker,IF(AND(CP$27&gt;ProposalToGnatt[[#This Row],[Start Date]],CP$27&lt;ProposalToGnatt[[#This Row],[Start Date]]+ProposalToGnatt[[#This Row],[Days]]),$G$5,"")),"")</f>
        <v/>
      </c>
      <c r="CQ73" s="36" t="str">
        <f ca="1">IFERROR(+IF(CQ$27=ProposalToGnatt[[#This Row],[Start Date]],Milestone_Marker,IF(AND(CQ$27&gt;ProposalToGnatt[[#This Row],[Start Date]],CQ$27&lt;ProposalToGnatt[[#This Row],[Start Date]]+ProposalToGnatt[[#This Row],[Days]]),$G$5,"")),"")</f>
        <v/>
      </c>
      <c r="CR73" s="36" t="str">
        <f ca="1">IFERROR(+IF(CR$27=ProposalToGnatt[[#This Row],[Start Date]],Milestone_Marker,IF(AND(CR$27&gt;ProposalToGnatt[[#This Row],[Start Date]],CR$27&lt;ProposalToGnatt[[#This Row],[Start Date]]+ProposalToGnatt[[#This Row],[Days]]),$G$5,"")),"")</f>
        <v/>
      </c>
      <c r="CS73" s="36" t="str">
        <f ca="1">IFERROR(+IF(CS$27=ProposalToGnatt[[#This Row],[Start Date]],Milestone_Marker,IF(AND(CS$27&gt;ProposalToGnatt[[#This Row],[Start Date]],CS$27&lt;ProposalToGnatt[[#This Row],[Start Date]]+ProposalToGnatt[[#This Row],[Days]]),$G$5,"")),"")</f>
        <v/>
      </c>
      <c r="CT73" s="36" t="str">
        <f ca="1">IFERROR(+IF(CT$27=ProposalToGnatt[[#This Row],[Start Date]],Milestone_Marker,IF(AND(CT$27&gt;ProposalToGnatt[[#This Row],[Start Date]],CT$27&lt;ProposalToGnatt[[#This Row],[Start Date]]+ProposalToGnatt[[#This Row],[Days]]),$G$5,"")),"")</f>
        <v/>
      </c>
      <c r="CU73" s="36" t="str">
        <f ca="1">IFERROR(+IF(CU$27=ProposalToGnatt[[#This Row],[Start Date]],Milestone_Marker,IF(AND(CU$27&gt;ProposalToGnatt[[#This Row],[Start Date]],CU$27&lt;ProposalToGnatt[[#This Row],[Start Date]]+ProposalToGnatt[[#This Row],[Days]]),$G$5,"")),"")</f>
        <v/>
      </c>
      <c r="CV73" s="36"/>
      <c r="CW73" s="36"/>
      <c r="CX73" s="36"/>
      <c r="CY73" s="36"/>
      <c r="CZ73" s="36"/>
      <c r="DA73" s="36"/>
      <c r="DB73" s="36"/>
      <c r="DC73" s="36"/>
      <c r="DD73" s="36"/>
      <c r="DE73" s="36"/>
      <c r="DF73" s="36"/>
      <c r="DG73" s="36"/>
      <c r="DH73" s="36"/>
      <c r="DI73" s="36"/>
      <c r="DJ73" s="36"/>
      <c r="DK73" s="36"/>
      <c r="DL73" s="36"/>
      <c r="DM73" s="36"/>
      <c r="DN73" s="36"/>
      <c r="DO73" s="36"/>
      <c r="DP73" s="36"/>
      <c r="DQ73" s="36"/>
      <c r="DR73" s="36"/>
      <c r="DS73" s="36"/>
      <c r="DT73" s="36"/>
      <c r="DU73" s="36"/>
    </row>
    <row r="74" spans="1:125" ht="15" x14ac:dyDescent="0.25">
      <c r="A74"/>
      <c r="B74"/>
      <c r="C74"/>
      <c r="D74"/>
      <c r="E74"/>
      <c r="F74"/>
      <c r="G74" s="14"/>
      <c r="H74" s="14"/>
      <c r="I74"/>
      <c r="J74"/>
      <c r="K74" s="246"/>
      <c r="L74"/>
      <c r="M74" s="14"/>
      <c r="N74" s="299"/>
      <c r="O74" s="281"/>
      <c r="P74" s="36" t="str">
        <f ca="1">IFERROR(+IF(P$27=ProposalToGnatt[[#This Row],[Start Date]],Milestone_Marker,IF(AND(P$27&gt;ProposalToGnatt[[#This Row],[Start Date]],P$27&lt;ProposalToGnatt[[#This Row],[Start Date]]+ProposalToGnatt[[#This Row],[Days]]),$G$5,"")),"")</f>
        <v/>
      </c>
      <c r="Q74" s="36" t="str">
        <f ca="1">IFERROR(+IF(Q$27=ProposalToGnatt[[#This Row],[Start Date]],Milestone_Marker,IF(AND(Q$27&gt;ProposalToGnatt[[#This Row],[Start Date]],Q$27&lt;ProposalToGnatt[[#This Row],[Start Date]]+ProposalToGnatt[[#This Row],[Days]]),$G$5,"")),"")</f>
        <v/>
      </c>
      <c r="R74" s="36" t="str">
        <f ca="1">IFERROR(+IF(R$27=ProposalToGnatt[[#This Row],[Start Date]],Milestone_Marker,IF(AND(R$27&gt;ProposalToGnatt[[#This Row],[Start Date]],R$27&lt;ProposalToGnatt[[#This Row],[Start Date]]+ProposalToGnatt[[#This Row],[Days]]),$G$5,"")),"")</f>
        <v/>
      </c>
      <c r="S74" s="36" t="str">
        <f ca="1">IFERROR(+IF(S$27=ProposalToGnatt[[#This Row],[Start Date]],Milestone_Marker,IF(AND(S$27&gt;ProposalToGnatt[[#This Row],[Start Date]],S$27&lt;ProposalToGnatt[[#This Row],[Start Date]]+ProposalToGnatt[[#This Row],[Days]]),$G$5,"")),"")</f>
        <v/>
      </c>
      <c r="T74" s="36" t="str">
        <f ca="1">IFERROR(+IF(T$27=ProposalToGnatt[[#This Row],[Start Date]],Milestone_Marker,IF(AND(T$27&gt;ProposalToGnatt[[#This Row],[Start Date]],T$27&lt;ProposalToGnatt[[#This Row],[Start Date]]+ProposalToGnatt[[#This Row],[Days]]),$G$5,"")),"")</f>
        <v/>
      </c>
      <c r="U74" s="36" t="str">
        <f ca="1">IFERROR(+IF(U$27=ProposalToGnatt[[#This Row],[Start Date]],Milestone_Marker,IF(AND(U$27&gt;ProposalToGnatt[[#This Row],[Start Date]],U$27&lt;ProposalToGnatt[[#This Row],[Start Date]]+ProposalToGnatt[[#This Row],[Days]]),$G$5,"")),"")</f>
        <v/>
      </c>
      <c r="V74" s="36" t="str">
        <f ca="1">IFERROR(+IF(V$27=ProposalToGnatt[[#This Row],[Start Date]],Milestone_Marker,IF(AND(V$27&gt;ProposalToGnatt[[#This Row],[Start Date]],V$27&lt;ProposalToGnatt[[#This Row],[Start Date]]+ProposalToGnatt[[#This Row],[Days]]),$G$5,"")),"")</f>
        <v/>
      </c>
      <c r="W74" s="36" t="str">
        <f ca="1">IFERROR(+IF(W$27=ProposalToGnatt[[#This Row],[Start Date]],Milestone_Marker,IF(AND(W$27&gt;ProposalToGnatt[[#This Row],[Start Date]],W$27&lt;ProposalToGnatt[[#This Row],[Start Date]]+ProposalToGnatt[[#This Row],[Days]]),$G$5,"")),"")</f>
        <v/>
      </c>
      <c r="X74" s="36" t="str">
        <f ca="1">IFERROR(+IF(X$27=ProposalToGnatt[[#This Row],[Start Date]],Milestone_Marker,IF(AND(X$27&gt;ProposalToGnatt[[#This Row],[Start Date]],X$27&lt;ProposalToGnatt[[#This Row],[Start Date]]+ProposalToGnatt[[#This Row],[Days]]),$G$5,"")),"")</f>
        <v/>
      </c>
      <c r="Y74" s="36" t="str">
        <f ca="1">IFERROR(+IF(Y$27=ProposalToGnatt[[#This Row],[Start Date]],Milestone_Marker,IF(AND(Y$27&gt;ProposalToGnatt[[#This Row],[Start Date]],Y$27&lt;ProposalToGnatt[[#This Row],[Start Date]]+ProposalToGnatt[[#This Row],[Days]]),$G$5,"")),"")</f>
        <v/>
      </c>
      <c r="Z74" s="36" t="str">
        <f ca="1">IFERROR(+IF(Z$27=ProposalToGnatt[[#This Row],[Start Date]],Milestone_Marker,IF(AND(Z$27&gt;ProposalToGnatt[[#This Row],[Start Date]],Z$27&lt;ProposalToGnatt[[#This Row],[Start Date]]+ProposalToGnatt[[#This Row],[Days]]),$G$5,"")),"")</f>
        <v/>
      </c>
      <c r="AA74" s="36" t="str">
        <f ca="1">IFERROR(+IF(AA$27=ProposalToGnatt[[#This Row],[Start Date]],Milestone_Marker,IF(AND(AA$27&gt;ProposalToGnatt[[#This Row],[Start Date]],AA$27&lt;ProposalToGnatt[[#This Row],[Start Date]]+ProposalToGnatt[[#This Row],[Days]]),$G$5,"")),"")</f>
        <v/>
      </c>
      <c r="AB74" s="36" t="str">
        <f ca="1">IFERROR(+IF(AB$27=ProposalToGnatt[[#This Row],[Start Date]],Milestone_Marker,IF(AND(AB$27&gt;ProposalToGnatt[[#This Row],[Start Date]],AB$27&lt;ProposalToGnatt[[#This Row],[Start Date]]+ProposalToGnatt[[#This Row],[Days]]),$G$5,"")),"")</f>
        <v/>
      </c>
      <c r="AC74" s="36" t="str">
        <f ca="1">IFERROR(+IF(AC$27=ProposalToGnatt[[#This Row],[Start Date]],Milestone_Marker,IF(AND(AC$27&gt;ProposalToGnatt[[#This Row],[Start Date]],AC$27&lt;ProposalToGnatt[[#This Row],[Start Date]]+ProposalToGnatt[[#This Row],[Days]]),$G$5,"")),"")</f>
        <v/>
      </c>
      <c r="AD74" s="36" t="str">
        <f ca="1">IFERROR(+IF(AD$27=ProposalToGnatt[[#This Row],[Start Date]],Milestone_Marker,IF(AND(AD$27&gt;ProposalToGnatt[[#This Row],[Start Date]],AD$27&lt;ProposalToGnatt[[#This Row],[Start Date]]+ProposalToGnatt[[#This Row],[Days]]),$G$5,"")),"")</f>
        <v/>
      </c>
      <c r="AE74" s="36" t="str">
        <f ca="1">IFERROR(+IF(AE$27=ProposalToGnatt[[#This Row],[Start Date]],Milestone_Marker,IF(AND(AE$27&gt;ProposalToGnatt[[#This Row],[Start Date]],AE$27&lt;ProposalToGnatt[[#This Row],[Start Date]]+ProposalToGnatt[[#This Row],[Days]]),$G$5,"")),"")</f>
        <v/>
      </c>
      <c r="AF74" s="36" t="str">
        <f ca="1">IFERROR(+IF(AF$27=ProposalToGnatt[[#This Row],[Start Date]],Milestone_Marker,IF(AND(AF$27&gt;ProposalToGnatt[[#This Row],[Start Date]],AF$27&lt;ProposalToGnatt[[#This Row],[Start Date]]+ProposalToGnatt[[#This Row],[Days]]),$G$5,"")),"")</f>
        <v/>
      </c>
      <c r="AG74" s="36" t="str">
        <f ca="1">IFERROR(+IF(AG$27=ProposalToGnatt[[#This Row],[Start Date]],Milestone_Marker,IF(AND(AG$27&gt;ProposalToGnatt[[#This Row],[Start Date]],AG$27&lt;ProposalToGnatt[[#This Row],[Start Date]]+ProposalToGnatt[[#This Row],[Days]]),$G$5,"")),"")</f>
        <v/>
      </c>
      <c r="AH74" s="36" t="str">
        <f ca="1">IFERROR(+IF(AH$27=ProposalToGnatt[[#This Row],[Start Date]],Milestone_Marker,IF(AND(AH$27&gt;ProposalToGnatt[[#This Row],[Start Date]],AH$27&lt;ProposalToGnatt[[#This Row],[Start Date]]+ProposalToGnatt[[#This Row],[Days]]),$G$5,"")),"")</f>
        <v/>
      </c>
      <c r="AI74" s="36" t="str">
        <f ca="1">IFERROR(+IF(AI$27=ProposalToGnatt[[#This Row],[Start Date]],Milestone_Marker,IF(AND(AI$27&gt;ProposalToGnatt[[#This Row],[Start Date]],AI$27&lt;ProposalToGnatt[[#This Row],[Start Date]]+ProposalToGnatt[[#This Row],[Days]]),$G$5,"")),"")</f>
        <v/>
      </c>
      <c r="AJ74" s="36" t="str">
        <f ca="1">IFERROR(+IF(AJ$27=ProposalToGnatt[[#This Row],[Start Date]],Milestone_Marker,IF(AND(AJ$27&gt;ProposalToGnatt[[#This Row],[Start Date]],AJ$27&lt;ProposalToGnatt[[#This Row],[Start Date]]+ProposalToGnatt[[#This Row],[Days]]),$G$5,"")),"")</f>
        <v/>
      </c>
      <c r="AK74" s="36" t="str">
        <f ca="1">IFERROR(+IF(AK$27=ProposalToGnatt[[#This Row],[Start Date]],Milestone_Marker,IF(AND(AK$27&gt;ProposalToGnatt[[#This Row],[Start Date]],AK$27&lt;ProposalToGnatt[[#This Row],[Start Date]]+ProposalToGnatt[[#This Row],[Days]]),$G$5,"")),"")</f>
        <v/>
      </c>
      <c r="AL74" s="36" t="str">
        <f ca="1">IFERROR(+IF(AL$27=ProposalToGnatt[[#This Row],[Start Date]],Milestone_Marker,IF(AND(AL$27&gt;ProposalToGnatt[[#This Row],[Start Date]],AL$27&lt;ProposalToGnatt[[#This Row],[Start Date]]+ProposalToGnatt[[#This Row],[Days]]),$G$5,"")),"")</f>
        <v/>
      </c>
      <c r="AM74" s="36" t="str">
        <f ca="1">IFERROR(+IF(AM$27=ProposalToGnatt[[#This Row],[Start Date]],Milestone_Marker,IF(AND(AM$27&gt;ProposalToGnatt[[#This Row],[Start Date]],AM$27&lt;ProposalToGnatt[[#This Row],[Start Date]]+ProposalToGnatt[[#This Row],[Days]]),$G$5,"")),"")</f>
        <v/>
      </c>
      <c r="AN74" s="36" t="str">
        <f ca="1">IFERROR(+IF(AN$27=ProposalToGnatt[[#This Row],[Start Date]],Milestone_Marker,IF(AND(AN$27&gt;ProposalToGnatt[[#This Row],[Start Date]],AN$27&lt;ProposalToGnatt[[#This Row],[Start Date]]+ProposalToGnatt[[#This Row],[Days]]),$G$5,"")),"")</f>
        <v/>
      </c>
      <c r="AO74" s="36" t="str">
        <f ca="1">IFERROR(+IF(AO$27=ProposalToGnatt[[#This Row],[Start Date]],Milestone_Marker,IF(AND(AO$27&gt;ProposalToGnatt[[#This Row],[Start Date]],AO$27&lt;ProposalToGnatt[[#This Row],[Start Date]]+ProposalToGnatt[[#This Row],[Days]]),$G$5,"")),"")</f>
        <v/>
      </c>
      <c r="AP74" s="36" t="str">
        <f ca="1">IFERROR(+IF(AP$27=ProposalToGnatt[[#This Row],[Start Date]],Milestone_Marker,IF(AND(AP$27&gt;ProposalToGnatt[[#This Row],[Start Date]],AP$27&lt;ProposalToGnatt[[#This Row],[Start Date]]+ProposalToGnatt[[#This Row],[Days]]),$G$5,"")),"")</f>
        <v/>
      </c>
      <c r="AQ74" s="36" t="str">
        <f ca="1">IFERROR(+IF(AQ$27=ProposalToGnatt[[#This Row],[Start Date]],Milestone_Marker,IF(AND(AQ$27&gt;ProposalToGnatt[[#This Row],[Start Date]],AQ$27&lt;ProposalToGnatt[[#This Row],[Start Date]]+ProposalToGnatt[[#This Row],[Days]]),$G$5,"")),"")</f>
        <v/>
      </c>
      <c r="AR74" s="36" t="str">
        <f ca="1">IFERROR(+IF(AR$27=ProposalToGnatt[[#This Row],[Start Date]],Milestone_Marker,IF(AND(AR$27&gt;ProposalToGnatt[[#This Row],[Start Date]],AR$27&lt;ProposalToGnatt[[#This Row],[Start Date]]+ProposalToGnatt[[#This Row],[Days]]),$G$5,"")),"")</f>
        <v/>
      </c>
      <c r="AS74" s="36" t="str">
        <f ca="1">IFERROR(+IF(AS$27=ProposalToGnatt[[#This Row],[Start Date]],Milestone_Marker,IF(AND(AS$27&gt;ProposalToGnatt[[#This Row],[Start Date]],AS$27&lt;ProposalToGnatt[[#This Row],[Start Date]]+ProposalToGnatt[[#This Row],[Days]]),$G$5,"")),"")</f>
        <v/>
      </c>
      <c r="AT74" s="36" t="str">
        <f ca="1">IFERROR(+IF(AT$27=ProposalToGnatt[[#This Row],[Start Date]],Milestone_Marker,IF(AND(AT$27&gt;ProposalToGnatt[[#This Row],[Start Date]],AT$27&lt;ProposalToGnatt[[#This Row],[Start Date]]+ProposalToGnatt[[#This Row],[Days]]),$G$5,"")),"")</f>
        <v/>
      </c>
      <c r="AU74" s="36" t="str">
        <f ca="1">IFERROR(+IF(AU$27=ProposalToGnatt[[#This Row],[Start Date]],Milestone_Marker,IF(AND(AU$27&gt;ProposalToGnatt[[#This Row],[Start Date]],AU$27&lt;ProposalToGnatt[[#This Row],[Start Date]]+ProposalToGnatt[[#This Row],[Days]]),$G$5,"")),"")</f>
        <v/>
      </c>
      <c r="AV74" s="36" t="str">
        <f ca="1">IFERROR(+IF(AV$27=ProposalToGnatt[[#This Row],[Start Date]],Milestone_Marker,IF(AND(AV$27&gt;ProposalToGnatt[[#This Row],[Start Date]],AV$27&lt;ProposalToGnatt[[#This Row],[Start Date]]+ProposalToGnatt[[#This Row],[Days]]),$G$5,"")),"")</f>
        <v/>
      </c>
      <c r="AW74" s="36" t="str">
        <f ca="1">IFERROR(+IF(AW$27=ProposalToGnatt[[#This Row],[Start Date]],Milestone_Marker,IF(AND(AW$27&gt;ProposalToGnatt[[#This Row],[Start Date]],AW$27&lt;ProposalToGnatt[[#This Row],[Start Date]]+ProposalToGnatt[[#This Row],[Days]]),$G$5,"")),"")</f>
        <v/>
      </c>
      <c r="AX74" s="36" t="str">
        <f ca="1">IFERROR(+IF(AX$27=ProposalToGnatt[[#This Row],[Start Date]],Milestone_Marker,IF(AND(AX$27&gt;ProposalToGnatt[[#This Row],[Start Date]],AX$27&lt;ProposalToGnatt[[#This Row],[Start Date]]+ProposalToGnatt[[#This Row],[Days]]),$G$5,"")),"")</f>
        <v/>
      </c>
      <c r="AY74" s="36" t="str">
        <f ca="1">IFERROR(+IF(AY$27=ProposalToGnatt[[#This Row],[Start Date]],Milestone_Marker,IF(AND(AY$27&gt;ProposalToGnatt[[#This Row],[Start Date]],AY$27&lt;ProposalToGnatt[[#This Row],[Start Date]]+ProposalToGnatt[[#This Row],[Days]]),$G$5,"")),"")</f>
        <v/>
      </c>
      <c r="AZ74" s="36" t="str">
        <f ca="1">IFERROR(+IF(AZ$27=ProposalToGnatt[[#This Row],[Start Date]],Milestone_Marker,IF(AND(AZ$27&gt;ProposalToGnatt[[#This Row],[Start Date]],AZ$27&lt;ProposalToGnatt[[#This Row],[Start Date]]+ProposalToGnatt[[#This Row],[Days]]),$G$5,"")),"")</f>
        <v/>
      </c>
      <c r="BA74" s="36" t="str">
        <f ca="1">IFERROR(+IF(BA$27=ProposalToGnatt[[#This Row],[Start Date]],Milestone_Marker,IF(AND(BA$27&gt;ProposalToGnatt[[#This Row],[Start Date]],BA$27&lt;ProposalToGnatt[[#This Row],[Start Date]]+ProposalToGnatt[[#This Row],[Days]]),$G$5,"")),"")</f>
        <v/>
      </c>
      <c r="BB74" s="36" t="str">
        <f ca="1">IFERROR(+IF(BB$27=ProposalToGnatt[[#This Row],[Start Date]],Milestone_Marker,IF(AND(BB$27&gt;ProposalToGnatt[[#This Row],[Start Date]],BB$27&lt;ProposalToGnatt[[#This Row],[Start Date]]+ProposalToGnatt[[#This Row],[Days]]),$G$5,"")),"")</f>
        <v/>
      </c>
      <c r="BC74" s="36" t="str">
        <f ca="1">IFERROR(+IF(BC$27=ProposalToGnatt[[#This Row],[Start Date]],Milestone_Marker,IF(AND(BC$27&gt;ProposalToGnatt[[#This Row],[Start Date]],BC$27&lt;ProposalToGnatt[[#This Row],[Start Date]]+ProposalToGnatt[[#This Row],[Days]]),$G$5,"")),"")</f>
        <v/>
      </c>
      <c r="BD74" s="36" t="str">
        <f ca="1">IFERROR(+IF(BD$27=ProposalToGnatt[[#This Row],[Start Date]],Milestone_Marker,IF(AND(BD$27&gt;ProposalToGnatt[[#This Row],[Start Date]],BD$27&lt;ProposalToGnatt[[#This Row],[Start Date]]+ProposalToGnatt[[#This Row],[Days]]),$G$5,"")),"")</f>
        <v/>
      </c>
      <c r="BE74" s="36" t="str">
        <f ca="1">IFERROR(+IF(BE$27=ProposalToGnatt[[#This Row],[Start Date]],Milestone_Marker,IF(AND(BE$27&gt;ProposalToGnatt[[#This Row],[Start Date]],BE$27&lt;ProposalToGnatt[[#This Row],[Start Date]]+ProposalToGnatt[[#This Row],[Days]]),$G$5,"")),"")</f>
        <v/>
      </c>
      <c r="BF74" s="36" t="str">
        <f ca="1">IFERROR(+IF(BF$27=ProposalToGnatt[[#This Row],[Start Date]],Milestone_Marker,IF(AND(BF$27&gt;ProposalToGnatt[[#This Row],[Start Date]],BF$27&lt;ProposalToGnatt[[#This Row],[Start Date]]+ProposalToGnatt[[#This Row],[Days]]),$G$5,"")),"")</f>
        <v/>
      </c>
      <c r="BG74" s="36" t="str">
        <f ca="1">IFERROR(+IF(BG$27=ProposalToGnatt[[#This Row],[Start Date]],Milestone_Marker,IF(AND(BG$27&gt;ProposalToGnatt[[#This Row],[Start Date]],BG$27&lt;ProposalToGnatt[[#This Row],[Start Date]]+ProposalToGnatt[[#This Row],[Days]]),$G$5,"")),"")</f>
        <v/>
      </c>
      <c r="BH74" s="36" t="str">
        <f ca="1">IFERROR(+IF(BH$27=ProposalToGnatt[[#This Row],[Start Date]],Milestone_Marker,IF(AND(BH$27&gt;ProposalToGnatt[[#This Row],[Start Date]],BH$27&lt;ProposalToGnatt[[#This Row],[Start Date]]+ProposalToGnatt[[#This Row],[Days]]),$G$5,"")),"")</f>
        <v/>
      </c>
      <c r="BI74" s="36" t="str">
        <f ca="1">IFERROR(+IF(BI$27=ProposalToGnatt[[#This Row],[Start Date]],Milestone_Marker,IF(AND(BI$27&gt;ProposalToGnatt[[#This Row],[Start Date]],BI$27&lt;ProposalToGnatt[[#This Row],[Start Date]]+ProposalToGnatt[[#This Row],[Days]]),$G$5,"")),"")</f>
        <v/>
      </c>
      <c r="BJ74" s="36" t="str">
        <f ca="1">IFERROR(+IF(BJ$27=ProposalToGnatt[[#This Row],[Start Date]],Milestone_Marker,IF(AND(BJ$27&gt;ProposalToGnatt[[#This Row],[Start Date]],BJ$27&lt;ProposalToGnatt[[#This Row],[Start Date]]+ProposalToGnatt[[#This Row],[Days]]),$G$5,"")),"")</f>
        <v/>
      </c>
      <c r="BK74" s="36" t="str">
        <f ca="1">IFERROR(+IF(BK$27=ProposalToGnatt[[#This Row],[Start Date]],Milestone_Marker,IF(AND(BK$27&gt;ProposalToGnatt[[#This Row],[Start Date]],BK$27&lt;ProposalToGnatt[[#This Row],[Start Date]]+ProposalToGnatt[[#This Row],[Days]]),$G$5,"")),"")</f>
        <v/>
      </c>
      <c r="BL74" s="36" t="str">
        <f ca="1">IFERROR(+IF(BL$27=ProposalToGnatt[[#This Row],[Start Date]],Milestone_Marker,IF(AND(BL$27&gt;ProposalToGnatt[[#This Row],[Start Date]],BL$27&lt;ProposalToGnatt[[#This Row],[Start Date]]+ProposalToGnatt[[#This Row],[Days]]),$G$5,"")),"")</f>
        <v/>
      </c>
      <c r="BM74" s="36" t="str">
        <f ca="1">IFERROR(+IF(BM$27=ProposalToGnatt[[#This Row],[Start Date]],Milestone_Marker,IF(AND(BM$27&gt;ProposalToGnatt[[#This Row],[Start Date]],BM$27&lt;ProposalToGnatt[[#This Row],[Start Date]]+ProposalToGnatt[[#This Row],[Days]]),$G$5,"")),"")</f>
        <v/>
      </c>
      <c r="BN74" s="36" t="str">
        <f ca="1">IFERROR(+IF(BN$27=ProposalToGnatt[[#This Row],[Start Date]],Milestone_Marker,IF(AND(BN$27&gt;ProposalToGnatt[[#This Row],[Start Date]],BN$27&lt;ProposalToGnatt[[#This Row],[Start Date]]+ProposalToGnatt[[#This Row],[Days]]),$G$5,"")),"")</f>
        <v/>
      </c>
      <c r="BO74" s="36" t="str">
        <f ca="1">IFERROR(+IF(BO$27=ProposalToGnatt[[#This Row],[Start Date]],Milestone_Marker,IF(AND(BO$27&gt;ProposalToGnatt[[#This Row],[Start Date]],BO$27&lt;ProposalToGnatt[[#This Row],[Start Date]]+ProposalToGnatt[[#This Row],[Days]]),$G$5,"")),"")</f>
        <v/>
      </c>
      <c r="BP74" s="36" t="str">
        <f ca="1">IFERROR(+IF(BP$27=ProposalToGnatt[[#This Row],[Start Date]],Milestone_Marker,IF(AND(BP$27&gt;ProposalToGnatt[[#This Row],[Start Date]],BP$27&lt;ProposalToGnatt[[#This Row],[Start Date]]+ProposalToGnatt[[#This Row],[Days]]),$G$5,"")),"")</f>
        <v/>
      </c>
      <c r="BQ74" s="36" t="str">
        <f ca="1">IFERROR(+IF(BQ$27=ProposalToGnatt[[#This Row],[Start Date]],Milestone_Marker,IF(AND(BQ$27&gt;ProposalToGnatt[[#This Row],[Start Date]],BQ$27&lt;ProposalToGnatt[[#This Row],[Start Date]]+ProposalToGnatt[[#This Row],[Days]]),$G$5,"")),"")</f>
        <v/>
      </c>
      <c r="BR74" s="36" t="str">
        <f ca="1">IFERROR(+IF(BR$27=ProposalToGnatt[[#This Row],[Start Date]],Milestone_Marker,IF(AND(BR$27&gt;ProposalToGnatt[[#This Row],[Start Date]],BR$27&lt;ProposalToGnatt[[#This Row],[Start Date]]+ProposalToGnatt[[#This Row],[Days]]),$G$5,"")),"")</f>
        <v/>
      </c>
      <c r="BS74" s="36" t="str">
        <f ca="1">IFERROR(+IF(BS$27=ProposalToGnatt[[#This Row],[Start Date]],Milestone_Marker,IF(AND(BS$27&gt;ProposalToGnatt[[#This Row],[Start Date]],BS$27&lt;ProposalToGnatt[[#This Row],[Start Date]]+ProposalToGnatt[[#This Row],[Days]]),$G$5,"")),"")</f>
        <v/>
      </c>
      <c r="BT74" s="36" t="str">
        <f ca="1">IFERROR(+IF(BT$27=ProposalToGnatt[[#This Row],[Start Date]],Milestone_Marker,IF(AND(BT$27&gt;ProposalToGnatt[[#This Row],[Start Date]],BT$27&lt;ProposalToGnatt[[#This Row],[Start Date]]+ProposalToGnatt[[#This Row],[Days]]),$G$5,"")),"")</f>
        <v/>
      </c>
      <c r="BU74" s="36" t="str">
        <f ca="1">IFERROR(+IF(BU$27=ProposalToGnatt[[#This Row],[Start Date]],Milestone_Marker,IF(AND(BU$27&gt;ProposalToGnatt[[#This Row],[Start Date]],BU$27&lt;ProposalToGnatt[[#This Row],[Start Date]]+ProposalToGnatt[[#This Row],[Days]]),$G$5,"")),"")</f>
        <v/>
      </c>
      <c r="BV74" s="36" t="str">
        <f ca="1">IFERROR(+IF(BV$27=ProposalToGnatt[[#This Row],[Start Date]],Milestone_Marker,IF(AND(BV$27&gt;ProposalToGnatt[[#This Row],[Start Date]],BV$27&lt;ProposalToGnatt[[#This Row],[Start Date]]+ProposalToGnatt[[#This Row],[Days]]),$G$5,"")),"")</f>
        <v/>
      </c>
      <c r="BW74" s="36" t="str">
        <f ca="1">IFERROR(+IF(BW$27=ProposalToGnatt[[#This Row],[Start Date]],Milestone_Marker,IF(AND(BW$27&gt;ProposalToGnatt[[#This Row],[Start Date]],BW$27&lt;ProposalToGnatt[[#This Row],[Start Date]]+ProposalToGnatt[[#This Row],[Days]]),$G$5,"")),"")</f>
        <v/>
      </c>
      <c r="BX74" s="36" t="str">
        <f ca="1">IFERROR(+IF(BX$27=ProposalToGnatt[[#This Row],[Start Date]],Milestone_Marker,IF(AND(BX$27&gt;ProposalToGnatt[[#This Row],[Start Date]],BX$27&lt;ProposalToGnatt[[#This Row],[Start Date]]+ProposalToGnatt[[#This Row],[Days]]),$G$5,"")),"")</f>
        <v/>
      </c>
      <c r="BY74" s="36" t="str">
        <f ca="1">IFERROR(+IF(BY$27=ProposalToGnatt[[#This Row],[Start Date]],Milestone_Marker,IF(AND(BY$27&gt;ProposalToGnatt[[#This Row],[Start Date]],BY$27&lt;ProposalToGnatt[[#This Row],[Start Date]]+ProposalToGnatt[[#This Row],[Days]]),$G$5,"")),"")</f>
        <v/>
      </c>
      <c r="BZ74" s="36" t="str">
        <f ca="1">IFERROR(+IF(BZ$27=ProposalToGnatt[[#This Row],[Start Date]],Milestone_Marker,IF(AND(BZ$27&gt;ProposalToGnatt[[#This Row],[Start Date]],BZ$27&lt;ProposalToGnatt[[#This Row],[Start Date]]+ProposalToGnatt[[#This Row],[Days]]),$G$5,"")),"")</f>
        <v/>
      </c>
      <c r="CA74" s="36" t="str">
        <f ca="1">IFERROR(+IF(CA$27=ProposalToGnatt[[#This Row],[Start Date]],Milestone_Marker,IF(AND(CA$27&gt;ProposalToGnatt[[#This Row],[Start Date]],CA$27&lt;ProposalToGnatt[[#This Row],[Start Date]]+ProposalToGnatt[[#This Row],[Days]]),$G$5,"")),"")</f>
        <v/>
      </c>
      <c r="CB74" s="36" t="str">
        <f ca="1">IFERROR(+IF(CB$27=ProposalToGnatt[[#This Row],[Start Date]],Milestone_Marker,IF(AND(CB$27&gt;ProposalToGnatt[[#This Row],[Start Date]],CB$27&lt;ProposalToGnatt[[#This Row],[Start Date]]+ProposalToGnatt[[#This Row],[Days]]),$G$5,"")),"")</f>
        <v/>
      </c>
      <c r="CC74" s="36" t="str">
        <f ca="1">IFERROR(+IF(CC$27=ProposalToGnatt[[#This Row],[Start Date]],Milestone_Marker,IF(AND(CC$27&gt;ProposalToGnatt[[#This Row],[Start Date]],CC$27&lt;ProposalToGnatt[[#This Row],[Start Date]]+ProposalToGnatt[[#This Row],[Days]]),$G$5,"")),"")</f>
        <v/>
      </c>
      <c r="CD74" s="36" t="str">
        <f ca="1">IFERROR(+IF(CD$27=ProposalToGnatt[[#This Row],[Start Date]],Milestone_Marker,IF(AND(CD$27&gt;ProposalToGnatt[[#This Row],[Start Date]],CD$27&lt;ProposalToGnatt[[#This Row],[Start Date]]+ProposalToGnatt[[#This Row],[Days]]),$G$5,"")),"")</f>
        <v/>
      </c>
      <c r="CE74" s="36" t="str">
        <f ca="1">IFERROR(+IF(CE$27=ProposalToGnatt[[#This Row],[Start Date]],Milestone_Marker,IF(AND(CE$27&gt;ProposalToGnatt[[#This Row],[Start Date]],CE$27&lt;ProposalToGnatt[[#This Row],[Start Date]]+ProposalToGnatt[[#This Row],[Days]]),$G$5,"")),"")</f>
        <v/>
      </c>
      <c r="CF74" s="36" t="str">
        <f ca="1">IFERROR(+IF(CF$27=ProposalToGnatt[[#This Row],[Start Date]],Milestone_Marker,IF(AND(CF$27&gt;ProposalToGnatt[[#This Row],[Start Date]],CF$27&lt;ProposalToGnatt[[#This Row],[Start Date]]+ProposalToGnatt[[#This Row],[Days]]),$G$5,"")),"")</f>
        <v/>
      </c>
      <c r="CG74" s="36" t="str">
        <f ca="1">IFERROR(+IF(CG$27=ProposalToGnatt[[#This Row],[Start Date]],Milestone_Marker,IF(AND(CG$27&gt;ProposalToGnatt[[#This Row],[Start Date]],CG$27&lt;ProposalToGnatt[[#This Row],[Start Date]]+ProposalToGnatt[[#This Row],[Days]]),$G$5,"")),"")</f>
        <v/>
      </c>
      <c r="CH74" s="36" t="str">
        <f ca="1">IFERROR(+IF(CH$27=ProposalToGnatt[[#This Row],[Start Date]],Milestone_Marker,IF(AND(CH$27&gt;ProposalToGnatt[[#This Row],[Start Date]],CH$27&lt;ProposalToGnatt[[#This Row],[Start Date]]+ProposalToGnatt[[#This Row],[Days]]),$G$5,"")),"")</f>
        <v/>
      </c>
      <c r="CI74" s="36" t="str">
        <f ca="1">IFERROR(+IF(CI$27=ProposalToGnatt[[#This Row],[Start Date]],Milestone_Marker,IF(AND(CI$27&gt;ProposalToGnatt[[#This Row],[Start Date]],CI$27&lt;ProposalToGnatt[[#This Row],[Start Date]]+ProposalToGnatt[[#This Row],[Days]]),$G$5,"")),"")</f>
        <v/>
      </c>
      <c r="CJ74" s="36" t="str">
        <f ca="1">IFERROR(+IF(CJ$27=ProposalToGnatt[[#This Row],[Start Date]],Milestone_Marker,IF(AND(CJ$27&gt;ProposalToGnatt[[#This Row],[Start Date]],CJ$27&lt;ProposalToGnatt[[#This Row],[Start Date]]+ProposalToGnatt[[#This Row],[Days]]),$G$5,"")),"")</f>
        <v/>
      </c>
      <c r="CK74" s="36" t="str">
        <f ca="1">IFERROR(+IF(CK$27=ProposalToGnatt[[#This Row],[Start Date]],Milestone_Marker,IF(AND(CK$27&gt;ProposalToGnatt[[#This Row],[Start Date]],CK$27&lt;ProposalToGnatt[[#This Row],[Start Date]]+ProposalToGnatt[[#This Row],[Days]]),$G$5,"")),"")</f>
        <v/>
      </c>
      <c r="CL74" s="36" t="str">
        <f ca="1">IFERROR(+IF(CL$27=ProposalToGnatt[[#This Row],[Start Date]],Milestone_Marker,IF(AND(CL$27&gt;ProposalToGnatt[[#This Row],[Start Date]],CL$27&lt;ProposalToGnatt[[#This Row],[Start Date]]+ProposalToGnatt[[#This Row],[Days]]),$G$5,"")),"")</f>
        <v/>
      </c>
      <c r="CM74" s="36" t="str">
        <f ca="1">IFERROR(+IF(CM$27=ProposalToGnatt[[#This Row],[Start Date]],Milestone_Marker,IF(AND(CM$27&gt;ProposalToGnatt[[#This Row],[Start Date]],CM$27&lt;ProposalToGnatt[[#This Row],[Start Date]]+ProposalToGnatt[[#This Row],[Days]]),$G$5,"")),"")</f>
        <v/>
      </c>
      <c r="CN74" s="36" t="str">
        <f ca="1">IFERROR(+IF(CN$27=ProposalToGnatt[[#This Row],[Start Date]],Milestone_Marker,IF(AND(CN$27&gt;ProposalToGnatt[[#This Row],[Start Date]],CN$27&lt;ProposalToGnatt[[#This Row],[Start Date]]+ProposalToGnatt[[#This Row],[Days]]),$G$5,"")),"")</f>
        <v/>
      </c>
      <c r="CO74" s="36" t="str">
        <f ca="1">IFERROR(+IF(CO$27=ProposalToGnatt[[#This Row],[Start Date]],Milestone_Marker,IF(AND(CO$27&gt;ProposalToGnatt[[#This Row],[Start Date]],CO$27&lt;ProposalToGnatt[[#This Row],[Start Date]]+ProposalToGnatt[[#This Row],[Days]]),$G$5,"")),"")</f>
        <v/>
      </c>
      <c r="CP74" s="36" t="str">
        <f ca="1">IFERROR(+IF(CP$27=ProposalToGnatt[[#This Row],[Start Date]],Milestone_Marker,IF(AND(CP$27&gt;ProposalToGnatt[[#This Row],[Start Date]],CP$27&lt;ProposalToGnatt[[#This Row],[Start Date]]+ProposalToGnatt[[#This Row],[Days]]),$G$5,"")),"")</f>
        <v/>
      </c>
      <c r="CQ74" s="36" t="str">
        <f ca="1">IFERROR(+IF(CQ$27=ProposalToGnatt[[#This Row],[Start Date]],Milestone_Marker,IF(AND(CQ$27&gt;ProposalToGnatt[[#This Row],[Start Date]],CQ$27&lt;ProposalToGnatt[[#This Row],[Start Date]]+ProposalToGnatt[[#This Row],[Days]]),$G$5,"")),"")</f>
        <v/>
      </c>
      <c r="CR74" s="36" t="str">
        <f ca="1">IFERROR(+IF(CR$27=ProposalToGnatt[[#This Row],[Start Date]],Milestone_Marker,IF(AND(CR$27&gt;ProposalToGnatt[[#This Row],[Start Date]],CR$27&lt;ProposalToGnatt[[#This Row],[Start Date]]+ProposalToGnatt[[#This Row],[Days]]),$G$5,"")),"")</f>
        <v/>
      </c>
      <c r="CS74" s="36" t="str">
        <f ca="1">IFERROR(+IF(CS$27=ProposalToGnatt[[#This Row],[Start Date]],Milestone_Marker,IF(AND(CS$27&gt;ProposalToGnatt[[#This Row],[Start Date]],CS$27&lt;ProposalToGnatt[[#This Row],[Start Date]]+ProposalToGnatt[[#This Row],[Days]]),$G$5,"")),"")</f>
        <v/>
      </c>
      <c r="CT74" s="36" t="str">
        <f ca="1">IFERROR(+IF(CT$27=ProposalToGnatt[[#This Row],[Start Date]],Milestone_Marker,IF(AND(CT$27&gt;ProposalToGnatt[[#This Row],[Start Date]],CT$27&lt;ProposalToGnatt[[#This Row],[Start Date]]+ProposalToGnatt[[#This Row],[Days]]),$G$5,"")),"")</f>
        <v/>
      </c>
      <c r="CU74" s="36" t="str">
        <f ca="1">IFERROR(+IF(CU$27=ProposalToGnatt[[#This Row],[Start Date]],Milestone_Marker,IF(AND(CU$27&gt;ProposalToGnatt[[#This Row],[Start Date]],CU$27&lt;ProposalToGnatt[[#This Row],[Start Date]]+ProposalToGnatt[[#This Row],[Days]]),$G$5,"")),"")</f>
        <v/>
      </c>
      <c r="CV74" s="36"/>
      <c r="CW74" s="36"/>
      <c r="CX74" s="36"/>
      <c r="CY74" s="36"/>
      <c r="CZ74" s="36"/>
      <c r="DA74" s="36"/>
      <c r="DB74" s="36"/>
      <c r="DC74" s="36"/>
      <c r="DD74" s="36"/>
      <c r="DE74" s="36"/>
      <c r="DF74" s="36"/>
      <c r="DG74" s="36"/>
      <c r="DH74" s="36"/>
      <c r="DI74" s="36"/>
      <c r="DJ74" s="36"/>
      <c r="DK74" s="36"/>
      <c r="DL74" s="36"/>
      <c r="DM74" s="36"/>
      <c r="DN74" s="36"/>
      <c r="DO74" s="36"/>
      <c r="DP74" s="36"/>
      <c r="DQ74" s="36"/>
      <c r="DR74" s="36"/>
      <c r="DS74" s="36"/>
      <c r="DT74" s="36"/>
      <c r="DU74" s="36"/>
    </row>
    <row r="75" spans="1:125" ht="15" x14ac:dyDescent="0.25">
      <c r="A75"/>
      <c r="B75"/>
      <c r="C75"/>
      <c r="D75"/>
      <c r="E75"/>
      <c r="F75"/>
      <c r="G75" s="14"/>
      <c r="H75" s="14"/>
      <c r="I75"/>
      <c r="J75"/>
      <c r="K75" s="246"/>
      <c r="L75"/>
      <c r="M75" s="14"/>
      <c r="N75" s="299"/>
      <c r="O75" s="281"/>
      <c r="P75" s="36" t="str">
        <f ca="1">IFERROR(+IF(P$27=ProposalToGnatt[[#This Row],[Start Date]],Milestone_Marker,IF(AND(P$27&gt;ProposalToGnatt[[#This Row],[Start Date]],P$27&lt;ProposalToGnatt[[#This Row],[Start Date]]+ProposalToGnatt[[#This Row],[Days]]),$G$5,"")),"")</f>
        <v/>
      </c>
      <c r="Q75" s="36" t="str">
        <f ca="1">IFERROR(+IF(Q$27=ProposalToGnatt[[#This Row],[Start Date]],Milestone_Marker,IF(AND(Q$27&gt;ProposalToGnatt[[#This Row],[Start Date]],Q$27&lt;ProposalToGnatt[[#This Row],[Start Date]]+ProposalToGnatt[[#This Row],[Days]]),$G$5,"")),"")</f>
        <v/>
      </c>
      <c r="R75" s="36" t="str">
        <f ca="1">IFERROR(+IF(R$27=ProposalToGnatt[[#This Row],[Start Date]],Milestone_Marker,IF(AND(R$27&gt;ProposalToGnatt[[#This Row],[Start Date]],R$27&lt;ProposalToGnatt[[#This Row],[Start Date]]+ProposalToGnatt[[#This Row],[Days]]),$G$5,"")),"")</f>
        <v/>
      </c>
      <c r="S75" s="36" t="str">
        <f ca="1">IFERROR(+IF(S$27=ProposalToGnatt[[#This Row],[Start Date]],Milestone_Marker,IF(AND(S$27&gt;ProposalToGnatt[[#This Row],[Start Date]],S$27&lt;ProposalToGnatt[[#This Row],[Start Date]]+ProposalToGnatt[[#This Row],[Days]]),$G$5,"")),"")</f>
        <v/>
      </c>
      <c r="T75" s="36" t="str">
        <f ca="1">IFERROR(+IF(T$27=ProposalToGnatt[[#This Row],[Start Date]],Milestone_Marker,IF(AND(T$27&gt;ProposalToGnatt[[#This Row],[Start Date]],T$27&lt;ProposalToGnatt[[#This Row],[Start Date]]+ProposalToGnatt[[#This Row],[Days]]),$G$5,"")),"")</f>
        <v/>
      </c>
      <c r="U75" s="36" t="str">
        <f ca="1">IFERROR(+IF(U$27=ProposalToGnatt[[#This Row],[Start Date]],Milestone_Marker,IF(AND(U$27&gt;ProposalToGnatt[[#This Row],[Start Date]],U$27&lt;ProposalToGnatt[[#This Row],[Start Date]]+ProposalToGnatt[[#This Row],[Days]]),$G$5,"")),"")</f>
        <v/>
      </c>
      <c r="V75" s="36" t="str">
        <f ca="1">IFERROR(+IF(V$27=ProposalToGnatt[[#This Row],[Start Date]],Milestone_Marker,IF(AND(V$27&gt;ProposalToGnatt[[#This Row],[Start Date]],V$27&lt;ProposalToGnatt[[#This Row],[Start Date]]+ProposalToGnatt[[#This Row],[Days]]),$G$5,"")),"")</f>
        <v/>
      </c>
      <c r="W75" s="36" t="str">
        <f ca="1">IFERROR(+IF(W$27=ProposalToGnatt[[#This Row],[Start Date]],Milestone_Marker,IF(AND(W$27&gt;ProposalToGnatt[[#This Row],[Start Date]],W$27&lt;ProposalToGnatt[[#This Row],[Start Date]]+ProposalToGnatt[[#This Row],[Days]]),$G$5,"")),"")</f>
        <v/>
      </c>
      <c r="X75" s="36" t="str">
        <f ca="1">IFERROR(+IF(X$27=ProposalToGnatt[[#This Row],[Start Date]],Milestone_Marker,IF(AND(X$27&gt;ProposalToGnatt[[#This Row],[Start Date]],X$27&lt;ProposalToGnatt[[#This Row],[Start Date]]+ProposalToGnatt[[#This Row],[Days]]),$G$5,"")),"")</f>
        <v/>
      </c>
      <c r="Y75" s="36" t="str">
        <f ca="1">IFERROR(+IF(Y$27=ProposalToGnatt[[#This Row],[Start Date]],Milestone_Marker,IF(AND(Y$27&gt;ProposalToGnatt[[#This Row],[Start Date]],Y$27&lt;ProposalToGnatt[[#This Row],[Start Date]]+ProposalToGnatt[[#This Row],[Days]]),$G$5,"")),"")</f>
        <v/>
      </c>
      <c r="Z75" s="36" t="str">
        <f ca="1">IFERROR(+IF(Z$27=ProposalToGnatt[[#This Row],[Start Date]],Milestone_Marker,IF(AND(Z$27&gt;ProposalToGnatt[[#This Row],[Start Date]],Z$27&lt;ProposalToGnatt[[#This Row],[Start Date]]+ProposalToGnatt[[#This Row],[Days]]),$G$5,"")),"")</f>
        <v/>
      </c>
      <c r="AA75" s="36" t="str">
        <f ca="1">IFERROR(+IF(AA$27=ProposalToGnatt[[#This Row],[Start Date]],Milestone_Marker,IF(AND(AA$27&gt;ProposalToGnatt[[#This Row],[Start Date]],AA$27&lt;ProposalToGnatt[[#This Row],[Start Date]]+ProposalToGnatt[[#This Row],[Days]]),$G$5,"")),"")</f>
        <v/>
      </c>
      <c r="AB75" s="36" t="str">
        <f ca="1">IFERROR(+IF(AB$27=ProposalToGnatt[[#This Row],[Start Date]],Milestone_Marker,IF(AND(AB$27&gt;ProposalToGnatt[[#This Row],[Start Date]],AB$27&lt;ProposalToGnatt[[#This Row],[Start Date]]+ProposalToGnatt[[#This Row],[Days]]),$G$5,"")),"")</f>
        <v/>
      </c>
      <c r="AC75" s="36" t="str">
        <f ca="1">IFERROR(+IF(AC$27=ProposalToGnatt[[#This Row],[Start Date]],Milestone_Marker,IF(AND(AC$27&gt;ProposalToGnatt[[#This Row],[Start Date]],AC$27&lt;ProposalToGnatt[[#This Row],[Start Date]]+ProposalToGnatt[[#This Row],[Days]]),$G$5,"")),"")</f>
        <v/>
      </c>
      <c r="AD75" s="36" t="str">
        <f ca="1">IFERROR(+IF(AD$27=ProposalToGnatt[[#This Row],[Start Date]],Milestone_Marker,IF(AND(AD$27&gt;ProposalToGnatt[[#This Row],[Start Date]],AD$27&lt;ProposalToGnatt[[#This Row],[Start Date]]+ProposalToGnatt[[#This Row],[Days]]),$G$5,"")),"")</f>
        <v/>
      </c>
      <c r="AE75" s="36" t="str">
        <f ca="1">IFERROR(+IF(AE$27=ProposalToGnatt[[#This Row],[Start Date]],Milestone_Marker,IF(AND(AE$27&gt;ProposalToGnatt[[#This Row],[Start Date]],AE$27&lt;ProposalToGnatt[[#This Row],[Start Date]]+ProposalToGnatt[[#This Row],[Days]]),$G$5,"")),"")</f>
        <v/>
      </c>
      <c r="AF75" s="36" t="str">
        <f ca="1">IFERROR(+IF(AF$27=ProposalToGnatt[[#This Row],[Start Date]],Milestone_Marker,IF(AND(AF$27&gt;ProposalToGnatt[[#This Row],[Start Date]],AF$27&lt;ProposalToGnatt[[#This Row],[Start Date]]+ProposalToGnatt[[#This Row],[Days]]),$G$5,"")),"")</f>
        <v/>
      </c>
      <c r="AG75" s="36" t="str">
        <f ca="1">IFERROR(+IF(AG$27=ProposalToGnatt[[#This Row],[Start Date]],Milestone_Marker,IF(AND(AG$27&gt;ProposalToGnatt[[#This Row],[Start Date]],AG$27&lt;ProposalToGnatt[[#This Row],[Start Date]]+ProposalToGnatt[[#This Row],[Days]]),$G$5,"")),"")</f>
        <v/>
      </c>
      <c r="AH75" s="36" t="str">
        <f ca="1">IFERROR(+IF(AH$27=ProposalToGnatt[[#This Row],[Start Date]],Milestone_Marker,IF(AND(AH$27&gt;ProposalToGnatt[[#This Row],[Start Date]],AH$27&lt;ProposalToGnatt[[#This Row],[Start Date]]+ProposalToGnatt[[#This Row],[Days]]),$G$5,"")),"")</f>
        <v/>
      </c>
      <c r="AI75" s="36" t="str">
        <f ca="1">IFERROR(+IF(AI$27=ProposalToGnatt[[#This Row],[Start Date]],Milestone_Marker,IF(AND(AI$27&gt;ProposalToGnatt[[#This Row],[Start Date]],AI$27&lt;ProposalToGnatt[[#This Row],[Start Date]]+ProposalToGnatt[[#This Row],[Days]]),$G$5,"")),"")</f>
        <v/>
      </c>
      <c r="AJ75" s="36" t="str">
        <f ca="1">IFERROR(+IF(AJ$27=ProposalToGnatt[[#This Row],[Start Date]],Milestone_Marker,IF(AND(AJ$27&gt;ProposalToGnatt[[#This Row],[Start Date]],AJ$27&lt;ProposalToGnatt[[#This Row],[Start Date]]+ProposalToGnatt[[#This Row],[Days]]),$G$5,"")),"")</f>
        <v/>
      </c>
      <c r="AK75" s="36" t="str">
        <f ca="1">IFERROR(+IF(AK$27=ProposalToGnatt[[#This Row],[Start Date]],Milestone_Marker,IF(AND(AK$27&gt;ProposalToGnatt[[#This Row],[Start Date]],AK$27&lt;ProposalToGnatt[[#This Row],[Start Date]]+ProposalToGnatt[[#This Row],[Days]]),$G$5,"")),"")</f>
        <v/>
      </c>
      <c r="AL75" s="36" t="str">
        <f ca="1">IFERROR(+IF(AL$27=ProposalToGnatt[[#This Row],[Start Date]],Milestone_Marker,IF(AND(AL$27&gt;ProposalToGnatt[[#This Row],[Start Date]],AL$27&lt;ProposalToGnatt[[#This Row],[Start Date]]+ProposalToGnatt[[#This Row],[Days]]),$G$5,"")),"")</f>
        <v/>
      </c>
      <c r="AM75" s="36" t="str">
        <f ca="1">IFERROR(+IF(AM$27=ProposalToGnatt[[#This Row],[Start Date]],Milestone_Marker,IF(AND(AM$27&gt;ProposalToGnatt[[#This Row],[Start Date]],AM$27&lt;ProposalToGnatt[[#This Row],[Start Date]]+ProposalToGnatt[[#This Row],[Days]]),$G$5,"")),"")</f>
        <v/>
      </c>
      <c r="AN75" s="36" t="str">
        <f ca="1">IFERROR(+IF(AN$27=ProposalToGnatt[[#This Row],[Start Date]],Milestone_Marker,IF(AND(AN$27&gt;ProposalToGnatt[[#This Row],[Start Date]],AN$27&lt;ProposalToGnatt[[#This Row],[Start Date]]+ProposalToGnatt[[#This Row],[Days]]),$G$5,"")),"")</f>
        <v/>
      </c>
      <c r="AO75" s="36" t="str">
        <f ca="1">IFERROR(+IF(AO$27=ProposalToGnatt[[#This Row],[Start Date]],Milestone_Marker,IF(AND(AO$27&gt;ProposalToGnatt[[#This Row],[Start Date]],AO$27&lt;ProposalToGnatt[[#This Row],[Start Date]]+ProposalToGnatt[[#This Row],[Days]]),$G$5,"")),"")</f>
        <v/>
      </c>
      <c r="AP75" s="36" t="str">
        <f ca="1">IFERROR(+IF(AP$27=ProposalToGnatt[[#This Row],[Start Date]],Milestone_Marker,IF(AND(AP$27&gt;ProposalToGnatt[[#This Row],[Start Date]],AP$27&lt;ProposalToGnatt[[#This Row],[Start Date]]+ProposalToGnatt[[#This Row],[Days]]),$G$5,"")),"")</f>
        <v/>
      </c>
      <c r="AQ75" s="36" t="str">
        <f ca="1">IFERROR(+IF(AQ$27=ProposalToGnatt[[#This Row],[Start Date]],Milestone_Marker,IF(AND(AQ$27&gt;ProposalToGnatt[[#This Row],[Start Date]],AQ$27&lt;ProposalToGnatt[[#This Row],[Start Date]]+ProposalToGnatt[[#This Row],[Days]]),$G$5,"")),"")</f>
        <v/>
      </c>
      <c r="AR75" s="36" t="str">
        <f ca="1">IFERROR(+IF(AR$27=ProposalToGnatt[[#This Row],[Start Date]],Milestone_Marker,IF(AND(AR$27&gt;ProposalToGnatt[[#This Row],[Start Date]],AR$27&lt;ProposalToGnatt[[#This Row],[Start Date]]+ProposalToGnatt[[#This Row],[Days]]),$G$5,"")),"")</f>
        <v/>
      </c>
      <c r="AS75" s="36" t="str">
        <f ca="1">IFERROR(+IF(AS$27=ProposalToGnatt[[#This Row],[Start Date]],Milestone_Marker,IF(AND(AS$27&gt;ProposalToGnatt[[#This Row],[Start Date]],AS$27&lt;ProposalToGnatt[[#This Row],[Start Date]]+ProposalToGnatt[[#This Row],[Days]]),$G$5,"")),"")</f>
        <v/>
      </c>
      <c r="AT75" s="36" t="str">
        <f ca="1">IFERROR(+IF(AT$27=ProposalToGnatt[[#This Row],[Start Date]],Milestone_Marker,IF(AND(AT$27&gt;ProposalToGnatt[[#This Row],[Start Date]],AT$27&lt;ProposalToGnatt[[#This Row],[Start Date]]+ProposalToGnatt[[#This Row],[Days]]),$G$5,"")),"")</f>
        <v/>
      </c>
      <c r="AU75" s="36" t="str">
        <f ca="1">IFERROR(+IF(AU$27=ProposalToGnatt[[#This Row],[Start Date]],Milestone_Marker,IF(AND(AU$27&gt;ProposalToGnatt[[#This Row],[Start Date]],AU$27&lt;ProposalToGnatt[[#This Row],[Start Date]]+ProposalToGnatt[[#This Row],[Days]]),$G$5,"")),"")</f>
        <v/>
      </c>
      <c r="AV75" s="36" t="str">
        <f ca="1">IFERROR(+IF(AV$27=ProposalToGnatt[[#This Row],[Start Date]],Milestone_Marker,IF(AND(AV$27&gt;ProposalToGnatt[[#This Row],[Start Date]],AV$27&lt;ProposalToGnatt[[#This Row],[Start Date]]+ProposalToGnatt[[#This Row],[Days]]),$G$5,"")),"")</f>
        <v/>
      </c>
      <c r="AW75" s="36" t="str">
        <f ca="1">IFERROR(+IF(AW$27=ProposalToGnatt[[#This Row],[Start Date]],Milestone_Marker,IF(AND(AW$27&gt;ProposalToGnatt[[#This Row],[Start Date]],AW$27&lt;ProposalToGnatt[[#This Row],[Start Date]]+ProposalToGnatt[[#This Row],[Days]]),$G$5,"")),"")</f>
        <v/>
      </c>
      <c r="AX75" s="36" t="str">
        <f ca="1">IFERROR(+IF(AX$27=ProposalToGnatt[[#This Row],[Start Date]],Milestone_Marker,IF(AND(AX$27&gt;ProposalToGnatt[[#This Row],[Start Date]],AX$27&lt;ProposalToGnatt[[#This Row],[Start Date]]+ProposalToGnatt[[#This Row],[Days]]),$G$5,"")),"")</f>
        <v/>
      </c>
      <c r="AY75" s="36" t="str">
        <f ca="1">IFERROR(+IF(AY$27=ProposalToGnatt[[#This Row],[Start Date]],Milestone_Marker,IF(AND(AY$27&gt;ProposalToGnatt[[#This Row],[Start Date]],AY$27&lt;ProposalToGnatt[[#This Row],[Start Date]]+ProposalToGnatt[[#This Row],[Days]]),$G$5,"")),"")</f>
        <v/>
      </c>
      <c r="AZ75" s="36" t="str">
        <f ca="1">IFERROR(+IF(AZ$27=ProposalToGnatt[[#This Row],[Start Date]],Milestone_Marker,IF(AND(AZ$27&gt;ProposalToGnatt[[#This Row],[Start Date]],AZ$27&lt;ProposalToGnatt[[#This Row],[Start Date]]+ProposalToGnatt[[#This Row],[Days]]),$G$5,"")),"")</f>
        <v/>
      </c>
      <c r="BA75" s="36" t="str">
        <f ca="1">IFERROR(+IF(BA$27=ProposalToGnatt[[#This Row],[Start Date]],Milestone_Marker,IF(AND(BA$27&gt;ProposalToGnatt[[#This Row],[Start Date]],BA$27&lt;ProposalToGnatt[[#This Row],[Start Date]]+ProposalToGnatt[[#This Row],[Days]]),$G$5,"")),"")</f>
        <v/>
      </c>
      <c r="BB75" s="36" t="str">
        <f ca="1">IFERROR(+IF(BB$27=ProposalToGnatt[[#This Row],[Start Date]],Milestone_Marker,IF(AND(BB$27&gt;ProposalToGnatt[[#This Row],[Start Date]],BB$27&lt;ProposalToGnatt[[#This Row],[Start Date]]+ProposalToGnatt[[#This Row],[Days]]),$G$5,"")),"")</f>
        <v/>
      </c>
      <c r="BC75" s="36" t="str">
        <f ca="1">IFERROR(+IF(BC$27=ProposalToGnatt[[#This Row],[Start Date]],Milestone_Marker,IF(AND(BC$27&gt;ProposalToGnatt[[#This Row],[Start Date]],BC$27&lt;ProposalToGnatt[[#This Row],[Start Date]]+ProposalToGnatt[[#This Row],[Days]]),$G$5,"")),"")</f>
        <v/>
      </c>
      <c r="BD75" s="36" t="str">
        <f ca="1">IFERROR(+IF(BD$27=ProposalToGnatt[[#This Row],[Start Date]],Milestone_Marker,IF(AND(BD$27&gt;ProposalToGnatt[[#This Row],[Start Date]],BD$27&lt;ProposalToGnatt[[#This Row],[Start Date]]+ProposalToGnatt[[#This Row],[Days]]),$G$5,"")),"")</f>
        <v/>
      </c>
      <c r="BE75" s="36" t="str">
        <f ca="1">IFERROR(+IF(BE$27=ProposalToGnatt[[#This Row],[Start Date]],Milestone_Marker,IF(AND(BE$27&gt;ProposalToGnatt[[#This Row],[Start Date]],BE$27&lt;ProposalToGnatt[[#This Row],[Start Date]]+ProposalToGnatt[[#This Row],[Days]]),$G$5,"")),"")</f>
        <v/>
      </c>
      <c r="BF75" s="36" t="str">
        <f ca="1">IFERROR(+IF(BF$27=ProposalToGnatt[[#This Row],[Start Date]],Milestone_Marker,IF(AND(BF$27&gt;ProposalToGnatt[[#This Row],[Start Date]],BF$27&lt;ProposalToGnatt[[#This Row],[Start Date]]+ProposalToGnatt[[#This Row],[Days]]),$G$5,"")),"")</f>
        <v/>
      </c>
      <c r="BG75" s="36" t="str">
        <f ca="1">IFERROR(+IF(BG$27=ProposalToGnatt[[#This Row],[Start Date]],Milestone_Marker,IF(AND(BG$27&gt;ProposalToGnatt[[#This Row],[Start Date]],BG$27&lt;ProposalToGnatt[[#This Row],[Start Date]]+ProposalToGnatt[[#This Row],[Days]]),$G$5,"")),"")</f>
        <v/>
      </c>
      <c r="BH75" s="36" t="str">
        <f ca="1">IFERROR(+IF(BH$27=ProposalToGnatt[[#This Row],[Start Date]],Milestone_Marker,IF(AND(BH$27&gt;ProposalToGnatt[[#This Row],[Start Date]],BH$27&lt;ProposalToGnatt[[#This Row],[Start Date]]+ProposalToGnatt[[#This Row],[Days]]),$G$5,"")),"")</f>
        <v/>
      </c>
      <c r="BI75" s="36" t="str">
        <f ca="1">IFERROR(+IF(BI$27=ProposalToGnatt[[#This Row],[Start Date]],Milestone_Marker,IF(AND(BI$27&gt;ProposalToGnatt[[#This Row],[Start Date]],BI$27&lt;ProposalToGnatt[[#This Row],[Start Date]]+ProposalToGnatt[[#This Row],[Days]]),$G$5,"")),"")</f>
        <v/>
      </c>
      <c r="BJ75" s="36" t="str">
        <f ca="1">IFERROR(+IF(BJ$27=ProposalToGnatt[[#This Row],[Start Date]],Milestone_Marker,IF(AND(BJ$27&gt;ProposalToGnatt[[#This Row],[Start Date]],BJ$27&lt;ProposalToGnatt[[#This Row],[Start Date]]+ProposalToGnatt[[#This Row],[Days]]),$G$5,"")),"")</f>
        <v/>
      </c>
      <c r="BK75" s="36" t="str">
        <f ca="1">IFERROR(+IF(BK$27=ProposalToGnatt[[#This Row],[Start Date]],Milestone_Marker,IF(AND(BK$27&gt;ProposalToGnatt[[#This Row],[Start Date]],BK$27&lt;ProposalToGnatt[[#This Row],[Start Date]]+ProposalToGnatt[[#This Row],[Days]]),$G$5,"")),"")</f>
        <v/>
      </c>
      <c r="BL75" s="36" t="str">
        <f ca="1">IFERROR(+IF(BL$27=ProposalToGnatt[[#This Row],[Start Date]],Milestone_Marker,IF(AND(BL$27&gt;ProposalToGnatt[[#This Row],[Start Date]],BL$27&lt;ProposalToGnatt[[#This Row],[Start Date]]+ProposalToGnatt[[#This Row],[Days]]),$G$5,"")),"")</f>
        <v/>
      </c>
      <c r="BM75" s="36" t="str">
        <f ca="1">IFERROR(+IF(BM$27=ProposalToGnatt[[#This Row],[Start Date]],Milestone_Marker,IF(AND(BM$27&gt;ProposalToGnatt[[#This Row],[Start Date]],BM$27&lt;ProposalToGnatt[[#This Row],[Start Date]]+ProposalToGnatt[[#This Row],[Days]]),$G$5,"")),"")</f>
        <v/>
      </c>
      <c r="BN75" s="36" t="str">
        <f ca="1">IFERROR(+IF(BN$27=ProposalToGnatt[[#This Row],[Start Date]],Milestone_Marker,IF(AND(BN$27&gt;ProposalToGnatt[[#This Row],[Start Date]],BN$27&lt;ProposalToGnatt[[#This Row],[Start Date]]+ProposalToGnatt[[#This Row],[Days]]),$G$5,"")),"")</f>
        <v/>
      </c>
      <c r="BO75" s="36" t="str">
        <f ca="1">IFERROR(+IF(BO$27=ProposalToGnatt[[#This Row],[Start Date]],Milestone_Marker,IF(AND(BO$27&gt;ProposalToGnatt[[#This Row],[Start Date]],BO$27&lt;ProposalToGnatt[[#This Row],[Start Date]]+ProposalToGnatt[[#This Row],[Days]]),$G$5,"")),"")</f>
        <v/>
      </c>
      <c r="BP75" s="36" t="str">
        <f ca="1">IFERROR(+IF(BP$27=ProposalToGnatt[[#This Row],[Start Date]],Milestone_Marker,IF(AND(BP$27&gt;ProposalToGnatt[[#This Row],[Start Date]],BP$27&lt;ProposalToGnatt[[#This Row],[Start Date]]+ProposalToGnatt[[#This Row],[Days]]),$G$5,"")),"")</f>
        <v/>
      </c>
      <c r="BQ75" s="36" t="str">
        <f ca="1">IFERROR(+IF(BQ$27=ProposalToGnatt[[#This Row],[Start Date]],Milestone_Marker,IF(AND(BQ$27&gt;ProposalToGnatt[[#This Row],[Start Date]],BQ$27&lt;ProposalToGnatt[[#This Row],[Start Date]]+ProposalToGnatt[[#This Row],[Days]]),$G$5,"")),"")</f>
        <v/>
      </c>
      <c r="BR75" s="36" t="str">
        <f ca="1">IFERROR(+IF(BR$27=ProposalToGnatt[[#This Row],[Start Date]],Milestone_Marker,IF(AND(BR$27&gt;ProposalToGnatt[[#This Row],[Start Date]],BR$27&lt;ProposalToGnatt[[#This Row],[Start Date]]+ProposalToGnatt[[#This Row],[Days]]),$G$5,"")),"")</f>
        <v/>
      </c>
      <c r="BS75" s="36" t="str">
        <f ca="1">IFERROR(+IF(BS$27=ProposalToGnatt[[#This Row],[Start Date]],Milestone_Marker,IF(AND(BS$27&gt;ProposalToGnatt[[#This Row],[Start Date]],BS$27&lt;ProposalToGnatt[[#This Row],[Start Date]]+ProposalToGnatt[[#This Row],[Days]]),$G$5,"")),"")</f>
        <v/>
      </c>
      <c r="BT75" s="36" t="str">
        <f ca="1">IFERROR(+IF(BT$27=ProposalToGnatt[[#This Row],[Start Date]],Milestone_Marker,IF(AND(BT$27&gt;ProposalToGnatt[[#This Row],[Start Date]],BT$27&lt;ProposalToGnatt[[#This Row],[Start Date]]+ProposalToGnatt[[#This Row],[Days]]),$G$5,"")),"")</f>
        <v/>
      </c>
      <c r="BU75" s="36" t="str">
        <f ca="1">IFERROR(+IF(BU$27=ProposalToGnatt[[#This Row],[Start Date]],Milestone_Marker,IF(AND(BU$27&gt;ProposalToGnatt[[#This Row],[Start Date]],BU$27&lt;ProposalToGnatt[[#This Row],[Start Date]]+ProposalToGnatt[[#This Row],[Days]]),$G$5,"")),"")</f>
        <v/>
      </c>
      <c r="BV75" s="36" t="str">
        <f ca="1">IFERROR(+IF(BV$27=ProposalToGnatt[[#This Row],[Start Date]],Milestone_Marker,IF(AND(BV$27&gt;ProposalToGnatt[[#This Row],[Start Date]],BV$27&lt;ProposalToGnatt[[#This Row],[Start Date]]+ProposalToGnatt[[#This Row],[Days]]),$G$5,"")),"")</f>
        <v/>
      </c>
      <c r="BW75" s="36" t="str">
        <f ca="1">IFERROR(+IF(BW$27=ProposalToGnatt[[#This Row],[Start Date]],Milestone_Marker,IF(AND(BW$27&gt;ProposalToGnatt[[#This Row],[Start Date]],BW$27&lt;ProposalToGnatt[[#This Row],[Start Date]]+ProposalToGnatt[[#This Row],[Days]]),$G$5,"")),"")</f>
        <v/>
      </c>
      <c r="BX75" s="36" t="str">
        <f ca="1">IFERROR(+IF(BX$27=ProposalToGnatt[[#This Row],[Start Date]],Milestone_Marker,IF(AND(BX$27&gt;ProposalToGnatt[[#This Row],[Start Date]],BX$27&lt;ProposalToGnatt[[#This Row],[Start Date]]+ProposalToGnatt[[#This Row],[Days]]),$G$5,"")),"")</f>
        <v/>
      </c>
      <c r="BY75" s="36" t="str">
        <f ca="1">IFERROR(+IF(BY$27=ProposalToGnatt[[#This Row],[Start Date]],Milestone_Marker,IF(AND(BY$27&gt;ProposalToGnatt[[#This Row],[Start Date]],BY$27&lt;ProposalToGnatt[[#This Row],[Start Date]]+ProposalToGnatt[[#This Row],[Days]]),$G$5,"")),"")</f>
        <v/>
      </c>
      <c r="BZ75" s="36" t="str">
        <f ca="1">IFERROR(+IF(BZ$27=ProposalToGnatt[[#This Row],[Start Date]],Milestone_Marker,IF(AND(BZ$27&gt;ProposalToGnatt[[#This Row],[Start Date]],BZ$27&lt;ProposalToGnatt[[#This Row],[Start Date]]+ProposalToGnatt[[#This Row],[Days]]),$G$5,"")),"")</f>
        <v/>
      </c>
      <c r="CA75" s="36" t="str">
        <f ca="1">IFERROR(+IF(CA$27=ProposalToGnatt[[#This Row],[Start Date]],Milestone_Marker,IF(AND(CA$27&gt;ProposalToGnatt[[#This Row],[Start Date]],CA$27&lt;ProposalToGnatt[[#This Row],[Start Date]]+ProposalToGnatt[[#This Row],[Days]]),$G$5,"")),"")</f>
        <v/>
      </c>
      <c r="CB75" s="36" t="str">
        <f ca="1">IFERROR(+IF(CB$27=ProposalToGnatt[[#This Row],[Start Date]],Milestone_Marker,IF(AND(CB$27&gt;ProposalToGnatt[[#This Row],[Start Date]],CB$27&lt;ProposalToGnatt[[#This Row],[Start Date]]+ProposalToGnatt[[#This Row],[Days]]),$G$5,"")),"")</f>
        <v/>
      </c>
      <c r="CC75" s="36" t="str">
        <f ca="1">IFERROR(+IF(CC$27=ProposalToGnatt[[#This Row],[Start Date]],Milestone_Marker,IF(AND(CC$27&gt;ProposalToGnatt[[#This Row],[Start Date]],CC$27&lt;ProposalToGnatt[[#This Row],[Start Date]]+ProposalToGnatt[[#This Row],[Days]]),$G$5,"")),"")</f>
        <v/>
      </c>
      <c r="CD75" s="36" t="str">
        <f ca="1">IFERROR(+IF(CD$27=ProposalToGnatt[[#This Row],[Start Date]],Milestone_Marker,IF(AND(CD$27&gt;ProposalToGnatt[[#This Row],[Start Date]],CD$27&lt;ProposalToGnatt[[#This Row],[Start Date]]+ProposalToGnatt[[#This Row],[Days]]),$G$5,"")),"")</f>
        <v/>
      </c>
      <c r="CE75" s="36" t="str">
        <f ca="1">IFERROR(+IF(CE$27=ProposalToGnatt[[#This Row],[Start Date]],Milestone_Marker,IF(AND(CE$27&gt;ProposalToGnatt[[#This Row],[Start Date]],CE$27&lt;ProposalToGnatt[[#This Row],[Start Date]]+ProposalToGnatt[[#This Row],[Days]]),$G$5,"")),"")</f>
        <v/>
      </c>
      <c r="CF75" s="36" t="str">
        <f ca="1">IFERROR(+IF(CF$27=ProposalToGnatt[[#This Row],[Start Date]],Milestone_Marker,IF(AND(CF$27&gt;ProposalToGnatt[[#This Row],[Start Date]],CF$27&lt;ProposalToGnatt[[#This Row],[Start Date]]+ProposalToGnatt[[#This Row],[Days]]),$G$5,"")),"")</f>
        <v/>
      </c>
      <c r="CG75" s="36" t="str">
        <f ca="1">IFERROR(+IF(CG$27=ProposalToGnatt[[#This Row],[Start Date]],Milestone_Marker,IF(AND(CG$27&gt;ProposalToGnatt[[#This Row],[Start Date]],CG$27&lt;ProposalToGnatt[[#This Row],[Start Date]]+ProposalToGnatt[[#This Row],[Days]]),$G$5,"")),"")</f>
        <v/>
      </c>
      <c r="CH75" s="36" t="str">
        <f ca="1">IFERROR(+IF(CH$27=ProposalToGnatt[[#This Row],[Start Date]],Milestone_Marker,IF(AND(CH$27&gt;ProposalToGnatt[[#This Row],[Start Date]],CH$27&lt;ProposalToGnatt[[#This Row],[Start Date]]+ProposalToGnatt[[#This Row],[Days]]),$G$5,"")),"")</f>
        <v/>
      </c>
      <c r="CI75" s="36" t="str">
        <f ca="1">IFERROR(+IF(CI$27=ProposalToGnatt[[#This Row],[Start Date]],Milestone_Marker,IF(AND(CI$27&gt;ProposalToGnatt[[#This Row],[Start Date]],CI$27&lt;ProposalToGnatt[[#This Row],[Start Date]]+ProposalToGnatt[[#This Row],[Days]]),$G$5,"")),"")</f>
        <v/>
      </c>
      <c r="CJ75" s="36" t="str">
        <f ca="1">IFERROR(+IF(CJ$27=ProposalToGnatt[[#This Row],[Start Date]],Milestone_Marker,IF(AND(CJ$27&gt;ProposalToGnatt[[#This Row],[Start Date]],CJ$27&lt;ProposalToGnatt[[#This Row],[Start Date]]+ProposalToGnatt[[#This Row],[Days]]),$G$5,"")),"")</f>
        <v/>
      </c>
      <c r="CK75" s="36" t="str">
        <f ca="1">IFERROR(+IF(CK$27=ProposalToGnatt[[#This Row],[Start Date]],Milestone_Marker,IF(AND(CK$27&gt;ProposalToGnatt[[#This Row],[Start Date]],CK$27&lt;ProposalToGnatt[[#This Row],[Start Date]]+ProposalToGnatt[[#This Row],[Days]]),$G$5,"")),"")</f>
        <v/>
      </c>
      <c r="CL75" s="36" t="str">
        <f ca="1">IFERROR(+IF(CL$27=ProposalToGnatt[[#This Row],[Start Date]],Milestone_Marker,IF(AND(CL$27&gt;ProposalToGnatt[[#This Row],[Start Date]],CL$27&lt;ProposalToGnatt[[#This Row],[Start Date]]+ProposalToGnatt[[#This Row],[Days]]),$G$5,"")),"")</f>
        <v/>
      </c>
      <c r="CM75" s="36" t="str">
        <f ca="1">IFERROR(+IF(CM$27=ProposalToGnatt[[#This Row],[Start Date]],Milestone_Marker,IF(AND(CM$27&gt;ProposalToGnatt[[#This Row],[Start Date]],CM$27&lt;ProposalToGnatt[[#This Row],[Start Date]]+ProposalToGnatt[[#This Row],[Days]]),$G$5,"")),"")</f>
        <v/>
      </c>
      <c r="CN75" s="36" t="str">
        <f ca="1">IFERROR(+IF(CN$27=ProposalToGnatt[[#This Row],[Start Date]],Milestone_Marker,IF(AND(CN$27&gt;ProposalToGnatt[[#This Row],[Start Date]],CN$27&lt;ProposalToGnatt[[#This Row],[Start Date]]+ProposalToGnatt[[#This Row],[Days]]),$G$5,"")),"")</f>
        <v/>
      </c>
      <c r="CO75" s="36" t="str">
        <f ca="1">IFERROR(+IF(CO$27=ProposalToGnatt[[#This Row],[Start Date]],Milestone_Marker,IF(AND(CO$27&gt;ProposalToGnatt[[#This Row],[Start Date]],CO$27&lt;ProposalToGnatt[[#This Row],[Start Date]]+ProposalToGnatt[[#This Row],[Days]]),$G$5,"")),"")</f>
        <v/>
      </c>
      <c r="CP75" s="36" t="str">
        <f ca="1">IFERROR(+IF(CP$27=ProposalToGnatt[[#This Row],[Start Date]],Milestone_Marker,IF(AND(CP$27&gt;ProposalToGnatt[[#This Row],[Start Date]],CP$27&lt;ProposalToGnatt[[#This Row],[Start Date]]+ProposalToGnatt[[#This Row],[Days]]),$G$5,"")),"")</f>
        <v/>
      </c>
      <c r="CQ75" s="36" t="str">
        <f ca="1">IFERROR(+IF(CQ$27=ProposalToGnatt[[#This Row],[Start Date]],Milestone_Marker,IF(AND(CQ$27&gt;ProposalToGnatt[[#This Row],[Start Date]],CQ$27&lt;ProposalToGnatt[[#This Row],[Start Date]]+ProposalToGnatt[[#This Row],[Days]]),$G$5,"")),"")</f>
        <v/>
      </c>
      <c r="CR75" s="36" t="str">
        <f ca="1">IFERROR(+IF(CR$27=ProposalToGnatt[[#This Row],[Start Date]],Milestone_Marker,IF(AND(CR$27&gt;ProposalToGnatt[[#This Row],[Start Date]],CR$27&lt;ProposalToGnatt[[#This Row],[Start Date]]+ProposalToGnatt[[#This Row],[Days]]),$G$5,"")),"")</f>
        <v/>
      </c>
      <c r="CS75" s="36" t="str">
        <f ca="1">IFERROR(+IF(CS$27=ProposalToGnatt[[#This Row],[Start Date]],Milestone_Marker,IF(AND(CS$27&gt;ProposalToGnatt[[#This Row],[Start Date]],CS$27&lt;ProposalToGnatt[[#This Row],[Start Date]]+ProposalToGnatt[[#This Row],[Days]]),$G$5,"")),"")</f>
        <v/>
      </c>
      <c r="CT75" s="36" t="str">
        <f ca="1">IFERROR(+IF(CT$27=ProposalToGnatt[[#This Row],[Start Date]],Milestone_Marker,IF(AND(CT$27&gt;ProposalToGnatt[[#This Row],[Start Date]],CT$27&lt;ProposalToGnatt[[#This Row],[Start Date]]+ProposalToGnatt[[#This Row],[Days]]),$G$5,"")),"")</f>
        <v/>
      </c>
      <c r="CU75" s="36" t="str">
        <f ca="1">IFERROR(+IF(CU$27=ProposalToGnatt[[#This Row],[Start Date]],Milestone_Marker,IF(AND(CU$27&gt;ProposalToGnatt[[#This Row],[Start Date]],CU$27&lt;ProposalToGnatt[[#This Row],[Start Date]]+ProposalToGnatt[[#This Row],[Days]]),$G$5,"")),"")</f>
        <v/>
      </c>
      <c r="CV75" s="36"/>
      <c r="CW75" s="36"/>
      <c r="CX75" s="36"/>
      <c r="CY75" s="36"/>
      <c r="CZ75" s="36"/>
      <c r="DA75" s="36"/>
      <c r="DB75" s="36"/>
      <c r="DC75" s="36"/>
      <c r="DD75" s="36"/>
      <c r="DE75" s="36"/>
      <c r="DF75" s="36"/>
      <c r="DG75" s="36"/>
      <c r="DH75" s="36"/>
      <c r="DI75" s="36"/>
      <c r="DJ75" s="36"/>
      <c r="DK75" s="36"/>
      <c r="DL75" s="36"/>
      <c r="DM75" s="36"/>
      <c r="DN75" s="36"/>
      <c r="DO75" s="36"/>
      <c r="DP75" s="36"/>
      <c r="DQ75" s="36"/>
      <c r="DR75" s="36"/>
      <c r="DS75" s="36"/>
      <c r="DT75" s="36"/>
      <c r="DU75" s="36"/>
    </row>
    <row r="76" spans="1:125" ht="15" x14ac:dyDescent="0.25">
      <c r="A76"/>
      <c r="B76"/>
      <c r="C76"/>
      <c r="D76"/>
      <c r="E76"/>
      <c r="F76"/>
      <c r="G76" s="14"/>
      <c r="H76" s="14"/>
      <c r="I76"/>
      <c r="J76"/>
      <c r="K76" s="246"/>
      <c r="L76"/>
      <c r="M76" s="14"/>
      <c r="N76" s="299"/>
      <c r="O76" s="281"/>
      <c r="P76" s="36" t="str">
        <f ca="1">IFERROR(+IF(P$27=ProposalToGnatt[[#This Row],[Start Date]],Milestone_Marker,IF(AND(P$27&gt;ProposalToGnatt[[#This Row],[Start Date]],P$27&lt;ProposalToGnatt[[#This Row],[Start Date]]+ProposalToGnatt[[#This Row],[Days]]),$G$5,"")),"")</f>
        <v/>
      </c>
      <c r="Q76" s="36" t="str">
        <f ca="1">IFERROR(+IF(Q$27=ProposalToGnatt[[#This Row],[Start Date]],Milestone_Marker,IF(AND(Q$27&gt;ProposalToGnatt[[#This Row],[Start Date]],Q$27&lt;ProposalToGnatt[[#This Row],[Start Date]]+ProposalToGnatt[[#This Row],[Days]]),$G$5,"")),"")</f>
        <v/>
      </c>
      <c r="R76" s="36" t="str">
        <f ca="1">IFERROR(+IF(R$27=ProposalToGnatt[[#This Row],[Start Date]],Milestone_Marker,IF(AND(R$27&gt;ProposalToGnatt[[#This Row],[Start Date]],R$27&lt;ProposalToGnatt[[#This Row],[Start Date]]+ProposalToGnatt[[#This Row],[Days]]),$G$5,"")),"")</f>
        <v/>
      </c>
      <c r="S76" s="36" t="str">
        <f ca="1">IFERROR(+IF(S$27=ProposalToGnatt[[#This Row],[Start Date]],Milestone_Marker,IF(AND(S$27&gt;ProposalToGnatt[[#This Row],[Start Date]],S$27&lt;ProposalToGnatt[[#This Row],[Start Date]]+ProposalToGnatt[[#This Row],[Days]]),$G$5,"")),"")</f>
        <v/>
      </c>
      <c r="T76" s="36" t="str">
        <f ca="1">IFERROR(+IF(T$27=ProposalToGnatt[[#This Row],[Start Date]],Milestone_Marker,IF(AND(T$27&gt;ProposalToGnatt[[#This Row],[Start Date]],T$27&lt;ProposalToGnatt[[#This Row],[Start Date]]+ProposalToGnatt[[#This Row],[Days]]),$G$5,"")),"")</f>
        <v/>
      </c>
      <c r="U76" s="36" t="str">
        <f ca="1">IFERROR(+IF(U$27=ProposalToGnatt[[#This Row],[Start Date]],Milestone_Marker,IF(AND(U$27&gt;ProposalToGnatt[[#This Row],[Start Date]],U$27&lt;ProposalToGnatt[[#This Row],[Start Date]]+ProposalToGnatt[[#This Row],[Days]]),$G$5,"")),"")</f>
        <v/>
      </c>
      <c r="V76" s="36" t="str">
        <f ca="1">IFERROR(+IF(V$27=ProposalToGnatt[[#This Row],[Start Date]],Milestone_Marker,IF(AND(V$27&gt;ProposalToGnatt[[#This Row],[Start Date]],V$27&lt;ProposalToGnatt[[#This Row],[Start Date]]+ProposalToGnatt[[#This Row],[Days]]),$G$5,"")),"")</f>
        <v/>
      </c>
      <c r="W76" s="36" t="str">
        <f ca="1">IFERROR(+IF(W$27=ProposalToGnatt[[#This Row],[Start Date]],Milestone_Marker,IF(AND(W$27&gt;ProposalToGnatt[[#This Row],[Start Date]],W$27&lt;ProposalToGnatt[[#This Row],[Start Date]]+ProposalToGnatt[[#This Row],[Days]]),$G$5,"")),"")</f>
        <v/>
      </c>
      <c r="X76" s="36" t="str">
        <f ca="1">IFERROR(+IF(X$27=ProposalToGnatt[[#This Row],[Start Date]],Milestone_Marker,IF(AND(X$27&gt;ProposalToGnatt[[#This Row],[Start Date]],X$27&lt;ProposalToGnatt[[#This Row],[Start Date]]+ProposalToGnatt[[#This Row],[Days]]),$G$5,"")),"")</f>
        <v/>
      </c>
      <c r="Y76" s="36" t="str">
        <f ca="1">IFERROR(+IF(Y$27=ProposalToGnatt[[#This Row],[Start Date]],Milestone_Marker,IF(AND(Y$27&gt;ProposalToGnatt[[#This Row],[Start Date]],Y$27&lt;ProposalToGnatt[[#This Row],[Start Date]]+ProposalToGnatt[[#This Row],[Days]]),$G$5,"")),"")</f>
        <v/>
      </c>
      <c r="Z76" s="36" t="str">
        <f ca="1">IFERROR(+IF(Z$27=ProposalToGnatt[[#This Row],[Start Date]],Milestone_Marker,IF(AND(Z$27&gt;ProposalToGnatt[[#This Row],[Start Date]],Z$27&lt;ProposalToGnatt[[#This Row],[Start Date]]+ProposalToGnatt[[#This Row],[Days]]),$G$5,"")),"")</f>
        <v/>
      </c>
      <c r="AA76" s="36" t="str">
        <f ca="1">IFERROR(+IF(AA$27=ProposalToGnatt[[#This Row],[Start Date]],Milestone_Marker,IF(AND(AA$27&gt;ProposalToGnatt[[#This Row],[Start Date]],AA$27&lt;ProposalToGnatt[[#This Row],[Start Date]]+ProposalToGnatt[[#This Row],[Days]]),$G$5,"")),"")</f>
        <v/>
      </c>
      <c r="AB76" s="36" t="str">
        <f ca="1">IFERROR(+IF(AB$27=ProposalToGnatt[[#This Row],[Start Date]],Milestone_Marker,IF(AND(AB$27&gt;ProposalToGnatt[[#This Row],[Start Date]],AB$27&lt;ProposalToGnatt[[#This Row],[Start Date]]+ProposalToGnatt[[#This Row],[Days]]),$G$5,"")),"")</f>
        <v/>
      </c>
      <c r="AC76" s="36" t="str">
        <f ca="1">IFERROR(+IF(AC$27=ProposalToGnatt[[#This Row],[Start Date]],Milestone_Marker,IF(AND(AC$27&gt;ProposalToGnatt[[#This Row],[Start Date]],AC$27&lt;ProposalToGnatt[[#This Row],[Start Date]]+ProposalToGnatt[[#This Row],[Days]]),$G$5,"")),"")</f>
        <v/>
      </c>
      <c r="AD76" s="36" t="str">
        <f ca="1">IFERROR(+IF(AD$27=ProposalToGnatt[[#This Row],[Start Date]],Milestone_Marker,IF(AND(AD$27&gt;ProposalToGnatt[[#This Row],[Start Date]],AD$27&lt;ProposalToGnatt[[#This Row],[Start Date]]+ProposalToGnatt[[#This Row],[Days]]),$G$5,"")),"")</f>
        <v/>
      </c>
      <c r="AE76" s="36" t="str">
        <f ca="1">IFERROR(+IF(AE$27=ProposalToGnatt[[#This Row],[Start Date]],Milestone_Marker,IF(AND(AE$27&gt;ProposalToGnatt[[#This Row],[Start Date]],AE$27&lt;ProposalToGnatt[[#This Row],[Start Date]]+ProposalToGnatt[[#This Row],[Days]]),$G$5,"")),"")</f>
        <v/>
      </c>
      <c r="AF76" s="36" t="str">
        <f ca="1">IFERROR(+IF(AF$27=ProposalToGnatt[[#This Row],[Start Date]],Milestone_Marker,IF(AND(AF$27&gt;ProposalToGnatt[[#This Row],[Start Date]],AF$27&lt;ProposalToGnatt[[#This Row],[Start Date]]+ProposalToGnatt[[#This Row],[Days]]),$G$5,"")),"")</f>
        <v/>
      </c>
      <c r="AG76" s="36" t="str">
        <f ca="1">IFERROR(+IF(AG$27=ProposalToGnatt[[#This Row],[Start Date]],Milestone_Marker,IF(AND(AG$27&gt;ProposalToGnatt[[#This Row],[Start Date]],AG$27&lt;ProposalToGnatt[[#This Row],[Start Date]]+ProposalToGnatt[[#This Row],[Days]]),$G$5,"")),"")</f>
        <v/>
      </c>
      <c r="AH76" s="36" t="str">
        <f ca="1">IFERROR(+IF(AH$27=ProposalToGnatt[[#This Row],[Start Date]],Milestone_Marker,IF(AND(AH$27&gt;ProposalToGnatt[[#This Row],[Start Date]],AH$27&lt;ProposalToGnatt[[#This Row],[Start Date]]+ProposalToGnatt[[#This Row],[Days]]),$G$5,"")),"")</f>
        <v/>
      </c>
      <c r="AI76" s="36" t="str">
        <f ca="1">IFERROR(+IF(AI$27=ProposalToGnatt[[#This Row],[Start Date]],Milestone_Marker,IF(AND(AI$27&gt;ProposalToGnatt[[#This Row],[Start Date]],AI$27&lt;ProposalToGnatt[[#This Row],[Start Date]]+ProposalToGnatt[[#This Row],[Days]]),$G$5,"")),"")</f>
        <v/>
      </c>
      <c r="AJ76" s="36" t="str">
        <f ca="1">IFERROR(+IF(AJ$27=ProposalToGnatt[[#This Row],[Start Date]],Milestone_Marker,IF(AND(AJ$27&gt;ProposalToGnatt[[#This Row],[Start Date]],AJ$27&lt;ProposalToGnatt[[#This Row],[Start Date]]+ProposalToGnatt[[#This Row],[Days]]),$G$5,"")),"")</f>
        <v/>
      </c>
      <c r="AK76" s="36" t="str">
        <f ca="1">IFERROR(+IF(AK$27=ProposalToGnatt[[#This Row],[Start Date]],Milestone_Marker,IF(AND(AK$27&gt;ProposalToGnatt[[#This Row],[Start Date]],AK$27&lt;ProposalToGnatt[[#This Row],[Start Date]]+ProposalToGnatt[[#This Row],[Days]]),$G$5,"")),"")</f>
        <v/>
      </c>
      <c r="AL76" s="36" t="str">
        <f ca="1">IFERROR(+IF(AL$27=ProposalToGnatt[[#This Row],[Start Date]],Milestone_Marker,IF(AND(AL$27&gt;ProposalToGnatt[[#This Row],[Start Date]],AL$27&lt;ProposalToGnatt[[#This Row],[Start Date]]+ProposalToGnatt[[#This Row],[Days]]),$G$5,"")),"")</f>
        <v/>
      </c>
      <c r="AM76" s="36" t="str">
        <f ca="1">IFERROR(+IF(AM$27=ProposalToGnatt[[#This Row],[Start Date]],Milestone_Marker,IF(AND(AM$27&gt;ProposalToGnatt[[#This Row],[Start Date]],AM$27&lt;ProposalToGnatt[[#This Row],[Start Date]]+ProposalToGnatt[[#This Row],[Days]]),$G$5,"")),"")</f>
        <v/>
      </c>
      <c r="AN76" s="36" t="str">
        <f ca="1">IFERROR(+IF(AN$27=ProposalToGnatt[[#This Row],[Start Date]],Milestone_Marker,IF(AND(AN$27&gt;ProposalToGnatt[[#This Row],[Start Date]],AN$27&lt;ProposalToGnatt[[#This Row],[Start Date]]+ProposalToGnatt[[#This Row],[Days]]),$G$5,"")),"")</f>
        <v/>
      </c>
      <c r="AO76" s="36" t="str">
        <f ca="1">IFERROR(+IF(AO$27=ProposalToGnatt[[#This Row],[Start Date]],Milestone_Marker,IF(AND(AO$27&gt;ProposalToGnatt[[#This Row],[Start Date]],AO$27&lt;ProposalToGnatt[[#This Row],[Start Date]]+ProposalToGnatt[[#This Row],[Days]]),$G$5,"")),"")</f>
        <v/>
      </c>
      <c r="AP76" s="36" t="str">
        <f ca="1">IFERROR(+IF(AP$27=ProposalToGnatt[[#This Row],[Start Date]],Milestone_Marker,IF(AND(AP$27&gt;ProposalToGnatt[[#This Row],[Start Date]],AP$27&lt;ProposalToGnatt[[#This Row],[Start Date]]+ProposalToGnatt[[#This Row],[Days]]),$G$5,"")),"")</f>
        <v/>
      </c>
      <c r="AQ76" s="36" t="str">
        <f ca="1">IFERROR(+IF(AQ$27=ProposalToGnatt[[#This Row],[Start Date]],Milestone_Marker,IF(AND(AQ$27&gt;ProposalToGnatt[[#This Row],[Start Date]],AQ$27&lt;ProposalToGnatt[[#This Row],[Start Date]]+ProposalToGnatt[[#This Row],[Days]]),$G$5,"")),"")</f>
        <v/>
      </c>
      <c r="AR76" s="36" t="str">
        <f ca="1">IFERROR(+IF(AR$27=ProposalToGnatt[[#This Row],[Start Date]],Milestone_Marker,IF(AND(AR$27&gt;ProposalToGnatt[[#This Row],[Start Date]],AR$27&lt;ProposalToGnatt[[#This Row],[Start Date]]+ProposalToGnatt[[#This Row],[Days]]),$G$5,"")),"")</f>
        <v/>
      </c>
      <c r="AS76" s="36" t="str">
        <f ca="1">IFERROR(+IF(AS$27=ProposalToGnatt[[#This Row],[Start Date]],Milestone_Marker,IF(AND(AS$27&gt;ProposalToGnatt[[#This Row],[Start Date]],AS$27&lt;ProposalToGnatt[[#This Row],[Start Date]]+ProposalToGnatt[[#This Row],[Days]]),$G$5,"")),"")</f>
        <v/>
      </c>
      <c r="AT76" s="36" t="str">
        <f ca="1">IFERROR(+IF(AT$27=ProposalToGnatt[[#This Row],[Start Date]],Milestone_Marker,IF(AND(AT$27&gt;ProposalToGnatt[[#This Row],[Start Date]],AT$27&lt;ProposalToGnatt[[#This Row],[Start Date]]+ProposalToGnatt[[#This Row],[Days]]),$G$5,"")),"")</f>
        <v/>
      </c>
      <c r="AU76" s="36" t="str">
        <f ca="1">IFERROR(+IF(AU$27=ProposalToGnatt[[#This Row],[Start Date]],Milestone_Marker,IF(AND(AU$27&gt;ProposalToGnatt[[#This Row],[Start Date]],AU$27&lt;ProposalToGnatt[[#This Row],[Start Date]]+ProposalToGnatt[[#This Row],[Days]]),$G$5,"")),"")</f>
        <v/>
      </c>
      <c r="AV76" s="36" t="str">
        <f ca="1">IFERROR(+IF(AV$27=ProposalToGnatt[[#This Row],[Start Date]],Milestone_Marker,IF(AND(AV$27&gt;ProposalToGnatt[[#This Row],[Start Date]],AV$27&lt;ProposalToGnatt[[#This Row],[Start Date]]+ProposalToGnatt[[#This Row],[Days]]),$G$5,"")),"")</f>
        <v/>
      </c>
      <c r="AW76" s="36" t="str">
        <f ca="1">IFERROR(+IF(AW$27=ProposalToGnatt[[#This Row],[Start Date]],Milestone_Marker,IF(AND(AW$27&gt;ProposalToGnatt[[#This Row],[Start Date]],AW$27&lt;ProposalToGnatt[[#This Row],[Start Date]]+ProposalToGnatt[[#This Row],[Days]]),$G$5,"")),"")</f>
        <v/>
      </c>
      <c r="AX76" s="36" t="str">
        <f ca="1">IFERROR(+IF(AX$27=ProposalToGnatt[[#This Row],[Start Date]],Milestone_Marker,IF(AND(AX$27&gt;ProposalToGnatt[[#This Row],[Start Date]],AX$27&lt;ProposalToGnatt[[#This Row],[Start Date]]+ProposalToGnatt[[#This Row],[Days]]),$G$5,"")),"")</f>
        <v/>
      </c>
      <c r="AY76" s="36" t="str">
        <f ca="1">IFERROR(+IF(AY$27=ProposalToGnatt[[#This Row],[Start Date]],Milestone_Marker,IF(AND(AY$27&gt;ProposalToGnatt[[#This Row],[Start Date]],AY$27&lt;ProposalToGnatt[[#This Row],[Start Date]]+ProposalToGnatt[[#This Row],[Days]]),$G$5,"")),"")</f>
        <v/>
      </c>
      <c r="AZ76" s="36" t="str">
        <f ca="1">IFERROR(+IF(AZ$27=ProposalToGnatt[[#This Row],[Start Date]],Milestone_Marker,IF(AND(AZ$27&gt;ProposalToGnatt[[#This Row],[Start Date]],AZ$27&lt;ProposalToGnatt[[#This Row],[Start Date]]+ProposalToGnatt[[#This Row],[Days]]),$G$5,"")),"")</f>
        <v/>
      </c>
      <c r="BA76" s="36" t="str">
        <f ca="1">IFERROR(+IF(BA$27=ProposalToGnatt[[#This Row],[Start Date]],Milestone_Marker,IF(AND(BA$27&gt;ProposalToGnatt[[#This Row],[Start Date]],BA$27&lt;ProposalToGnatt[[#This Row],[Start Date]]+ProposalToGnatt[[#This Row],[Days]]),$G$5,"")),"")</f>
        <v/>
      </c>
      <c r="BB76" s="36" t="str">
        <f ca="1">IFERROR(+IF(BB$27=ProposalToGnatt[[#This Row],[Start Date]],Milestone_Marker,IF(AND(BB$27&gt;ProposalToGnatt[[#This Row],[Start Date]],BB$27&lt;ProposalToGnatt[[#This Row],[Start Date]]+ProposalToGnatt[[#This Row],[Days]]),$G$5,"")),"")</f>
        <v/>
      </c>
      <c r="BC76" s="36" t="str">
        <f ca="1">IFERROR(+IF(BC$27=ProposalToGnatt[[#This Row],[Start Date]],Milestone_Marker,IF(AND(BC$27&gt;ProposalToGnatt[[#This Row],[Start Date]],BC$27&lt;ProposalToGnatt[[#This Row],[Start Date]]+ProposalToGnatt[[#This Row],[Days]]),$G$5,"")),"")</f>
        <v/>
      </c>
      <c r="BD76" s="36" t="str">
        <f ca="1">IFERROR(+IF(BD$27=ProposalToGnatt[[#This Row],[Start Date]],Milestone_Marker,IF(AND(BD$27&gt;ProposalToGnatt[[#This Row],[Start Date]],BD$27&lt;ProposalToGnatt[[#This Row],[Start Date]]+ProposalToGnatt[[#This Row],[Days]]),$G$5,"")),"")</f>
        <v/>
      </c>
      <c r="BE76" s="36" t="str">
        <f ca="1">IFERROR(+IF(BE$27=ProposalToGnatt[[#This Row],[Start Date]],Milestone_Marker,IF(AND(BE$27&gt;ProposalToGnatt[[#This Row],[Start Date]],BE$27&lt;ProposalToGnatt[[#This Row],[Start Date]]+ProposalToGnatt[[#This Row],[Days]]),$G$5,"")),"")</f>
        <v/>
      </c>
      <c r="BF76" s="36" t="str">
        <f ca="1">IFERROR(+IF(BF$27=ProposalToGnatt[[#This Row],[Start Date]],Milestone_Marker,IF(AND(BF$27&gt;ProposalToGnatt[[#This Row],[Start Date]],BF$27&lt;ProposalToGnatt[[#This Row],[Start Date]]+ProposalToGnatt[[#This Row],[Days]]),$G$5,"")),"")</f>
        <v/>
      </c>
      <c r="BG76" s="36" t="str">
        <f ca="1">IFERROR(+IF(BG$27=ProposalToGnatt[[#This Row],[Start Date]],Milestone_Marker,IF(AND(BG$27&gt;ProposalToGnatt[[#This Row],[Start Date]],BG$27&lt;ProposalToGnatt[[#This Row],[Start Date]]+ProposalToGnatt[[#This Row],[Days]]),$G$5,"")),"")</f>
        <v/>
      </c>
      <c r="BH76" s="36" t="str">
        <f ca="1">IFERROR(+IF(BH$27=ProposalToGnatt[[#This Row],[Start Date]],Milestone_Marker,IF(AND(BH$27&gt;ProposalToGnatt[[#This Row],[Start Date]],BH$27&lt;ProposalToGnatt[[#This Row],[Start Date]]+ProposalToGnatt[[#This Row],[Days]]),$G$5,"")),"")</f>
        <v/>
      </c>
      <c r="BI76" s="36" t="str">
        <f ca="1">IFERROR(+IF(BI$27=ProposalToGnatt[[#This Row],[Start Date]],Milestone_Marker,IF(AND(BI$27&gt;ProposalToGnatt[[#This Row],[Start Date]],BI$27&lt;ProposalToGnatt[[#This Row],[Start Date]]+ProposalToGnatt[[#This Row],[Days]]),$G$5,"")),"")</f>
        <v/>
      </c>
      <c r="BJ76" s="36" t="str">
        <f ca="1">IFERROR(+IF(BJ$27=ProposalToGnatt[[#This Row],[Start Date]],Milestone_Marker,IF(AND(BJ$27&gt;ProposalToGnatt[[#This Row],[Start Date]],BJ$27&lt;ProposalToGnatt[[#This Row],[Start Date]]+ProposalToGnatt[[#This Row],[Days]]),$G$5,"")),"")</f>
        <v/>
      </c>
      <c r="BK76" s="36" t="str">
        <f ca="1">IFERROR(+IF(BK$27=ProposalToGnatt[[#This Row],[Start Date]],Milestone_Marker,IF(AND(BK$27&gt;ProposalToGnatt[[#This Row],[Start Date]],BK$27&lt;ProposalToGnatt[[#This Row],[Start Date]]+ProposalToGnatt[[#This Row],[Days]]),$G$5,"")),"")</f>
        <v/>
      </c>
      <c r="BL76" s="36" t="str">
        <f ca="1">IFERROR(+IF(BL$27=ProposalToGnatt[[#This Row],[Start Date]],Milestone_Marker,IF(AND(BL$27&gt;ProposalToGnatt[[#This Row],[Start Date]],BL$27&lt;ProposalToGnatt[[#This Row],[Start Date]]+ProposalToGnatt[[#This Row],[Days]]),$G$5,"")),"")</f>
        <v/>
      </c>
      <c r="BM76" s="36" t="str">
        <f ca="1">IFERROR(+IF(BM$27=ProposalToGnatt[[#This Row],[Start Date]],Milestone_Marker,IF(AND(BM$27&gt;ProposalToGnatt[[#This Row],[Start Date]],BM$27&lt;ProposalToGnatt[[#This Row],[Start Date]]+ProposalToGnatt[[#This Row],[Days]]),$G$5,"")),"")</f>
        <v/>
      </c>
      <c r="BN76" s="36" t="str">
        <f ca="1">IFERROR(+IF(BN$27=ProposalToGnatt[[#This Row],[Start Date]],Milestone_Marker,IF(AND(BN$27&gt;ProposalToGnatt[[#This Row],[Start Date]],BN$27&lt;ProposalToGnatt[[#This Row],[Start Date]]+ProposalToGnatt[[#This Row],[Days]]),$G$5,"")),"")</f>
        <v/>
      </c>
      <c r="BO76" s="36" t="str">
        <f ca="1">IFERROR(+IF(BO$27=ProposalToGnatt[[#This Row],[Start Date]],Milestone_Marker,IF(AND(BO$27&gt;ProposalToGnatt[[#This Row],[Start Date]],BO$27&lt;ProposalToGnatt[[#This Row],[Start Date]]+ProposalToGnatt[[#This Row],[Days]]),$G$5,"")),"")</f>
        <v/>
      </c>
      <c r="BP76" s="36" t="str">
        <f ca="1">IFERROR(+IF(BP$27=ProposalToGnatt[[#This Row],[Start Date]],Milestone_Marker,IF(AND(BP$27&gt;ProposalToGnatt[[#This Row],[Start Date]],BP$27&lt;ProposalToGnatt[[#This Row],[Start Date]]+ProposalToGnatt[[#This Row],[Days]]),$G$5,"")),"")</f>
        <v/>
      </c>
      <c r="BQ76" s="36" t="str">
        <f ca="1">IFERROR(+IF(BQ$27=ProposalToGnatt[[#This Row],[Start Date]],Milestone_Marker,IF(AND(BQ$27&gt;ProposalToGnatt[[#This Row],[Start Date]],BQ$27&lt;ProposalToGnatt[[#This Row],[Start Date]]+ProposalToGnatt[[#This Row],[Days]]),$G$5,"")),"")</f>
        <v/>
      </c>
      <c r="BR76" s="36" t="str">
        <f ca="1">IFERROR(+IF(BR$27=ProposalToGnatt[[#This Row],[Start Date]],Milestone_Marker,IF(AND(BR$27&gt;ProposalToGnatt[[#This Row],[Start Date]],BR$27&lt;ProposalToGnatt[[#This Row],[Start Date]]+ProposalToGnatt[[#This Row],[Days]]),$G$5,"")),"")</f>
        <v/>
      </c>
      <c r="BS76" s="36" t="str">
        <f ca="1">IFERROR(+IF(BS$27=ProposalToGnatt[[#This Row],[Start Date]],Milestone_Marker,IF(AND(BS$27&gt;ProposalToGnatt[[#This Row],[Start Date]],BS$27&lt;ProposalToGnatt[[#This Row],[Start Date]]+ProposalToGnatt[[#This Row],[Days]]),$G$5,"")),"")</f>
        <v/>
      </c>
      <c r="BT76" s="36" t="str">
        <f ca="1">IFERROR(+IF(BT$27=ProposalToGnatt[[#This Row],[Start Date]],Milestone_Marker,IF(AND(BT$27&gt;ProposalToGnatt[[#This Row],[Start Date]],BT$27&lt;ProposalToGnatt[[#This Row],[Start Date]]+ProposalToGnatt[[#This Row],[Days]]),$G$5,"")),"")</f>
        <v/>
      </c>
      <c r="BU76" s="36" t="str">
        <f ca="1">IFERROR(+IF(BU$27=ProposalToGnatt[[#This Row],[Start Date]],Milestone_Marker,IF(AND(BU$27&gt;ProposalToGnatt[[#This Row],[Start Date]],BU$27&lt;ProposalToGnatt[[#This Row],[Start Date]]+ProposalToGnatt[[#This Row],[Days]]),$G$5,"")),"")</f>
        <v/>
      </c>
      <c r="BV76" s="36" t="str">
        <f ca="1">IFERROR(+IF(BV$27=ProposalToGnatt[[#This Row],[Start Date]],Milestone_Marker,IF(AND(BV$27&gt;ProposalToGnatt[[#This Row],[Start Date]],BV$27&lt;ProposalToGnatt[[#This Row],[Start Date]]+ProposalToGnatt[[#This Row],[Days]]),$G$5,"")),"")</f>
        <v/>
      </c>
      <c r="BW76" s="36" t="str">
        <f ca="1">IFERROR(+IF(BW$27=ProposalToGnatt[[#This Row],[Start Date]],Milestone_Marker,IF(AND(BW$27&gt;ProposalToGnatt[[#This Row],[Start Date]],BW$27&lt;ProposalToGnatt[[#This Row],[Start Date]]+ProposalToGnatt[[#This Row],[Days]]),$G$5,"")),"")</f>
        <v/>
      </c>
      <c r="BX76" s="36" t="str">
        <f ca="1">IFERROR(+IF(BX$27=ProposalToGnatt[[#This Row],[Start Date]],Milestone_Marker,IF(AND(BX$27&gt;ProposalToGnatt[[#This Row],[Start Date]],BX$27&lt;ProposalToGnatt[[#This Row],[Start Date]]+ProposalToGnatt[[#This Row],[Days]]),$G$5,"")),"")</f>
        <v/>
      </c>
      <c r="BY76" s="36" t="str">
        <f ca="1">IFERROR(+IF(BY$27=ProposalToGnatt[[#This Row],[Start Date]],Milestone_Marker,IF(AND(BY$27&gt;ProposalToGnatt[[#This Row],[Start Date]],BY$27&lt;ProposalToGnatt[[#This Row],[Start Date]]+ProposalToGnatt[[#This Row],[Days]]),$G$5,"")),"")</f>
        <v/>
      </c>
      <c r="BZ76" s="36" t="str">
        <f ca="1">IFERROR(+IF(BZ$27=ProposalToGnatt[[#This Row],[Start Date]],Milestone_Marker,IF(AND(BZ$27&gt;ProposalToGnatt[[#This Row],[Start Date]],BZ$27&lt;ProposalToGnatt[[#This Row],[Start Date]]+ProposalToGnatt[[#This Row],[Days]]),$G$5,"")),"")</f>
        <v/>
      </c>
      <c r="CA76" s="36" t="str">
        <f ca="1">IFERROR(+IF(CA$27=ProposalToGnatt[[#This Row],[Start Date]],Milestone_Marker,IF(AND(CA$27&gt;ProposalToGnatt[[#This Row],[Start Date]],CA$27&lt;ProposalToGnatt[[#This Row],[Start Date]]+ProposalToGnatt[[#This Row],[Days]]),$G$5,"")),"")</f>
        <v/>
      </c>
      <c r="CB76" s="36" t="str">
        <f ca="1">IFERROR(+IF(CB$27=ProposalToGnatt[[#This Row],[Start Date]],Milestone_Marker,IF(AND(CB$27&gt;ProposalToGnatt[[#This Row],[Start Date]],CB$27&lt;ProposalToGnatt[[#This Row],[Start Date]]+ProposalToGnatt[[#This Row],[Days]]),$G$5,"")),"")</f>
        <v/>
      </c>
      <c r="CC76" s="36" t="str">
        <f ca="1">IFERROR(+IF(CC$27=ProposalToGnatt[[#This Row],[Start Date]],Milestone_Marker,IF(AND(CC$27&gt;ProposalToGnatt[[#This Row],[Start Date]],CC$27&lt;ProposalToGnatt[[#This Row],[Start Date]]+ProposalToGnatt[[#This Row],[Days]]),$G$5,"")),"")</f>
        <v/>
      </c>
      <c r="CD76" s="36" t="str">
        <f ca="1">IFERROR(+IF(CD$27=ProposalToGnatt[[#This Row],[Start Date]],Milestone_Marker,IF(AND(CD$27&gt;ProposalToGnatt[[#This Row],[Start Date]],CD$27&lt;ProposalToGnatt[[#This Row],[Start Date]]+ProposalToGnatt[[#This Row],[Days]]),$G$5,"")),"")</f>
        <v/>
      </c>
      <c r="CE76" s="36" t="str">
        <f ca="1">IFERROR(+IF(CE$27=ProposalToGnatt[[#This Row],[Start Date]],Milestone_Marker,IF(AND(CE$27&gt;ProposalToGnatt[[#This Row],[Start Date]],CE$27&lt;ProposalToGnatt[[#This Row],[Start Date]]+ProposalToGnatt[[#This Row],[Days]]),$G$5,"")),"")</f>
        <v/>
      </c>
      <c r="CF76" s="36" t="str">
        <f ca="1">IFERROR(+IF(CF$27=ProposalToGnatt[[#This Row],[Start Date]],Milestone_Marker,IF(AND(CF$27&gt;ProposalToGnatt[[#This Row],[Start Date]],CF$27&lt;ProposalToGnatt[[#This Row],[Start Date]]+ProposalToGnatt[[#This Row],[Days]]),$G$5,"")),"")</f>
        <v/>
      </c>
      <c r="CG76" s="36" t="str">
        <f ca="1">IFERROR(+IF(CG$27=ProposalToGnatt[[#This Row],[Start Date]],Milestone_Marker,IF(AND(CG$27&gt;ProposalToGnatt[[#This Row],[Start Date]],CG$27&lt;ProposalToGnatt[[#This Row],[Start Date]]+ProposalToGnatt[[#This Row],[Days]]),$G$5,"")),"")</f>
        <v/>
      </c>
      <c r="CH76" s="36" t="str">
        <f ca="1">IFERROR(+IF(CH$27=ProposalToGnatt[[#This Row],[Start Date]],Milestone_Marker,IF(AND(CH$27&gt;ProposalToGnatt[[#This Row],[Start Date]],CH$27&lt;ProposalToGnatt[[#This Row],[Start Date]]+ProposalToGnatt[[#This Row],[Days]]),$G$5,"")),"")</f>
        <v/>
      </c>
      <c r="CI76" s="36" t="str">
        <f ca="1">IFERROR(+IF(CI$27=ProposalToGnatt[[#This Row],[Start Date]],Milestone_Marker,IF(AND(CI$27&gt;ProposalToGnatt[[#This Row],[Start Date]],CI$27&lt;ProposalToGnatt[[#This Row],[Start Date]]+ProposalToGnatt[[#This Row],[Days]]),$G$5,"")),"")</f>
        <v/>
      </c>
      <c r="CJ76" s="36" t="str">
        <f ca="1">IFERROR(+IF(CJ$27=ProposalToGnatt[[#This Row],[Start Date]],Milestone_Marker,IF(AND(CJ$27&gt;ProposalToGnatt[[#This Row],[Start Date]],CJ$27&lt;ProposalToGnatt[[#This Row],[Start Date]]+ProposalToGnatt[[#This Row],[Days]]),$G$5,"")),"")</f>
        <v/>
      </c>
      <c r="CK76" s="36" t="str">
        <f ca="1">IFERROR(+IF(CK$27=ProposalToGnatt[[#This Row],[Start Date]],Milestone_Marker,IF(AND(CK$27&gt;ProposalToGnatt[[#This Row],[Start Date]],CK$27&lt;ProposalToGnatt[[#This Row],[Start Date]]+ProposalToGnatt[[#This Row],[Days]]),$G$5,"")),"")</f>
        <v/>
      </c>
      <c r="CL76" s="36" t="str">
        <f ca="1">IFERROR(+IF(CL$27=ProposalToGnatt[[#This Row],[Start Date]],Milestone_Marker,IF(AND(CL$27&gt;ProposalToGnatt[[#This Row],[Start Date]],CL$27&lt;ProposalToGnatt[[#This Row],[Start Date]]+ProposalToGnatt[[#This Row],[Days]]),$G$5,"")),"")</f>
        <v/>
      </c>
      <c r="CM76" s="36" t="str">
        <f ca="1">IFERROR(+IF(CM$27=ProposalToGnatt[[#This Row],[Start Date]],Milestone_Marker,IF(AND(CM$27&gt;ProposalToGnatt[[#This Row],[Start Date]],CM$27&lt;ProposalToGnatt[[#This Row],[Start Date]]+ProposalToGnatt[[#This Row],[Days]]),$G$5,"")),"")</f>
        <v/>
      </c>
      <c r="CN76" s="36" t="str">
        <f ca="1">IFERROR(+IF(CN$27=ProposalToGnatt[[#This Row],[Start Date]],Milestone_Marker,IF(AND(CN$27&gt;ProposalToGnatt[[#This Row],[Start Date]],CN$27&lt;ProposalToGnatt[[#This Row],[Start Date]]+ProposalToGnatt[[#This Row],[Days]]),$G$5,"")),"")</f>
        <v/>
      </c>
      <c r="CO76" s="36" t="str">
        <f ca="1">IFERROR(+IF(CO$27=ProposalToGnatt[[#This Row],[Start Date]],Milestone_Marker,IF(AND(CO$27&gt;ProposalToGnatt[[#This Row],[Start Date]],CO$27&lt;ProposalToGnatt[[#This Row],[Start Date]]+ProposalToGnatt[[#This Row],[Days]]),$G$5,"")),"")</f>
        <v/>
      </c>
      <c r="CP76" s="36" t="str">
        <f ca="1">IFERROR(+IF(CP$27=ProposalToGnatt[[#This Row],[Start Date]],Milestone_Marker,IF(AND(CP$27&gt;ProposalToGnatt[[#This Row],[Start Date]],CP$27&lt;ProposalToGnatt[[#This Row],[Start Date]]+ProposalToGnatt[[#This Row],[Days]]),$G$5,"")),"")</f>
        <v/>
      </c>
      <c r="CQ76" s="36" t="str">
        <f ca="1">IFERROR(+IF(CQ$27=ProposalToGnatt[[#This Row],[Start Date]],Milestone_Marker,IF(AND(CQ$27&gt;ProposalToGnatt[[#This Row],[Start Date]],CQ$27&lt;ProposalToGnatt[[#This Row],[Start Date]]+ProposalToGnatt[[#This Row],[Days]]),$G$5,"")),"")</f>
        <v/>
      </c>
      <c r="CR76" s="36" t="str">
        <f ca="1">IFERROR(+IF(CR$27=ProposalToGnatt[[#This Row],[Start Date]],Milestone_Marker,IF(AND(CR$27&gt;ProposalToGnatt[[#This Row],[Start Date]],CR$27&lt;ProposalToGnatt[[#This Row],[Start Date]]+ProposalToGnatt[[#This Row],[Days]]),$G$5,"")),"")</f>
        <v/>
      </c>
      <c r="CS76" s="36" t="str">
        <f ca="1">IFERROR(+IF(CS$27=ProposalToGnatt[[#This Row],[Start Date]],Milestone_Marker,IF(AND(CS$27&gt;ProposalToGnatt[[#This Row],[Start Date]],CS$27&lt;ProposalToGnatt[[#This Row],[Start Date]]+ProposalToGnatt[[#This Row],[Days]]),$G$5,"")),"")</f>
        <v/>
      </c>
      <c r="CT76" s="36" t="str">
        <f ca="1">IFERROR(+IF(CT$27=ProposalToGnatt[[#This Row],[Start Date]],Milestone_Marker,IF(AND(CT$27&gt;ProposalToGnatt[[#This Row],[Start Date]],CT$27&lt;ProposalToGnatt[[#This Row],[Start Date]]+ProposalToGnatt[[#This Row],[Days]]),$G$5,"")),"")</f>
        <v/>
      </c>
      <c r="CU76" s="36" t="str">
        <f ca="1">IFERROR(+IF(CU$27=ProposalToGnatt[[#This Row],[Start Date]],Milestone_Marker,IF(AND(CU$27&gt;ProposalToGnatt[[#This Row],[Start Date]],CU$27&lt;ProposalToGnatt[[#This Row],[Start Date]]+ProposalToGnatt[[#This Row],[Days]]),$G$5,"")),"")</f>
        <v/>
      </c>
      <c r="CV76" s="36"/>
      <c r="CW76" s="36"/>
      <c r="CX76" s="36"/>
      <c r="CY76" s="36"/>
      <c r="CZ76" s="36"/>
      <c r="DA76" s="36"/>
      <c r="DB76" s="36"/>
      <c r="DC76" s="36"/>
      <c r="DD76" s="36"/>
      <c r="DE76" s="36"/>
      <c r="DF76" s="36"/>
      <c r="DG76" s="36"/>
      <c r="DH76" s="36"/>
      <c r="DI76" s="36"/>
      <c r="DJ76" s="36"/>
      <c r="DK76" s="36"/>
      <c r="DL76" s="36"/>
      <c r="DM76" s="36"/>
      <c r="DN76" s="36"/>
      <c r="DO76" s="36"/>
      <c r="DP76" s="36"/>
      <c r="DQ76" s="36"/>
      <c r="DR76" s="36"/>
      <c r="DS76" s="36"/>
      <c r="DT76" s="36"/>
      <c r="DU76" s="36"/>
    </row>
    <row r="77" spans="1:125" ht="15" x14ac:dyDescent="0.25">
      <c r="A77"/>
      <c r="B77"/>
      <c r="C77"/>
      <c r="D77"/>
      <c r="E77"/>
      <c r="F77"/>
      <c r="G77" s="14"/>
      <c r="H77" s="14"/>
      <c r="I77"/>
      <c r="J77"/>
      <c r="K77" s="246"/>
      <c r="L77"/>
      <c r="M77" s="14"/>
      <c r="N77" s="299"/>
      <c r="O77" s="281"/>
      <c r="P77" s="36" t="str">
        <f ca="1">IFERROR(+IF(P$27=ProposalToGnatt[[#This Row],[Start Date]],Milestone_Marker,IF(AND(P$27&gt;ProposalToGnatt[[#This Row],[Start Date]],P$27&lt;ProposalToGnatt[[#This Row],[Start Date]]+ProposalToGnatt[[#This Row],[Days]]),$G$5,"")),"")</f>
        <v/>
      </c>
      <c r="Q77" s="36" t="str">
        <f ca="1">IFERROR(+IF(Q$27=ProposalToGnatt[[#This Row],[Start Date]],Milestone_Marker,IF(AND(Q$27&gt;ProposalToGnatt[[#This Row],[Start Date]],Q$27&lt;ProposalToGnatt[[#This Row],[Start Date]]+ProposalToGnatt[[#This Row],[Days]]),$G$5,"")),"")</f>
        <v/>
      </c>
      <c r="R77" s="36" t="str">
        <f ca="1">IFERROR(+IF(R$27=ProposalToGnatt[[#This Row],[Start Date]],Milestone_Marker,IF(AND(R$27&gt;ProposalToGnatt[[#This Row],[Start Date]],R$27&lt;ProposalToGnatt[[#This Row],[Start Date]]+ProposalToGnatt[[#This Row],[Days]]),$G$5,"")),"")</f>
        <v/>
      </c>
      <c r="S77" s="36" t="str">
        <f ca="1">IFERROR(+IF(S$27=ProposalToGnatt[[#This Row],[Start Date]],Milestone_Marker,IF(AND(S$27&gt;ProposalToGnatt[[#This Row],[Start Date]],S$27&lt;ProposalToGnatt[[#This Row],[Start Date]]+ProposalToGnatt[[#This Row],[Days]]),$G$5,"")),"")</f>
        <v/>
      </c>
      <c r="T77" s="36" t="str">
        <f ca="1">IFERROR(+IF(T$27=ProposalToGnatt[[#This Row],[Start Date]],Milestone_Marker,IF(AND(T$27&gt;ProposalToGnatt[[#This Row],[Start Date]],T$27&lt;ProposalToGnatt[[#This Row],[Start Date]]+ProposalToGnatt[[#This Row],[Days]]),$G$5,"")),"")</f>
        <v/>
      </c>
      <c r="U77" s="36" t="str">
        <f ca="1">IFERROR(+IF(U$27=ProposalToGnatt[[#This Row],[Start Date]],Milestone_Marker,IF(AND(U$27&gt;ProposalToGnatt[[#This Row],[Start Date]],U$27&lt;ProposalToGnatt[[#This Row],[Start Date]]+ProposalToGnatt[[#This Row],[Days]]),$G$5,"")),"")</f>
        <v/>
      </c>
      <c r="V77" s="36" t="str">
        <f ca="1">IFERROR(+IF(V$27=ProposalToGnatt[[#This Row],[Start Date]],Milestone_Marker,IF(AND(V$27&gt;ProposalToGnatt[[#This Row],[Start Date]],V$27&lt;ProposalToGnatt[[#This Row],[Start Date]]+ProposalToGnatt[[#This Row],[Days]]),$G$5,"")),"")</f>
        <v/>
      </c>
      <c r="W77" s="36" t="str">
        <f ca="1">IFERROR(+IF(W$27=ProposalToGnatt[[#This Row],[Start Date]],Milestone_Marker,IF(AND(W$27&gt;ProposalToGnatt[[#This Row],[Start Date]],W$27&lt;ProposalToGnatt[[#This Row],[Start Date]]+ProposalToGnatt[[#This Row],[Days]]),$G$5,"")),"")</f>
        <v/>
      </c>
      <c r="X77" s="36" t="str">
        <f ca="1">IFERROR(+IF(X$27=ProposalToGnatt[[#This Row],[Start Date]],Milestone_Marker,IF(AND(X$27&gt;ProposalToGnatt[[#This Row],[Start Date]],X$27&lt;ProposalToGnatt[[#This Row],[Start Date]]+ProposalToGnatt[[#This Row],[Days]]),$G$5,"")),"")</f>
        <v/>
      </c>
      <c r="Y77" s="36" t="str">
        <f ca="1">IFERROR(+IF(Y$27=ProposalToGnatt[[#This Row],[Start Date]],Milestone_Marker,IF(AND(Y$27&gt;ProposalToGnatt[[#This Row],[Start Date]],Y$27&lt;ProposalToGnatt[[#This Row],[Start Date]]+ProposalToGnatt[[#This Row],[Days]]),$G$5,"")),"")</f>
        <v/>
      </c>
      <c r="Z77" s="36" t="str">
        <f ca="1">IFERROR(+IF(Z$27=ProposalToGnatt[[#This Row],[Start Date]],Milestone_Marker,IF(AND(Z$27&gt;ProposalToGnatt[[#This Row],[Start Date]],Z$27&lt;ProposalToGnatt[[#This Row],[Start Date]]+ProposalToGnatt[[#This Row],[Days]]),$G$5,"")),"")</f>
        <v/>
      </c>
      <c r="AA77" s="36" t="str">
        <f ca="1">IFERROR(+IF(AA$27=ProposalToGnatt[[#This Row],[Start Date]],Milestone_Marker,IF(AND(AA$27&gt;ProposalToGnatt[[#This Row],[Start Date]],AA$27&lt;ProposalToGnatt[[#This Row],[Start Date]]+ProposalToGnatt[[#This Row],[Days]]),$G$5,"")),"")</f>
        <v/>
      </c>
      <c r="AB77" s="36" t="str">
        <f ca="1">IFERROR(+IF(AB$27=ProposalToGnatt[[#This Row],[Start Date]],Milestone_Marker,IF(AND(AB$27&gt;ProposalToGnatt[[#This Row],[Start Date]],AB$27&lt;ProposalToGnatt[[#This Row],[Start Date]]+ProposalToGnatt[[#This Row],[Days]]),$G$5,"")),"")</f>
        <v/>
      </c>
      <c r="AC77" s="36" t="str">
        <f ca="1">IFERROR(+IF(AC$27=ProposalToGnatt[[#This Row],[Start Date]],Milestone_Marker,IF(AND(AC$27&gt;ProposalToGnatt[[#This Row],[Start Date]],AC$27&lt;ProposalToGnatt[[#This Row],[Start Date]]+ProposalToGnatt[[#This Row],[Days]]),$G$5,"")),"")</f>
        <v/>
      </c>
      <c r="AD77" s="36" t="str">
        <f ca="1">IFERROR(+IF(AD$27=ProposalToGnatt[[#This Row],[Start Date]],Milestone_Marker,IF(AND(AD$27&gt;ProposalToGnatt[[#This Row],[Start Date]],AD$27&lt;ProposalToGnatt[[#This Row],[Start Date]]+ProposalToGnatt[[#This Row],[Days]]),$G$5,"")),"")</f>
        <v/>
      </c>
      <c r="AE77" s="36" t="str">
        <f ca="1">IFERROR(+IF(AE$27=ProposalToGnatt[[#This Row],[Start Date]],Milestone_Marker,IF(AND(AE$27&gt;ProposalToGnatt[[#This Row],[Start Date]],AE$27&lt;ProposalToGnatt[[#This Row],[Start Date]]+ProposalToGnatt[[#This Row],[Days]]),$G$5,"")),"")</f>
        <v/>
      </c>
      <c r="AF77" s="36" t="str">
        <f ca="1">IFERROR(+IF(AF$27=ProposalToGnatt[[#This Row],[Start Date]],Milestone_Marker,IF(AND(AF$27&gt;ProposalToGnatt[[#This Row],[Start Date]],AF$27&lt;ProposalToGnatt[[#This Row],[Start Date]]+ProposalToGnatt[[#This Row],[Days]]),$G$5,"")),"")</f>
        <v/>
      </c>
      <c r="AG77" s="36" t="str">
        <f ca="1">IFERROR(+IF(AG$27=ProposalToGnatt[[#This Row],[Start Date]],Milestone_Marker,IF(AND(AG$27&gt;ProposalToGnatt[[#This Row],[Start Date]],AG$27&lt;ProposalToGnatt[[#This Row],[Start Date]]+ProposalToGnatt[[#This Row],[Days]]),$G$5,"")),"")</f>
        <v/>
      </c>
      <c r="AH77" s="36" t="str">
        <f ca="1">IFERROR(+IF(AH$27=ProposalToGnatt[[#This Row],[Start Date]],Milestone_Marker,IF(AND(AH$27&gt;ProposalToGnatt[[#This Row],[Start Date]],AH$27&lt;ProposalToGnatt[[#This Row],[Start Date]]+ProposalToGnatt[[#This Row],[Days]]),$G$5,"")),"")</f>
        <v/>
      </c>
      <c r="AI77" s="36" t="str">
        <f ca="1">IFERROR(+IF(AI$27=ProposalToGnatt[[#This Row],[Start Date]],Milestone_Marker,IF(AND(AI$27&gt;ProposalToGnatt[[#This Row],[Start Date]],AI$27&lt;ProposalToGnatt[[#This Row],[Start Date]]+ProposalToGnatt[[#This Row],[Days]]),$G$5,"")),"")</f>
        <v/>
      </c>
      <c r="AJ77" s="36" t="str">
        <f ca="1">IFERROR(+IF(AJ$27=ProposalToGnatt[[#This Row],[Start Date]],Milestone_Marker,IF(AND(AJ$27&gt;ProposalToGnatt[[#This Row],[Start Date]],AJ$27&lt;ProposalToGnatt[[#This Row],[Start Date]]+ProposalToGnatt[[#This Row],[Days]]),$G$5,"")),"")</f>
        <v/>
      </c>
      <c r="AK77" s="36" t="str">
        <f ca="1">IFERROR(+IF(AK$27=ProposalToGnatt[[#This Row],[Start Date]],Milestone_Marker,IF(AND(AK$27&gt;ProposalToGnatt[[#This Row],[Start Date]],AK$27&lt;ProposalToGnatt[[#This Row],[Start Date]]+ProposalToGnatt[[#This Row],[Days]]),$G$5,"")),"")</f>
        <v/>
      </c>
      <c r="AL77" s="36" t="str">
        <f ca="1">IFERROR(+IF(AL$27=ProposalToGnatt[[#This Row],[Start Date]],Milestone_Marker,IF(AND(AL$27&gt;ProposalToGnatt[[#This Row],[Start Date]],AL$27&lt;ProposalToGnatt[[#This Row],[Start Date]]+ProposalToGnatt[[#This Row],[Days]]),$G$5,"")),"")</f>
        <v/>
      </c>
      <c r="AM77" s="36" t="str">
        <f ca="1">IFERROR(+IF(AM$27=ProposalToGnatt[[#This Row],[Start Date]],Milestone_Marker,IF(AND(AM$27&gt;ProposalToGnatt[[#This Row],[Start Date]],AM$27&lt;ProposalToGnatt[[#This Row],[Start Date]]+ProposalToGnatt[[#This Row],[Days]]),$G$5,"")),"")</f>
        <v/>
      </c>
      <c r="AN77" s="36" t="str">
        <f ca="1">IFERROR(+IF(AN$27=ProposalToGnatt[[#This Row],[Start Date]],Milestone_Marker,IF(AND(AN$27&gt;ProposalToGnatt[[#This Row],[Start Date]],AN$27&lt;ProposalToGnatt[[#This Row],[Start Date]]+ProposalToGnatt[[#This Row],[Days]]),$G$5,"")),"")</f>
        <v/>
      </c>
      <c r="AO77" s="36" t="str">
        <f ca="1">IFERROR(+IF(AO$27=ProposalToGnatt[[#This Row],[Start Date]],Milestone_Marker,IF(AND(AO$27&gt;ProposalToGnatt[[#This Row],[Start Date]],AO$27&lt;ProposalToGnatt[[#This Row],[Start Date]]+ProposalToGnatt[[#This Row],[Days]]),$G$5,"")),"")</f>
        <v/>
      </c>
      <c r="AP77" s="36" t="str">
        <f ca="1">IFERROR(+IF(AP$27=ProposalToGnatt[[#This Row],[Start Date]],Milestone_Marker,IF(AND(AP$27&gt;ProposalToGnatt[[#This Row],[Start Date]],AP$27&lt;ProposalToGnatt[[#This Row],[Start Date]]+ProposalToGnatt[[#This Row],[Days]]),$G$5,"")),"")</f>
        <v/>
      </c>
      <c r="AQ77" s="36" t="str">
        <f ca="1">IFERROR(+IF(AQ$27=ProposalToGnatt[[#This Row],[Start Date]],Milestone_Marker,IF(AND(AQ$27&gt;ProposalToGnatt[[#This Row],[Start Date]],AQ$27&lt;ProposalToGnatt[[#This Row],[Start Date]]+ProposalToGnatt[[#This Row],[Days]]),$G$5,"")),"")</f>
        <v/>
      </c>
      <c r="AR77" s="36" t="str">
        <f ca="1">IFERROR(+IF(AR$27=ProposalToGnatt[[#This Row],[Start Date]],Milestone_Marker,IF(AND(AR$27&gt;ProposalToGnatt[[#This Row],[Start Date]],AR$27&lt;ProposalToGnatt[[#This Row],[Start Date]]+ProposalToGnatt[[#This Row],[Days]]),$G$5,"")),"")</f>
        <v/>
      </c>
      <c r="AS77" s="36" t="str">
        <f ca="1">IFERROR(+IF(AS$27=ProposalToGnatt[[#This Row],[Start Date]],Milestone_Marker,IF(AND(AS$27&gt;ProposalToGnatt[[#This Row],[Start Date]],AS$27&lt;ProposalToGnatt[[#This Row],[Start Date]]+ProposalToGnatt[[#This Row],[Days]]),$G$5,"")),"")</f>
        <v/>
      </c>
      <c r="AT77" s="36" t="str">
        <f ca="1">IFERROR(+IF(AT$27=ProposalToGnatt[[#This Row],[Start Date]],Milestone_Marker,IF(AND(AT$27&gt;ProposalToGnatt[[#This Row],[Start Date]],AT$27&lt;ProposalToGnatt[[#This Row],[Start Date]]+ProposalToGnatt[[#This Row],[Days]]),$G$5,"")),"")</f>
        <v/>
      </c>
      <c r="AU77" s="36" t="str">
        <f ca="1">IFERROR(+IF(AU$27=ProposalToGnatt[[#This Row],[Start Date]],Milestone_Marker,IF(AND(AU$27&gt;ProposalToGnatt[[#This Row],[Start Date]],AU$27&lt;ProposalToGnatt[[#This Row],[Start Date]]+ProposalToGnatt[[#This Row],[Days]]),$G$5,"")),"")</f>
        <v/>
      </c>
      <c r="AV77" s="36" t="str">
        <f ca="1">IFERROR(+IF(AV$27=ProposalToGnatt[[#This Row],[Start Date]],Milestone_Marker,IF(AND(AV$27&gt;ProposalToGnatt[[#This Row],[Start Date]],AV$27&lt;ProposalToGnatt[[#This Row],[Start Date]]+ProposalToGnatt[[#This Row],[Days]]),$G$5,"")),"")</f>
        <v/>
      </c>
      <c r="AW77" s="36" t="str">
        <f ca="1">IFERROR(+IF(AW$27=ProposalToGnatt[[#This Row],[Start Date]],Milestone_Marker,IF(AND(AW$27&gt;ProposalToGnatt[[#This Row],[Start Date]],AW$27&lt;ProposalToGnatt[[#This Row],[Start Date]]+ProposalToGnatt[[#This Row],[Days]]),$G$5,"")),"")</f>
        <v/>
      </c>
      <c r="AX77" s="36" t="str">
        <f ca="1">IFERROR(+IF(AX$27=ProposalToGnatt[[#This Row],[Start Date]],Milestone_Marker,IF(AND(AX$27&gt;ProposalToGnatt[[#This Row],[Start Date]],AX$27&lt;ProposalToGnatt[[#This Row],[Start Date]]+ProposalToGnatt[[#This Row],[Days]]),$G$5,"")),"")</f>
        <v/>
      </c>
      <c r="AY77" s="36" t="str">
        <f ca="1">IFERROR(+IF(AY$27=ProposalToGnatt[[#This Row],[Start Date]],Milestone_Marker,IF(AND(AY$27&gt;ProposalToGnatt[[#This Row],[Start Date]],AY$27&lt;ProposalToGnatt[[#This Row],[Start Date]]+ProposalToGnatt[[#This Row],[Days]]),$G$5,"")),"")</f>
        <v/>
      </c>
      <c r="AZ77" s="36" t="str">
        <f ca="1">IFERROR(+IF(AZ$27=ProposalToGnatt[[#This Row],[Start Date]],Milestone_Marker,IF(AND(AZ$27&gt;ProposalToGnatt[[#This Row],[Start Date]],AZ$27&lt;ProposalToGnatt[[#This Row],[Start Date]]+ProposalToGnatt[[#This Row],[Days]]),$G$5,"")),"")</f>
        <v/>
      </c>
      <c r="BA77" s="36" t="str">
        <f ca="1">IFERROR(+IF(BA$27=ProposalToGnatt[[#This Row],[Start Date]],Milestone_Marker,IF(AND(BA$27&gt;ProposalToGnatt[[#This Row],[Start Date]],BA$27&lt;ProposalToGnatt[[#This Row],[Start Date]]+ProposalToGnatt[[#This Row],[Days]]),$G$5,"")),"")</f>
        <v/>
      </c>
      <c r="BB77" s="36" t="str">
        <f ca="1">IFERROR(+IF(BB$27=ProposalToGnatt[[#This Row],[Start Date]],Milestone_Marker,IF(AND(BB$27&gt;ProposalToGnatt[[#This Row],[Start Date]],BB$27&lt;ProposalToGnatt[[#This Row],[Start Date]]+ProposalToGnatt[[#This Row],[Days]]),$G$5,"")),"")</f>
        <v/>
      </c>
      <c r="BC77" s="36" t="str">
        <f ca="1">IFERROR(+IF(BC$27=ProposalToGnatt[[#This Row],[Start Date]],Milestone_Marker,IF(AND(BC$27&gt;ProposalToGnatt[[#This Row],[Start Date]],BC$27&lt;ProposalToGnatt[[#This Row],[Start Date]]+ProposalToGnatt[[#This Row],[Days]]),$G$5,"")),"")</f>
        <v/>
      </c>
      <c r="BD77" s="36" t="str">
        <f ca="1">IFERROR(+IF(BD$27=ProposalToGnatt[[#This Row],[Start Date]],Milestone_Marker,IF(AND(BD$27&gt;ProposalToGnatt[[#This Row],[Start Date]],BD$27&lt;ProposalToGnatt[[#This Row],[Start Date]]+ProposalToGnatt[[#This Row],[Days]]),$G$5,"")),"")</f>
        <v/>
      </c>
      <c r="BE77" s="36" t="str">
        <f ca="1">IFERROR(+IF(BE$27=ProposalToGnatt[[#This Row],[Start Date]],Milestone_Marker,IF(AND(BE$27&gt;ProposalToGnatt[[#This Row],[Start Date]],BE$27&lt;ProposalToGnatt[[#This Row],[Start Date]]+ProposalToGnatt[[#This Row],[Days]]),$G$5,"")),"")</f>
        <v/>
      </c>
      <c r="BF77" s="36" t="str">
        <f ca="1">IFERROR(+IF(BF$27=ProposalToGnatt[[#This Row],[Start Date]],Milestone_Marker,IF(AND(BF$27&gt;ProposalToGnatt[[#This Row],[Start Date]],BF$27&lt;ProposalToGnatt[[#This Row],[Start Date]]+ProposalToGnatt[[#This Row],[Days]]),$G$5,"")),"")</f>
        <v/>
      </c>
      <c r="BG77" s="36" t="str">
        <f ca="1">IFERROR(+IF(BG$27=ProposalToGnatt[[#This Row],[Start Date]],Milestone_Marker,IF(AND(BG$27&gt;ProposalToGnatt[[#This Row],[Start Date]],BG$27&lt;ProposalToGnatt[[#This Row],[Start Date]]+ProposalToGnatt[[#This Row],[Days]]),$G$5,"")),"")</f>
        <v/>
      </c>
      <c r="BH77" s="36" t="str">
        <f ca="1">IFERROR(+IF(BH$27=ProposalToGnatt[[#This Row],[Start Date]],Milestone_Marker,IF(AND(BH$27&gt;ProposalToGnatt[[#This Row],[Start Date]],BH$27&lt;ProposalToGnatt[[#This Row],[Start Date]]+ProposalToGnatt[[#This Row],[Days]]),$G$5,"")),"")</f>
        <v/>
      </c>
      <c r="BI77" s="36" t="str">
        <f ca="1">IFERROR(+IF(BI$27=ProposalToGnatt[[#This Row],[Start Date]],Milestone_Marker,IF(AND(BI$27&gt;ProposalToGnatt[[#This Row],[Start Date]],BI$27&lt;ProposalToGnatt[[#This Row],[Start Date]]+ProposalToGnatt[[#This Row],[Days]]),$G$5,"")),"")</f>
        <v/>
      </c>
      <c r="BJ77" s="36" t="str">
        <f ca="1">IFERROR(+IF(BJ$27=ProposalToGnatt[[#This Row],[Start Date]],Milestone_Marker,IF(AND(BJ$27&gt;ProposalToGnatt[[#This Row],[Start Date]],BJ$27&lt;ProposalToGnatt[[#This Row],[Start Date]]+ProposalToGnatt[[#This Row],[Days]]),$G$5,"")),"")</f>
        <v/>
      </c>
      <c r="BK77" s="36" t="str">
        <f ca="1">IFERROR(+IF(BK$27=ProposalToGnatt[[#This Row],[Start Date]],Milestone_Marker,IF(AND(BK$27&gt;ProposalToGnatt[[#This Row],[Start Date]],BK$27&lt;ProposalToGnatt[[#This Row],[Start Date]]+ProposalToGnatt[[#This Row],[Days]]),$G$5,"")),"")</f>
        <v/>
      </c>
      <c r="BL77" s="36" t="str">
        <f ca="1">IFERROR(+IF(BL$27=ProposalToGnatt[[#This Row],[Start Date]],Milestone_Marker,IF(AND(BL$27&gt;ProposalToGnatt[[#This Row],[Start Date]],BL$27&lt;ProposalToGnatt[[#This Row],[Start Date]]+ProposalToGnatt[[#This Row],[Days]]),$G$5,"")),"")</f>
        <v/>
      </c>
      <c r="BM77" s="36" t="str">
        <f ca="1">IFERROR(+IF(BM$27=ProposalToGnatt[[#This Row],[Start Date]],Milestone_Marker,IF(AND(BM$27&gt;ProposalToGnatt[[#This Row],[Start Date]],BM$27&lt;ProposalToGnatt[[#This Row],[Start Date]]+ProposalToGnatt[[#This Row],[Days]]),$G$5,"")),"")</f>
        <v/>
      </c>
      <c r="BN77" s="36" t="str">
        <f ca="1">IFERROR(+IF(BN$27=ProposalToGnatt[[#This Row],[Start Date]],Milestone_Marker,IF(AND(BN$27&gt;ProposalToGnatt[[#This Row],[Start Date]],BN$27&lt;ProposalToGnatt[[#This Row],[Start Date]]+ProposalToGnatt[[#This Row],[Days]]),$G$5,"")),"")</f>
        <v/>
      </c>
      <c r="BO77" s="36" t="str">
        <f ca="1">IFERROR(+IF(BO$27=ProposalToGnatt[[#This Row],[Start Date]],Milestone_Marker,IF(AND(BO$27&gt;ProposalToGnatt[[#This Row],[Start Date]],BO$27&lt;ProposalToGnatt[[#This Row],[Start Date]]+ProposalToGnatt[[#This Row],[Days]]),$G$5,"")),"")</f>
        <v/>
      </c>
      <c r="BP77" s="36" t="str">
        <f ca="1">IFERROR(+IF(BP$27=ProposalToGnatt[[#This Row],[Start Date]],Milestone_Marker,IF(AND(BP$27&gt;ProposalToGnatt[[#This Row],[Start Date]],BP$27&lt;ProposalToGnatt[[#This Row],[Start Date]]+ProposalToGnatt[[#This Row],[Days]]),$G$5,"")),"")</f>
        <v/>
      </c>
      <c r="BQ77" s="36" t="str">
        <f ca="1">IFERROR(+IF(BQ$27=ProposalToGnatt[[#This Row],[Start Date]],Milestone_Marker,IF(AND(BQ$27&gt;ProposalToGnatt[[#This Row],[Start Date]],BQ$27&lt;ProposalToGnatt[[#This Row],[Start Date]]+ProposalToGnatt[[#This Row],[Days]]),$G$5,"")),"")</f>
        <v/>
      </c>
      <c r="BR77" s="36" t="str">
        <f ca="1">IFERROR(+IF(BR$27=ProposalToGnatt[[#This Row],[Start Date]],Milestone_Marker,IF(AND(BR$27&gt;ProposalToGnatt[[#This Row],[Start Date]],BR$27&lt;ProposalToGnatt[[#This Row],[Start Date]]+ProposalToGnatt[[#This Row],[Days]]),$G$5,"")),"")</f>
        <v/>
      </c>
      <c r="BS77" s="36" t="str">
        <f ca="1">IFERROR(+IF(BS$27=ProposalToGnatt[[#This Row],[Start Date]],Milestone_Marker,IF(AND(BS$27&gt;ProposalToGnatt[[#This Row],[Start Date]],BS$27&lt;ProposalToGnatt[[#This Row],[Start Date]]+ProposalToGnatt[[#This Row],[Days]]),$G$5,"")),"")</f>
        <v/>
      </c>
      <c r="BT77" s="36" t="str">
        <f ca="1">IFERROR(+IF(BT$27=ProposalToGnatt[[#This Row],[Start Date]],Milestone_Marker,IF(AND(BT$27&gt;ProposalToGnatt[[#This Row],[Start Date]],BT$27&lt;ProposalToGnatt[[#This Row],[Start Date]]+ProposalToGnatt[[#This Row],[Days]]),$G$5,"")),"")</f>
        <v/>
      </c>
      <c r="BU77" s="36" t="str">
        <f ca="1">IFERROR(+IF(BU$27=ProposalToGnatt[[#This Row],[Start Date]],Milestone_Marker,IF(AND(BU$27&gt;ProposalToGnatt[[#This Row],[Start Date]],BU$27&lt;ProposalToGnatt[[#This Row],[Start Date]]+ProposalToGnatt[[#This Row],[Days]]),$G$5,"")),"")</f>
        <v/>
      </c>
      <c r="BV77" s="36" t="str">
        <f ca="1">IFERROR(+IF(BV$27=ProposalToGnatt[[#This Row],[Start Date]],Milestone_Marker,IF(AND(BV$27&gt;ProposalToGnatt[[#This Row],[Start Date]],BV$27&lt;ProposalToGnatt[[#This Row],[Start Date]]+ProposalToGnatt[[#This Row],[Days]]),$G$5,"")),"")</f>
        <v/>
      </c>
      <c r="BW77" s="36" t="str">
        <f ca="1">IFERROR(+IF(BW$27=ProposalToGnatt[[#This Row],[Start Date]],Milestone_Marker,IF(AND(BW$27&gt;ProposalToGnatt[[#This Row],[Start Date]],BW$27&lt;ProposalToGnatt[[#This Row],[Start Date]]+ProposalToGnatt[[#This Row],[Days]]),$G$5,"")),"")</f>
        <v/>
      </c>
      <c r="BX77" s="36" t="str">
        <f ca="1">IFERROR(+IF(BX$27=ProposalToGnatt[[#This Row],[Start Date]],Milestone_Marker,IF(AND(BX$27&gt;ProposalToGnatt[[#This Row],[Start Date]],BX$27&lt;ProposalToGnatt[[#This Row],[Start Date]]+ProposalToGnatt[[#This Row],[Days]]),$G$5,"")),"")</f>
        <v/>
      </c>
      <c r="BY77" s="36" t="str">
        <f ca="1">IFERROR(+IF(BY$27=ProposalToGnatt[[#This Row],[Start Date]],Milestone_Marker,IF(AND(BY$27&gt;ProposalToGnatt[[#This Row],[Start Date]],BY$27&lt;ProposalToGnatt[[#This Row],[Start Date]]+ProposalToGnatt[[#This Row],[Days]]),$G$5,"")),"")</f>
        <v/>
      </c>
      <c r="BZ77" s="36" t="str">
        <f ca="1">IFERROR(+IF(BZ$27=ProposalToGnatt[[#This Row],[Start Date]],Milestone_Marker,IF(AND(BZ$27&gt;ProposalToGnatt[[#This Row],[Start Date]],BZ$27&lt;ProposalToGnatt[[#This Row],[Start Date]]+ProposalToGnatt[[#This Row],[Days]]),$G$5,"")),"")</f>
        <v/>
      </c>
      <c r="CA77" s="36" t="str">
        <f ca="1">IFERROR(+IF(CA$27=ProposalToGnatt[[#This Row],[Start Date]],Milestone_Marker,IF(AND(CA$27&gt;ProposalToGnatt[[#This Row],[Start Date]],CA$27&lt;ProposalToGnatt[[#This Row],[Start Date]]+ProposalToGnatt[[#This Row],[Days]]),$G$5,"")),"")</f>
        <v/>
      </c>
      <c r="CB77" s="36" t="str">
        <f ca="1">IFERROR(+IF(CB$27=ProposalToGnatt[[#This Row],[Start Date]],Milestone_Marker,IF(AND(CB$27&gt;ProposalToGnatt[[#This Row],[Start Date]],CB$27&lt;ProposalToGnatt[[#This Row],[Start Date]]+ProposalToGnatt[[#This Row],[Days]]),$G$5,"")),"")</f>
        <v/>
      </c>
      <c r="CC77" s="36" t="str">
        <f ca="1">IFERROR(+IF(CC$27=ProposalToGnatt[[#This Row],[Start Date]],Milestone_Marker,IF(AND(CC$27&gt;ProposalToGnatt[[#This Row],[Start Date]],CC$27&lt;ProposalToGnatt[[#This Row],[Start Date]]+ProposalToGnatt[[#This Row],[Days]]),$G$5,"")),"")</f>
        <v/>
      </c>
      <c r="CD77" s="36" t="str">
        <f ca="1">IFERROR(+IF(CD$27=ProposalToGnatt[[#This Row],[Start Date]],Milestone_Marker,IF(AND(CD$27&gt;ProposalToGnatt[[#This Row],[Start Date]],CD$27&lt;ProposalToGnatt[[#This Row],[Start Date]]+ProposalToGnatt[[#This Row],[Days]]),$G$5,"")),"")</f>
        <v/>
      </c>
      <c r="CE77" s="36" t="str">
        <f ca="1">IFERROR(+IF(CE$27=ProposalToGnatt[[#This Row],[Start Date]],Milestone_Marker,IF(AND(CE$27&gt;ProposalToGnatt[[#This Row],[Start Date]],CE$27&lt;ProposalToGnatt[[#This Row],[Start Date]]+ProposalToGnatt[[#This Row],[Days]]),$G$5,"")),"")</f>
        <v/>
      </c>
      <c r="CF77" s="36" t="str">
        <f ca="1">IFERROR(+IF(CF$27=ProposalToGnatt[[#This Row],[Start Date]],Milestone_Marker,IF(AND(CF$27&gt;ProposalToGnatt[[#This Row],[Start Date]],CF$27&lt;ProposalToGnatt[[#This Row],[Start Date]]+ProposalToGnatt[[#This Row],[Days]]),$G$5,"")),"")</f>
        <v/>
      </c>
      <c r="CG77" s="36" t="str">
        <f ca="1">IFERROR(+IF(CG$27=ProposalToGnatt[[#This Row],[Start Date]],Milestone_Marker,IF(AND(CG$27&gt;ProposalToGnatt[[#This Row],[Start Date]],CG$27&lt;ProposalToGnatt[[#This Row],[Start Date]]+ProposalToGnatt[[#This Row],[Days]]),$G$5,"")),"")</f>
        <v/>
      </c>
      <c r="CH77" s="36" t="str">
        <f ca="1">IFERROR(+IF(CH$27=ProposalToGnatt[[#This Row],[Start Date]],Milestone_Marker,IF(AND(CH$27&gt;ProposalToGnatt[[#This Row],[Start Date]],CH$27&lt;ProposalToGnatt[[#This Row],[Start Date]]+ProposalToGnatt[[#This Row],[Days]]),$G$5,"")),"")</f>
        <v/>
      </c>
      <c r="CI77" s="36" t="str">
        <f ca="1">IFERROR(+IF(CI$27=ProposalToGnatt[[#This Row],[Start Date]],Milestone_Marker,IF(AND(CI$27&gt;ProposalToGnatt[[#This Row],[Start Date]],CI$27&lt;ProposalToGnatt[[#This Row],[Start Date]]+ProposalToGnatt[[#This Row],[Days]]),$G$5,"")),"")</f>
        <v/>
      </c>
      <c r="CJ77" s="36" t="str">
        <f ca="1">IFERROR(+IF(CJ$27=ProposalToGnatt[[#This Row],[Start Date]],Milestone_Marker,IF(AND(CJ$27&gt;ProposalToGnatt[[#This Row],[Start Date]],CJ$27&lt;ProposalToGnatt[[#This Row],[Start Date]]+ProposalToGnatt[[#This Row],[Days]]),$G$5,"")),"")</f>
        <v/>
      </c>
      <c r="CK77" s="36" t="str">
        <f ca="1">IFERROR(+IF(CK$27=ProposalToGnatt[[#This Row],[Start Date]],Milestone_Marker,IF(AND(CK$27&gt;ProposalToGnatt[[#This Row],[Start Date]],CK$27&lt;ProposalToGnatt[[#This Row],[Start Date]]+ProposalToGnatt[[#This Row],[Days]]),$G$5,"")),"")</f>
        <v/>
      </c>
      <c r="CL77" s="36" t="str">
        <f ca="1">IFERROR(+IF(CL$27=ProposalToGnatt[[#This Row],[Start Date]],Milestone_Marker,IF(AND(CL$27&gt;ProposalToGnatt[[#This Row],[Start Date]],CL$27&lt;ProposalToGnatt[[#This Row],[Start Date]]+ProposalToGnatt[[#This Row],[Days]]),$G$5,"")),"")</f>
        <v/>
      </c>
      <c r="CM77" s="36" t="str">
        <f ca="1">IFERROR(+IF(CM$27=ProposalToGnatt[[#This Row],[Start Date]],Milestone_Marker,IF(AND(CM$27&gt;ProposalToGnatt[[#This Row],[Start Date]],CM$27&lt;ProposalToGnatt[[#This Row],[Start Date]]+ProposalToGnatt[[#This Row],[Days]]),$G$5,"")),"")</f>
        <v/>
      </c>
      <c r="CN77" s="36" t="str">
        <f ca="1">IFERROR(+IF(CN$27=ProposalToGnatt[[#This Row],[Start Date]],Milestone_Marker,IF(AND(CN$27&gt;ProposalToGnatt[[#This Row],[Start Date]],CN$27&lt;ProposalToGnatt[[#This Row],[Start Date]]+ProposalToGnatt[[#This Row],[Days]]),$G$5,"")),"")</f>
        <v/>
      </c>
      <c r="CO77" s="36" t="str">
        <f ca="1">IFERROR(+IF(CO$27=ProposalToGnatt[[#This Row],[Start Date]],Milestone_Marker,IF(AND(CO$27&gt;ProposalToGnatt[[#This Row],[Start Date]],CO$27&lt;ProposalToGnatt[[#This Row],[Start Date]]+ProposalToGnatt[[#This Row],[Days]]),$G$5,"")),"")</f>
        <v/>
      </c>
      <c r="CP77" s="36" t="str">
        <f ca="1">IFERROR(+IF(CP$27=ProposalToGnatt[[#This Row],[Start Date]],Milestone_Marker,IF(AND(CP$27&gt;ProposalToGnatt[[#This Row],[Start Date]],CP$27&lt;ProposalToGnatt[[#This Row],[Start Date]]+ProposalToGnatt[[#This Row],[Days]]),$G$5,"")),"")</f>
        <v/>
      </c>
      <c r="CQ77" s="36" t="str">
        <f ca="1">IFERROR(+IF(CQ$27=ProposalToGnatt[[#This Row],[Start Date]],Milestone_Marker,IF(AND(CQ$27&gt;ProposalToGnatt[[#This Row],[Start Date]],CQ$27&lt;ProposalToGnatt[[#This Row],[Start Date]]+ProposalToGnatt[[#This Row],[Days]]),$G$5,"")),"")</f>
        <v/>
      </c>
      <c r="CR77" s="36" t="str">
        <f ca="1">IFERROR(+IF(CR$27=ProposalToGnatt[[#This Row],[Start Date]],Milestone_Marker,IF(AND(CR$27&gt;ProposalToGnatt[[#This Row],[Start Date]],CR$27&lt;ProposalToGnatt[[#This Row],[Start Date]]+ProposalToGnatt[[#This Row],[Days]]),$G$5,"")),"")</f>
        <v/>
      </c>
      <c r="CS77" s="36" t="str">
        <f ca="1">IFERROR(+IF(CS$27=ProposalToGnatt[[#This Row],[Start Date]],Milestone_Marker,IF(AND(CS$27&gt;ProposalToGnatt[[#This Row],[Start Date]],CS$27&lt;ProposalToGnatt[[#This Row],[Start Date]]+ProposalToGnatt[[#This Row],[Days]]),$G$5,"")),"")</f>
        <v/>
      </c>
      <c r="CT77" s="36" t="str">
        <f ca="1">IFERROR(+IF(CT$27=ProposalToGnatt[[#This Row],[Start Date]],Milestone_Marker,IF(AND(CT$27&gt;ProposalToGnatt[[#This Row],[Start Date]],CT$27&lt;ProposalToGnatt[[#This Row],[Start Date]]+ProposalToGnatt[[#This Row],[Days]]),$G$5,"")),"")</f>
        <v/>
      </c>
      <c r="CU77" s="36" t="str">
        <f ca="1">IFERROR(+IF(CU$27=ProposalToGnatt[[#This Row],[Start Date]],Milestone_Marker,IF(AND(CU$27&gt;ProposalToGnatt[[#This Row],[Start Date]],CU$27&lt;ProposalToGnatt[[#This Row],[Start Date]]+ProposalToGnatt[[#This Row],[Days]]),$G$5,"")),"")</f>
        <v/>
      </c>
      <c r="CV77" s="36"/>
      <c r="CW77" s="36"/>
      <c r="CX77" s="36"/>
      <c r="CY77" s="36"/>
      <c r="CZ77" s="36"/>
      <c r="DA77" s="36"/>
      <c r="DB77" s="36"/>
      <c r="DC77" s="36"/>
      <c r="DD77" s="36"/>
      <c r="DE77" s="36"/>
      <c r="DF77" s="36"/>
      <c r="DG77" s="36"/>
      <c r="DH77" s="36"/>
      <c r="DI77" s="36"/>
      <c r="DJ77" s="36"/>
      <c r="DK77" s="36"/>
      <c r="DL77" s="36"/>
      <c r="DM77" s="36"/>
      <c r="DN77" s="36"/>
      <c r="DO77" s="36"/>
      <c r="DP77" s="36"/>
      <c r="DQ77" s="36"/>
      <c r="DR77" s="36"/>
      <c r="DS77" s="36"/>
      <c r="DT77" s="36"/>
      <c r="DU77" s="36"/>
    </row>
    <row r="78" spans="1:125" ht="15" x14ac:dyDescent="0.25">
      <c r="A78"/>
      <c r="B78"/>
      <c r="C78"/>
      <c r="D78"/>
      <c r="E78"/>
      <c r="F78"/>
      <c r="G78" s="14"/>
      <c r="H78" s="14"/>
      <c r="I78"/>
      <c r="J78"/>
      <c r="K78" s="246"/>
      <c r="L78"/>
      <c r="M78" s="14"/>
      <c r="N78" s="299"/>
      <c r="O78" s="281"/>
      <c r="P78" s="36" t="str">
        <f ca="1">IFERROR(+IF(P$27=ProposalToGnatt[[#This Row],[Start Date]],Milestone_Marker,IF(AND(P$27&gt;ProposalToGnatt[[#This Row],[Start Date]],P$27&lt;ProposalToGnatt[[#This Row],[Start Date]]+ProposalToGnatt[[#This Row],[Days]]),$G$5,"")),"")</f>
        <v/>
      </c>
      <c r="Q78" s="36" t="str">
        <f ca="1">IFERROR(+IF(Q$27=ProposalToGnatt[[#This Row],[Start Date]],Milestone_Marker,IF(AND(Q$27&gt;ProposalToGnatt[[#This Row],[Start Date]],Q$27&lt;ProposalToGnatt[[#This Row],[Start Date]]+ProposalToGnatt[[#This Row],[Days]]),$G$5,"")),"")</f>
        <v/>
      </c>
      <c r="R78" s="36" t="str">
        <f ca="1">IFERROR(+IF(R$27=ProposalToGnatt[[#This Row],[Start Date]],Milestone_Marker,IF(AND(R$27&gt;ProposalToGnatt[[#This Row],[Start Date]],R$27&lt;ProposalToGnatt[[#This Row],[Start Date]]+ProposalToGnatt[[#This Row],[Days]]),$G$5,"")),"")</f>
        <v/>
      </c>
      <c r="S78" s="36" t="str">
        <f ca="1">IFERROR(+IF(S$27=ProposalToGnatt[[#This Row],[Start Date]],Milestone_Marker,IF(AND(S$27&gt;ProposalToGnatt[[#This Row],[Start Date]],S$27&lt;ProposalToGnatt[[#This Row],[Start Date]]+ProposalToGnatt[[#This Row],[Days]]),$G$5,"")),"")</f>
        <v/>
      </c>
      <c r="T78" s="36" t="str">
        <f ca="1">IFERROR(+IF(T$27=ProposalToGnatt[[#This Row],[Start Date]],Milestone_Marker,IF(AND(T$27&gt;ProposalToGnatt[[#This Row],[Start Date]],T$27&lt;ProposalToGnatt[[#This Row],[Start Date]]+ProposalToGnatt[[#This Row],[Days]]),$G$5,"")),"")</f>
        <v/>
      </c>
      <c r="U78" s="36" t="str">
        <f ca="1">IFERROR(+IF(U$27=ProposalToGnatt[[#This Row],[Start Date]],Milestone_Marker,IF(AND(U$27&gt;ProposalToGnatt[[#This Row],[Start Date]],U$27&lt;ProposalToGnatt[[#This Row],[Start Date]]+ProposalToGnatt[[#This Row],[Days]]),$G$5,"")),"")</f>
        <v/>
      </c>
      <c r="V78" s="36" t="str">
        <f ca="1">IFERROR(+IF(V$27=ProposalToGnatt[[#This Row],[Start Date]],Milestone_Marker,IF(AND(V$27&gt;ProposalToGnatt[[#This Row],[Start Date]],V$27&lt;ProposalToGnatt[[#This Row],[Start Date]]+ProposalToGnatt[[#This Row],[Days]]),$G$5,"")),"")</f>
        <v/>
      </c>
      <c r="W78" s="36" t="str">
        <f ca="1">IFERROR(+IF(W$27=ProposalToGnatt[[#This Row],[Start Date]],Milestone_Marker,IF(AND(W$27&gt;ProposalToGnatt[[#This Row],[Start Date]],W$27&lt;ProposalToGnatt[[#This Row],[Start Date]]+ProposalToGnatt[[#This Row],[Days]]),$G$5,"")),"")</f>
        <v/>
      </c>
      <c r="X78" s="36" t="str">
        <f ca="1">IFERROR(+IF(X$27=ProposalToGnatt[[#This Row],[Start Date]],Milestone_Marker,IF(AND(X$27&gt;ProposalToGnatt[[#This Row],[Start Date]],X$27&lt;ProposalToGnatt[[#This Row],[Start Date]]+ProposalToGnatt[[#This Row],[Days]]),$G$5,"")),"")</f>
        <v/>
      </c>
      <c r="Y78" s="36" t="str">
        <f ca="1">IFERROR(+IF(Y$27=ProposalToGnatt[[#This Row],[Start Date]],Milestone_Marker,IF(AND(Y$27&gt;ProposalToGnatt[[#This Row],[Start Date]],Y$27&lt;ProposalToGnatt[[#This Row],[Start Date]]+ProposalToGnatt[[#This Row],[Days]]),$G$5,"")),"")</f>
        <v/>
      </c>
      <c r="Z78" s="36" t="str">
        <f ca="1">IFERROR(+IF(Z$27=ProposalToGnatt[[#This Row],[Start Date]],Milestone_Marker,IF(AND(Z$27&gt;ProposalToGnatt[[#This Row],[Start Date]],Z$27&lt;ProposalToGnatt[[#This Row],[Start Date]]+ProposalToGnatt[[#This Row],[Days]]),$G$5,"")),"")</f>
        <v/>
      </c>
      <c r="AA78" s="36" t="str">
        <f ca="1">IFERROR(+IF(AA$27=ProposalToGnatt[[#This Row],[Start Date]],Milestone_Marker,IF(AND(AA$27&gt;ProposalToGnatt[[#This Row],[Start Date]],AA$27&lt;ProposalToGnatt[[#This Row],[Start Date]]+ProposalToGnatt[[#This Row],[Days]]),$G$5,"")),"")</f>
        <v/>
      </c>
      <c r="AB78" s="36" t="str">
        <f ca="1">IFERROR(+IF(AB$27=ProposalToGnatt[[#This Row],[Start Date]],Milestone_Marker,IF(AND(AB$27&gt;ProposalToGnatt[[#This Row],[Start Date]],AB$27&lt;ProposalToGnatt[[#This Row],[Start Date]]+ProposalToGnatt[[#This Row],[Days]]),$G$5,"")),"")</f>
        <v/>
      </c>
      <c r="AC78" s="36" t="str">
        <f ca="1">IFERROR(+IF(AC$27=ProposalToGnatt[[#This Row],[Start Date]],Milestone_Marker,IF(AND(AC$27&gt;ProposalToGnatt[[#This Row],[Start Date]],AC$27&lt;ProposalToGnatt[[#This Row],[Start Date]]+ProposalToGnatt[[#This Row],[Days]]),$G$5,"")),"")</f>
        <v/>
      </c>
      <c r="AD78" s="36" t="str">
        <f ca="1">IFERROR(+IF(AD$27=ProposalToGnatt[[#This Row],[Start Date]],Milestone_Marker,IF(AND(AD$27&gt;ProposalToGnatt[[#This Row],[Start Date]],AD$27&lt;ProposalToGnatt[[#This Row],[Start Date]]+ProposalToGnatt[[#This Row],[Days]]),$G$5,"")),"")</f>
        <v/>
      </c>
      <c r="AE78" s="36" t="str">
        <f ca="1">IFERROR(+IF(AE$27=ProposalToGnatt[[#This Row],[Start Date]],Milestone_Marker,IF(AND(AE$27&gt;ProposalToGnatt[[#This Row],[Start Date]],AE$27&lt;ProposalToGnatt[[#This Row],[Start Date]]+ProposalToGnatt[[#This Row],[Days]]),$G$5,"")),"")</f>
        <v/>
      </c>
      <c r="AF78" s="36" t="str">
        <f ca="1">IFERROR(+IF(AF$27=ProposalToGnatt[[#This Row],[Start Date]],Milestone_Marker,IF(AND(AF$27&gt;ProposalToGnatt[[#This Row],[Start Date]],AF$27&lt;ProposalToGnatt[[#This Row],[Start Date]]+ProposalToGnatt[[#This Row],[Days]]),$G$5,"")),"")</f>
        <v/>
      </c>
      <c r="AG78" s="36" t="str">
        <f ca="1">IFERROR(+IF(AG$27=ProposalToGnatt[[#This Row],[Start Date]],Milestone_Marker,IF(AND(AG$27&gt;ProposalToGnatt[[#This Row],[Start Date]],AG$27&lt;ProposalToGnatt[[#This Row],[Start Date]]+ProposalToGnatt[[#This Row],[Days]]),$G$5,"")),"")</f>
        <v/>
      </c>
      <c r="AH78" s="36" t="str">
        <f ca="1">IFERROR(+IF(AH$27=ProposalToGnatt[[#This Row],[Start Date]],Milestone_Marker,IF(AND(AH$27&gt;ProposalToGnatt[[#This Row],[Start Date]],AH$27&lt;ProposalToGnatt[[#This Row],[Start Date]]+ProposalToGnatt[[#This Row],[Days]]),$G$5,"")),"")</f>
        <v/>
      </c>
      <c r="AI78" s="36" t="str">
        <f ca="1">IFERROR(+IF(AI$27=ProposalToGnatt[[#This Row],[Start Date]],Milestone_Marker,IF(AND(AI$27&gt;ProposalToGnatt[[#This Row],[Start Date]],AI$27&lt;ProposalToGnatt[[#This Row],[Start Date]]+ProposalToGnatt[[#This Row],[Days]]),$G$5,"")),"")</f>
        <v/>
      </c>
      <c r="AJ78" s="36" t="str">
        <f ca="1">IFERROR(+IF(AJ$27=ProposalToGnatt[[#This Row],[Start Date]],Milestone_Marker,IF(AND(AJ$27&gt;ProposalToGnatt[[#This Row],[Start Date]],AJ$27&lt;ProposalToGnatt[[#This Row],[Start Date]]+ProposalToGnatt[[#This Row],[Days]]),$G$5,"")),"")</f>
        <v/>
      </c>
      <c r="AK78" s="36" t="str">
        <f ca="1">IFERROR(+IF(AK$27=ProposalToGnatt[[#This Row],[Start Date]],Milestone_Marker,IF(AND(AK$27&gt;ProposalToGnatt[[#This Row],[Start Date]],AK$27&lt;ProposalToGnatt[[#This Row],[Start Date]]+ProposalToGnatt[[#This Row],[Days]]),$G$5,"")),"")</f>
        <v/>
      </c>
      <c r="AL78" s="36" t="str">
        <f ca="1">IFERROR(+IF(AL$27=ProposalToGnatt[[#This Row],[Start Date]],Milestone_Marker,IF(AND(AL$27&gt;ProposalToGnatt[[#This Row],[Start Date]],AL$27&lt;ProposalToGnatt[[#This Row],[Start Date]]+ProposalToGnatt[[#This Row],[Days]]),$G$5,"")),"")</f>
        <v/>
      </c>
      <c r="AM78" s="36" t="str">
        <f ca="1">IFERROR(+IF(AM$27=ProposalToGnatt[[#This Row],[Start Date]],Milestone_Marker,IF(AND(AM$27&gt;ProposalToGnatt[[#This Row],[Start Date]],AM$27&lt;ProposalToGnatt[[#This Row],[Start Date]]+ProposalToGnatt[[#This Row],[Days]]),$G$5,"")),"")</f>
        <v/>
      </c>
      <c r="AN78" s="36" t="str">
        <f ca="1">IFERROR(+IF(AN$27=ProposalToGnatt[[#This Row],[Start Date]],Milestone_Marker,IF(AND(AN$27&gt;ProposalToGnatt[[#This Row],[Start Date]],AN$27&lt;ProposalToGnatt[[#This Row],[Start Date]]+ProposalToGnatt[[#This Row],[Days]]),$G$5,"")),"")</f>
        <v/>
      </c>
      <c r="AO78" s="36" t="str">
        <f ca="1">IFERROR(+IF(AO$27=ProposalToGnatt[[#This Row],[Start Date]],Milestone_Marker,IF(AND(AO$27&gt;ProposalToGnatt[[#This Row],[Start Date]],AO$27&lt;ProposalToGnatt[[#This Row],[Start Date]]+ProposalToGnatt[[#This Row],[Days]]),$G$5,"")),"")</f>
        <v/>
      </c>
      <c r="AP78" s="36" t="str">
        <f ca="1">IFERROR(+IF(AP$27=ProposalToGnatt[[#This Row],[Start Date]],Milestone_Marker,IF(AND(AP$27&gt;ProposalToGnatt[[#This Row],[Start Date]],AP$27&lt;ProposalToGnatt[[#This Row],[Start Date]]+ProposalToGnatt[[#This Row],[Days]]),$G$5,"")),"")</f>
        <v/>
      </c>
      <c r="AQ78" s="36" t="str">
        <f ca="1">IFERROR(+IF(AQ$27=ProposalToGnatt[[#This Row],[Start Date]],Milestone_Marker,IF(AND(AQ$27&gt;ProposalToGnatt[[#This Row],[Start Date]],AQ$27&lt;ProposalToGnatt[[#This Row],[Start Date]]+ProposalToGnatt[[#This Row],[Days]]),$G$5,"")),"")</f>
        <v/>
      </c>
      <c r="AR78" s="36" t="str">
        <f ca="1">IFERROR(+IF(AR$27=ProposalToGnatt[[#This Row],[Start Date]],Milestone_Marker,IF(AND(AR$27&gt;ProposalToGnatt[[#This Row],[Start Date]],AR$27&lt;ProposalToGnatt[[#This Row],[Start Date]]+ProposalToGnatt[[#This Row],[Days]]),$G$5,"")),"")</f>
        <v/>
      </c>
      <c r="AS78" s="36" t="str">
        <f ca="1">IFERROR(+IF(AS$27=ProposalToGnatt[[#This Row],[Start Date]],Milestone_Marker,IF(AND(AS$27&gt;ProposalToGnatt[[#This Row],[Start Date]],AS$27&lt;ProposalToGnatt[[#This Row],[Start Date]]+ProposalToGnatt[[#This Row],[Days]]),$G$5,"")),"")</f>
        <v/>
      </c>
      <c r="AT78" s="36" t="str">
        <f ca="1">IFERROR(+IF(AT$27=ProposalToGnatt[[#This Row],[Start Date]],Milestone_Marker,IF(AND(AT$27&gt;ProposalToGnatt[[#This Row],[Start Date]],AT$27&lt;ProposalToGnatt[[#This Row],[Start Date]]+ProposalToGnatt[[#This Row],[Days]]),$G$5,"")),"")</f>
        <v/>
      </c>
      <c r="AU78" s="36" t="str">
        <f ca="1">IFERROR(+IF(AU$27=ProposalToGnatt[[#This Row],[Start Date]],Milestone_Marker,IF(AND(AU$27&gt;ProposalToGnatt[[#This Row],[Start Date]],AU$27&lt;ProposalToGnatt[[#This Row],[Start Date]]+ProposalToGnatt[[#This Row],[Days]]),$G$5,"")),"")</f>
        <v/>
      </c>
      <c r="AV78" s="36" t="str">
        <f ca="1">IFERROR(+IF(AV$27=ProposalToGnatt[[#This Row],[Start Date]],Milestone_Marker,IF(AND(AV$27&gt;ProposalToGnatt[[#This Row],[Start Date]],AV$27&lt;ProposalToGnatt[[#This Row],[Start Date]]+ProposalToGnatt[[#This Row],[Days]]),$G$5,"")),"")</f>
        <v/>
      </c>
      <c r="AW78" s="36" t="str">
        <f ca="1">IFERROR(+IF(AW$27=ProposalToGnatt[[#This Row],[Start Date]],Milestone_Marker,IF(AND(AW$27&gt;ProposalToGnatt[[#This Row],[Start Date]],AW$27&lt;ProposalToGnatt[[#This Row],[Start Date]]+ProposalToGnatt[[#This Row],[Days]]),$G$5,"")),"")</f>
        <v/>
      </c>
      <c r="AX78" s="36" t="str">
        <f ca="1">IFERROR(+IF(AX$27=ProposalToGnatt[[#This Row],[Start Date]],Milestone_Marker,IF(AND(AX$27&gt;ProposalToGnatt[[#This Row],[Start Date]],AX$27&lt;ProposalToGnatt[[#This Row],[Start Date]]+ProposalToGnatt[[#This Row],[Days]]),$G$5,"")),"")</f>
        <v/>
      </c>
      <c r="AY78" s="36" t="str">
        <f ca="1">IFERROR(+IF(AY$27=ProposalToGnatt[[#This Row],[Start Date]],Milestone_Marker,IF(AND(AY$27&gt;ProposalToGnatt[[#This Row],[Start Date]],AY$27&lt;ProposalToGnatt[[#This Row],[Start Date]]+ProposalToGnatt[[#This Row],[Days]]),$G$5,"")),"")</f>
        <v/>
      </c>
      <c r="AZ78" s="36" t="str">
        <f ca="1">IFERROR(+IF(AZ$27=ProposalToGnatt[[#This Row],[Start Date]],Milestone_Marker,IF(AND(AZ$27&gt;ProposalToGnatt[[#This Row],[Start Date]],AZ$27&lt;ProposalToGnatt[[#This Row],[Start Date]]+ProposalToGnatt[[#This Row],[Days]]),$G$5,"")),"")</f>
        <v/>
      </c>
      <c r="BA78" s="36" t="str">
        <f ca="1">IFERROR(+IF(BA$27=ProposalToGnatt[[#This Row],[Start Date]],Milestone_Marker,IF(AND(BA$27&gt;ProposalToGnatt[[#This Row],[Start Date]],BA$27&lt;ProposalToGnatt[[#This Row],[Start Date]]+ProposalToGnatt[[#This Row],[Days]]),$G$5,"")),"")</f>
        <v/>
      </c>
      <c r="BB78" s="36" t="str">
        <f ca="1">IFERROR(+IF(BB$27=ProposalToGnatt[[#This Row],[Start Date]],Milestone_Marker,IF(AND(BB$27&gt;ProposalToGnatt[[#This Row],[Start Date]],BB$27&lt;ProposalToGnatt[[#This Row],[Start Date]]+ProposalToGnatt[[#This Row],[Days]]),$G$5,"")),"")</f>
        <v/>
      </c>
      <c r="BC78" s="36" t="str">
        <f ca="1">IFERROR(+IF(BC$27=ProposalToGnatt[[#This Row],[Start Date]],Milestone_Marker,IF(AND(BC$27&gt;ProposalToGnatt[[#This Row],[Start Date]],BC$27&lt;ProposalToGnatt[[#This Row],[Start Date]]+ProposalToGnatt[[#This Row],[Days]]),$G$5,"")),"")</f>
        <v/>
      </c>
      <c r="BD78" s="36" t="str">
        <f ca="1">IFERROR(+IF(BD$27=ProposalToGnatt[[#This Row],[Start Date]],Milestone_Marker,IF(AND(BD$27&gt;ProposalToGnatt[[#This Row],[Start Date]],BD$27&lt;ProposalToGnatt[[#This Row],[Start Date]]+ProposalToGnatt[[#This Row],[Days]]),$G$5,"")),"")</f>
        <v/>
      </c>
      <c r="BE78" s="36" t="str">
        <f ca="1">IFERROR(+IF(BE$27=ProposalToGnatt[[#This Row],[Start Date]],Milestone_Marker,IF(AND(BE$27&gt;ProposalToGnatt[[#This Row],[Start Date]],BE$27&lt;ProposalToGnatt[[#This Row],[Start Date]]+ProposalToGnatt[[#This Row],[Days]]),$G$5,"")),"")</f>
        <v/>
      </c>
      <c r="BF78" s="36" t="str">
        <f ca="1">IFERROR(+IF(BF$27=ProposalToGnatt[[#This Row],[Start Date]],Milestone_Marker,IF(AND(BF$27&gt;ProposalToGnatt[[#This Row],[Start Date]],BF$27&lt;ProposalToGnatt[[#This Row],[Start Date]]+ProposalToGnatt[[#This Row],[Days]]),$G$5,"")),"")</f>
        <v/>
      </c>
      <c r="BG78" s="36" t="str">
        <f ca="1">IFERROR(+IF(BG$27=ProposalToGnatt[[#This Row],[Start Date]],Milestone_Marker,IF(AND(BG$27&gt;ProposalToGnatt[[#This Row],[Start Date]],BG$27&lt;ProposalToGnatt[[#This Row],[Start Date]]+ProposalToGnatt[[#This Row],[Days]]),$G$5,"")),"")</f>
        <v/>
      </c>
      <c r="BH78" s="36" t="str">
        <f ca="1">IFERROR(+IF(BH$27=ProposalToGnatt[[#This Row],[Start Date]],Milestone_Marker,IF(AND(BH$27&gt;ProposalToGnatt[[#This Row],[Start Date]],BH$27&lt;ProposalToGnatt[[#This Row],[Start Date]]+ProposalToGnatt[[#This Row],[Days]]),$G$5,"")),"")</f>
        <v/>
      </c>
      <c r="BI78" s="36" t="str">
        <f ca="1">IFERROR(+IF(BI$27=ProposalToGnatt[[#This Row],[Start Date]],Milestone_Marker,IF(AND(BI$27&gt;ProposalToGnatt[[#This Row],[Start Date]],BI$27&lt;ProposalToGnatt[[#This Row],[Start Date]]+ProposalToGnatt[[#This Row],[Days]]),$G$5,"")),"")</f>
        <v/>
      </c>
      <c r="BJ78" s="36" t="str">
        <f ca="1">IFERROR(+IF(BJ$27=ProposalToGnatt[[#This Row],[Start Date]],Milestone_Marker,IF(AND(BJ$27&gt;ProposalToGnatt[[#This Row],[Start Date]],BJ$27&lt;ProposalToGnatt[[#This Row],[Start Date]]+ProposalToGnatt[[#This Row],[Days]]),$G$5,"")),"")</f>
        <v/>
      </c>
      <c r="BK78" s="36" t="str">
        <f ca="1">IFERROR(+IF(BK$27=ProposalToGnatt[[#This Row],[Start Date]],Milestone_Marker,IF(AND(BK$27&gt;ProposalToGnatt[[#This Row],[Start Date]],BK$27&lt;ProposalToGnatt[[#This Row],[Start Date]]+ProposalToGnatt[[#This Row],[Days]]),$G$5,"")),"")</f>
        <v/>
      </c>
      <c r="BL78" s="36" t="str">
        <f ca="1">IFERROR(+IF(BL$27=ProposalToGnatt[[#This Row],[Start Date]],Milestone_Marker,IF(AND(BL$27&gt;ProposalToGnatt[[#This Row],[Start Date]],BL$27&lt;ProposalToGnatt[[#This Row],[Start Date]]+ProposalToGnatt[[#This Row],[Days]]),$G$5,"")),"")</f>
        <v/>
      </c>
      <c r="BM78" s="36" t="str">
        <f ca="1">IFERROR(+IF(BM$27=ProposalToGnatt[[#This Row],[Start Date]],Milestone_Marker,IF(AND(BM$27&gt;ProposalToGnatt[[#This Row],[Start Date]],BM$27&lt;ProposalToGnatt[[#This Row],[Start Date]]+ProposalToGnatt[[#This Row],[Days]]),$G$5,"")),"")</f>
        <v/>
      </c>
      <c r="BN78" s="36" t="str">
        <f ca="1">IFERROR(+IF(BN$27=ProposalToGnatt[[#This Row],[Start Date]],Milestone_Marker,IF(AND(BN$27&gt;ProposalToGnatt[[#This Row],[Start Date]],BN$27&lt;ProposalToGnatt[[#This Row],[Start Date]]+ProposalToGnatt[[#This Row],[Days]]),$G$5,"")),"")</f>
        <v/>
      </c>
      <c r="BO78" s="36" t="str">
        <f ca="1">IFERROR(+IF(BO$27=ProposalToGnatt[[#This Row],[Start Date]],Milestone_Marker,IF(AND(BO$27&gt;ProposalToGnatt[[#This Row],[Start Date]],BO$27&lt;ProposalToGnatt[[#This Row],[Start Date]]+ProposalToGnatt[[#This Row],[Days]]),$G$5,"")),"")</f>
        <v/>
      </c>
      <c r="BP78" s="36" t="str">
        <f ca="1">IFERROR(+IF(BP$27=ProposalToGnatt[[#This Row],[Start Date]],Milestone_Marker,IF(AND(BP$27&gt;ProposalToGnatt[[#This Row],[Start Date]],BP$27&lt;ProposalToGnatt[[#This Row],[Start Date]]+ProposalToGnatt[[#This Row],[Days]]),$G$5,"")),"")</f>
        <v/>
      </c>
      <c r="BQ78" s="36" t="str">
        <f ca="1">IFERROR(+IF(BQ$27=ProposalToGnatt[[#This Row],[Start Date]],Milestone_Marker,IF(AND(BQ$27&gt;ProposalToGnatt[[#This Row],[Start Date]],BQ$27&lt;ProposalToGnatt[[#This Row],[Start Date]]+ProposalToGnatt[[#This Row],[Days]]),$G$5,"")),"")</f>
        <v/>
      </c>
      <c r="BR78" s="36" t="str">
        <f ca="1">IFERROR(+IF(BR$27=ProposalToGnatt[[#This Row],[Start Date]],Milestone_Marker,IF(AND(BR$27&gt;ProposalToGnatt[[#This Row],[Start Date]],BR$27&lt;ProposalToGnatt[[#This Row],[Start Date]]+ProposalToGnatt[[#This Row],[Days]]),$G$5,"")),"")</f>
        <v/>
      </c>
      <c r="BS78" s="36" t="str">
        <f ca="1">IFERROR(+IF(BS$27=ProposalToGnatt[[#This Row],[Start Date]],Milestone_Marker,IF(AND(BS$27&gt;ProposalToGnatt[[#This Row],[Start Date]],BS$27&lt;ProposalToGnatt[[#This Row],[Start Date]]+ProposalToGnatt[[#This Row],[Days]]),$G$5,"")),"")</f>
        <v/>
      </c>
      <c r="BT78" s="36" t="str">
        <f ca="1">IFERROR(+IF(BT$27=ProposalToGnatt[[#This Row],[Start Date]],Milestone_Marker,IF(AND(BT$27&gt;ProposalToGnatt[[#This Row],[Start Date]],BT$27&lt;ProposalToGnatt[[#This Row],[Start Date]]+ProposalToGnatt[[#This Row],[Days]]),$G$5,"")),"")</f>
        <v/>
      </c>
      <c r="BU78" s="36" t="str">
        <f ca="1">IFERROR(+IF(BU$27=ProposalToGnatt[[#This Row],[Start Date]],Milestone_Marker,IF(AND(BU$27&gt;ProposalToGnatt[[#This Row],[Start Date]],BU$27&lt;ProposalToGnatt[[#This Row],[Start Date]]+ProposalToGnatt[[#This Row],[Days]]),$G$5,"")),"")</f>
        <v/>
      </c>
      <c r="BV78" s="36" t="str">
        <f ca="1">IFERROR(+IF(BV$27=ProposalToGnatt[[#This Row],[Start Date]],Milestone_Marker,IF(AND(BV$27&gt;ProposalToGnatt[[#This Row],[Start Date]],BV$27&lt;ProposalToGnatt[[#This Row],[Start Date]]+ProposalToGnatt[[#This Row],[Days]]),$G$5,"")),"")</f>
        <v/>
      </c>
      <c r="BW78" s="36" t="str">
        <f ca="1">IFERROR(+IF(BW$27=ProposalToGnatt[[#This Row],[Start Date]],Milestone_Marker,IF(AND(BW$27&gt;ProposalToGnatt[[#This Row],[Start Date]],BW$27&lt;ProposalToGnatt[[#This Row],[Start Date]]+ProposalToGnatt[[#This Row],[Days]]),$G$5,"")),"")</f>
        <v/>
      </c>
      <c r="BX78" s="36" t="str">
        <f ca="1">IFERROR(+IF(BX$27=ProposalToGnatt[[#This Row],[Start Date]],Milestone_Marker,IF(AND(BX$27&gt;ProposalToGnatt[[#This Row],[Start Date]],BX$27&lt;ProposalToGnatt[[#This Row],[Start Date]]+ProposalToGnatt[[#This Row],[Days]]),$G$5,"")),"")</f>
        <v/>
      </c>
      <c r="BY78" s="36" t="str">
        <f ca="1">IFERROR(+IF(BY$27=ProposalToGnatt[[#This Row],[Start Date]],Milestone_Marker,IF(AND(BY$27&gt;ProposalToGnatt[[#This Row],[Start Date]],BY$27&lt;ProposalToGnatt[[#This Row],[Start Date]]+ProposalToGnatt[[#This Row],[Days]]),$G$5,"")),"")</f>
        <v/>
      </c>
      <c r="BZ78" s="36" t="str">
        <f ca="1">IFERROR(+IF(BZ$27=ProposalToGnatt[[#This Row],[Start Date]],Milestone_Marker,IF(AND(BZ$27&gt;ProposalToGnatt[[#This Row],[Start Date]],BZ$27&lt;ProposalToGnatt[[#This Row],[Start Date]]+ProposalToGnatt[[#This Row],[Days]]),$G$5,"")),"")</f>
        <v/>
      </c>
      <c r="CA78" s="36" t="str">
        <f ca="1">IFERROR(+IF(CA$27=ProposalToGnatt[[#This Row],[Start Date]],Milestone_Marker,IF(AND(CA$27&gt;ProposalToGnatt[[#This Row],[Start Date]],CA$27&lt;ProposalToGnatt[[#This Row],[Start Date]]+ProposalToGnatt[[#This Row],[Days]]),$G$5,"")),"")</f>
        <v/>
      </c>
      <c r="CB78" s="36" t="str">
        <f ca="1">IFERROR(+IF(CB$27=ProposalToGnatt[[#This Row],[Start Date]],Milestone_Marker,IF(AND(CB$27&gt;ProposalToGnatt[[#This Row],[Start Date]],CB$27&lt;ProposalToGnatt[[#This Row],[Start Date]]+ProposalToGnatt[[#This Row],[Days]]),$G$5,"")),"")</f>
        <v/>
      </c>
      <c r="CC78" s="36" t="str">
        <f ca="1">IFERROR(+IF(CC$27=ProposalToGnatt[[#This Row],[Start Date]],Milestone_Marker,IF(AND(CC$27&gt;ProposalToGnatt[[#This Row],[Start Date]],CC$27&lt;ProposalToGnatt[[#This Row],[Start Date]]+ProposalToGnatt[[#This Row],[Days]]),$G$5,"")),"")</f>
        <v/>
      </c>
      <c r="CD78" s="36" t="str">
        <f ca="1">IFERROR(+IF(CD$27=ProposalToGnatt[[#This Row],[Start Date]],Milestone_Marker,IF(AND(CD$27&gt;ProposalToGnatt[[#This Row],[Start Date]],CD$27&lt;ProposalToGnatt[[#This Row],[Start Date]]+ProposalToGnatt[[#This Row],[Days]]),$G$5,"")),"")</f>
        <v/>
      </c>
      <c r="CE78" s="36" t="str">
        <f ca="1">IFERROR(+IF(CE$27=ProposalToGnatt[[#This Row],[Start Date]],Milestone_Marker,IF(AND(CE$27&gt;ProposalToGnatt[[#This Row],[Start Date]],CE$27&lt;ProposalToGnatt[[#This Row],[Start Date]]+ProposalToGnatt[[#This Row],[Days]]),$G$5,"")),"")</f>
        <v/>
      </c>
      <c r="CF78" s="36" t="str">
        <f ca="1">IFERROR(+IF(CF$27=ProposalToGnatt[[#This Row],[Start Date]],Milestone_Marker,IF(AND(CF$27&gt;ProposalToGnatt[[#This Row],[Start Date]],CF$27&lt;ProposalToGnatt[[#This Row],[Start Date]]+ProposalToGnatt[[#This Row],[Days]]),$G$5,"")),"")</f>
        <v/>
      </c>
      <c r="CG78" s="36" t="str">
        <f ca="1">IFERROR(+IF(CG$27=ProposalToGnatt[[#This Row],[Start Date]],Milestone_Marker,IF(AND(CG$27&gt;ProposalToGnatt[[#This Row],[Start Date]],CG$27&lt;ProposalToGnatt[[#This Row],[Start Date]]+ProposalToGnatt[[#This Row],[Days]]),$G$5,"")),"")</f>
        <v/>
      </c>
      <c r="CH78" s="36" t="str">
        <f ca="1">IFERROR(+IF(CH$27=ProposalToGnatt[[#This Row],[Start Date]],Milestone_Marker,IF(AND(CH$27&gt;ProposalToGnatt[[#This Row],[Start Date]],CH$27&lt;ProposalToGnatt[[#This Row],[Start Date]]+ProposalToGnatt[[#This Row],[Days]]),$G$5,"")),"")</f>
        <v/>
      </c>
      <c r="CI78" s="36" t="str">
        <f ca="1">IFERROR(+IF(CI$27=ProposalToGnatt[[#This Row],[Start Date]],Milestone_Marker,IF(AND(CI$27&gt;ProposalToGnatt[[#This Row],[Start Date]],CI$27&lt;ProposalToGnatt[[#This Row],[Start Date]]+ProposalToGnatt[[#This Row],[Days]]),$G$5,"")),"")</f>
        <v/>
      </c>
      <c r="CJ78" s="36" t="str">
        <f ca="1">IFERROR(+IF(CJ$27=ProposalToGnatt[[#This Row],[Start Date]],Milestone_Marker,IF(AND(CJ$27&gt;ProposalToGnatt[[#This Row],[Start Date]],CJ$27&lt;ProposalToGnatt[[#This Row],[Start Date]]+ProposalToGnatt[[#This Row],[Days]]),$G$5,"")),"")</f>
        <v/>
      </c>
      <c r="CK78" s="36" t="str">
        <f ca="1">IFERROR(+IF(CK$27=ProposalToGnatt[[#This Row],[Start Date]],Milestone_Marker,IF(AND(CK$27&gt;ProposalToGnatt[[#This Row],[Start Date]],CK$27&lt;ProposalToGnatt[[#This Row],[Start Date]]+ProposalToGnatt[[#This Row],[Days]]),$G$5,"")),"")</f>
        <v/>
      </c>
      <c r="CL78" s="36" t="str">
        <f ca="1">IFERROR(+IF(CL$27=ProposalToGnatt[[#This Row],[Start Date]],Milestone_Marker,IF(AND(CL$27&gt;ProposalToGnatt[[#This Row],[Start Date]],CL$27&lt;ProposalToGnatt[[#This Row],[Start Date]]+ProposalToGnatt[[#This Row],[Days]]),$G$5,"")),"")</f>
        <v/>
      </c>
      <c r="CM78" s="36" t="str">
        <f ca="1">IFERROR(+IF(CM$27=ProposalToGnatt[[#This Row],[Start Date]],Milestone_Marker,IF(AND(CM$27&gt;ProposalToGnatt[[#This Row],[Start Date]],CM$27&lt;ProposalToGnatt[[#This Row],[Start Date]]+ProposalToGnatt[[#This Row],[Days]]),$G$5,"")),"")</f>
        <v/>
      </c>
      <c r="CN78" s="36" t="str">
        <f ca="1">IFERROR(+IF(CN$27=ProposalToGnatt[[#This Row],[Start Date]],Milestone_Marker,IF(AND(CN$27&gt;ProposalToGnatt[[#This Row],[Start Date]],CN$27&lt;ProposalToGnatt[[#This Row],[Start Date]]+ProposalToGnatt[[#This Row],[Days]]),$G$5,"")),"")</f>
        <v/>
      </c>
      <c r="CO78" s="36" t="str">
        <f ca="1">IFERROR(+IF(CO$27=ProposalToGnatt[[#This Row],[Start Date]],Milestone_Marker,IF(AND(CO$27&gt;ProposalToGnatt[[#This Row],[Start Date]],CO$27&lt;ProposalToGnatt[[#This Row],[Start Date]]+ProposalToGnatt[[#This Row],[Days]]),$G$5,"")),"")</f>
        <v/>
      </c>
      <c r="CP78" s="36" t="str">
        <f ca="1">IFERROR(+IF(CP$27=ProposalToGnatt[[#This Row],[Start Date]],Milestone_Marker,IF(AND(CP$27&gt;ProposalToGnatt[[#This Row],[Start Date]],CP$27&lt;ProposalToGnatt[[#This Row],[Start Date]]+ProposalToGnatt[[#This Row],[Days]]),$G$5,"")),"")</f>
        <v/>
      </c>
      <c r="CQ78" s="36" t="str">
        <f ca="1">IFERROR(+IF(CQ$27=ProposalToGnatt[[#This Row],[Start Date]],Milestone_Marker,IF(AND(CQ$27&gt;ProposalToGnatt[[#This Row],[Start Date]],CQ$27&lt;ProposalToGnatt[[#This Row],[Start Date]]+ProposalToGnatt[[#This Row],[Days]]),$G$5,"")),"")</f>
        <v/>
      </c>
      <c r="CR78" s="36" t="str">
        <f ca="1">IFERROR(+IF(CR$27=ProposalToGnatt[[#This Row],[Start Date]],Milestone_Marker,IF(AND(CR$27&gt;ProposalToGnatt[[#This Row],[Start Date]],CR$27&lt;ProposalToGnatt[[#This Row],[Start Date]]+ProposalToGnatt[[#This Row],[Days]]),$G$5,"")),"")</f>
        <v/>
      </c>
      <c r="CS78" s="36" t="str">
        <f ca="1">IFERROR(+IF(CS$27=ProposalToGnatt[[#This Row],[Start Date]],Milestone_Marker,IF(AND(CS$27&gt;ProposalToGnatt[[#This Row],[Start Date]],CS$27&lt;ProposalToGnatt[[#This Row],[Start Date]]+ProposalToGnatt[[#This Row],[Days]]),$G$5,"")),"")</f>
        <v/>
      </c>
      <c r="CT78" s="36" t="str">
        <f ca="1">IFERROR(+IF(CT$27=ProposalToGnatt[[#This Row],[Start Date]],Milestone_Marker,IF(AND(CT$27&gt;ProposalToGnatt[[#This Row],[Start Date]],CT$27&lt;ProposalToGnatt[[#This Row],[Start Date]]+ProposalToGnatt[[#This Row],[Days]]),$G$5,"")),"")</f>
        <v/>
      </c>
      <c r="CU78" s="36" t="str">
        <f ca="1">IFERROR(+IF(CU$27=ProposalToGnatt[[#This Row],[Start Date]],Milestone_Marker,IF(AND(CU$27&gt;ProposalToGnatt[[#This Row],[Start Date]],CU$27&lt;ProposalToGnatt[[#This Row],[Start Date]]+ProposalToGnatt[[#This Row],[Days]]),$G$5,"")),"")</f>
        <v/>
      </c>
      <c r="CV78" s="36" t="str">
        <f ca="1">IFERROR(+IF(CT$27=#REF!,Milestone_Marker,IF(AND(CT$27&gt;#REF!,CT$27&lt;=#REF!+#REF!),$G$5,"")),"")</f>
        <v/>
      </c>
      <c r="CW78" s="36" t="str">
        <f ca="1">IFERROR(+IF(CU$27=#REF!,Milestone_Marker,IF(AND(CU$27&gt;#REF!,CU$27&lt;=#REF!+#REF!),$G$5,"")),"")</f>
        <v/>
      </c>
      <c r="CX78" s="36"/>
      <c r="CY78" s="36"/>
      <c r="CZ78" s="36"/>
      <c r="DA78" s="36"/>
      <c r="DB78" s="36"/>
      <c r="DC78" s="36"/>
      <c r="DD78" s="36"/>
      <c r="DE78" s="36"/>
      <c r="DF78" s="36"/>
      <c r="DG78" s="36"/>
      <c r="DH78" s="36"/>
      <c r="DI78" s="36"/>
      <c r="DJ78" s="36"/>
      <c r="DK78" s="36"/>
      <c r="DL78" s="36"/>
      <c r="DM78" s="36"/>
      <c r="DN78" s="36"/>
      <c r="DO78" s="36"/>
      <c r="DP78" s="36"/>
      <c r="DQ78" s="36"/>
      <c r="DR78" s="36"/>
      <c r="DS78" s="36"/>
      <c r="DT78" s="36"/>
      <c r="DU78" s="36"/>
    </row>
    <row r="79" spans="1:125" ht="15" x14ac:dyDescent="0.25">
      <c r="A79"/>
      <c r="B79"/>
      <c r="C79"/>
      <c r="D79"/>
      <c r="E79"/>
      <c r="F79"/>
      <c r="G79" s="14"/>
      <c r="H79" s="14"/>
      <c r="I79"/>
      <c r="J79"/>
      <c r="K79" s="246"/>
      <c r="L79"/>
      <c r="M79" s="14"/>
      <c r="N79" s="299"/>
      <c r="O79" s="281"/>
      <c r="P79" s="36" t="str">
        <f ca="1">IFERROR(+IF(P$27=ProposalToGnatt[[#This Row],[Start Date]],Milestone_Marker,IF(AND(P$27&gt;ProposalToGnatt[[#This Row],[Start Date]],P$27&lt;ProposalToGnatt[[#This Row],[Start Date]]+ProposalToGnatt[[#This Row],[Days]]),$G$5,"")),"")</f>
        <v/>
      </c>
      <c r="Q79" s="36" t="str">
        <f ca="1">IFERROR(+IF(Q$27=ProposalToGnatt[[#This Row],[Start Date]],Milestone_Marker,IF(AND(Q$27&gt;ProposalToGnatt[[#This Row],[Start Date]],Q$27&lt;ProposalToGnatt[[#This Row],[Start Date]]+ProposalToGnatt[[#This Row],[Days]]),$G$5,"")),"")</f>
        <v/>
      </c>
      <c r="R79" s="36" t="str">
        <f ca="1">IFERROR(+IF(R$27=ProposalToGnatt[[#This Row],[Start Date]],Milestone_Marker,IF(AND(R$27&gt;ProposalToGnatt[[#This Row],[Start Date]],R$27&lt;ProposalToGnatt[[#This Row],[Start Date]]+ProposalToGnatt[[#This Row],[Days]]),$G$5,"")),"")</f>
        <v/>
      </c>
      <c r="S79" s="36" t="str">
        <f ca="1">IFERROR(+IF(S$27=ProposalToGnatt[[#This Row],[Start Date]],Milestone_Marker,IF(AND(S$27&gt;ProposalToGnatt[[#This Row],[Start Date]],S$27&lt;ProposalToGnatt[[#This Row],[Start Date]]+ProposalToGnatt[[#This Row],[Days]]),$G$5,"")),"")</f>
        <v/>
      </c>
      <c r="T79" s="36" t="str">
        <f ca="1">IFERROR(+IF(T$27=ProposalToGnatt[[#This Row],[Start Date]],Milestone_Marker,IF(AND(T$27&gt;ProposalToGnatt[[#This Row],[Start Date]],T$27&lt;ProposalToGnatt[[#This Row],[Start Date]]+ProposalToGnatt[[#This Row],[Days]]),$G$5,"")),"")</f>
        <v/>
      </c>
      <c r="U79" s="36" t="str">
        <f ca="1">IFERROR(+IF(U$27=ProposalToGnatt[[#This Row],[Start Date]],Milestone_Marker,IF(AND(U$27&gt;ProposalToGnatt[[#This Row],[Start Date]],U$27&lt;ProposalToGnatt[[#This Row],[Start Date]]+ProposalToGnatt[[#This Row],[Days]]),$G$5,"")),"")</f>
        <v/>
      </c>
      <c r="V79" s="36" t="str">
        <f ca="1">IFERROR(+IF(V$27=ProposalToGnatt[[#This Row],[Start Date]],Milestone_Marker,IF(AND(V$27&gt;ProposalToGnatt[[#This Row],[Start Date]],V$27&lt;ProposalToGnatt[[#This Row],[Start Date]]+ProposalToGnatt[[#This Row],[Days]]),$G$5,"")),"")</f>
        <v/>
      </c>
      <c r="W79" s="36" t="str">
        <f ca="1">IFERROR(+IF(W$27=ProposalToGnatt[[#This Row],[Start Date]],Milestone_Marker,IF(AND(W$27&gt;ProposalToGnatt[[#This Row],[Start Date]],W$27&lt;ProposalToGnatt[[#This Row],[Start Date]]+ProposalToGnatt[[#This Row],[Days]]),$G$5,"")),"")</f>
        <v/>
      </c>
      <c r="X79" s="36" t="str">
        <f ca="1">IFERROR(+IF(X$27=ProposalToGnatt[[#This Row],[Start Date]],Milestone_Marker,IF(AND(X$27&gt;ProposalToGnatt[[#This Row],[Start Date]],X$27&lt;ProposalToGnatt[[#This Row],[Start Date]]+ProposalToGnatt[[#This Row],[Days]]),$G$5,"")),"")</f>
        <v/>
      </c>
      <c r="Y79" s="36" t="str">
        <f ca="1">IFERROR(+IF(Y$27=ProposalToGnatt[[#This Row],[Start Date]],Milestone_Marker,IF(AND(Y$27&gt;ProposalToGnatt[[#This Row],[Start Date]],Y$27&lt;ProposalToGnatt[[#This Row],[Start Date]]+ProposalToGnatt[[#This Row],[Days]]),$G$5,"")),"")</f>
        <v/>
      </c>
      <c r="Z79" s="36" t="str">
        <f ca="1">IFERROR(+IF(Z$27=ProposalToGnatt[[#This Row],[Start Date]],Milestone_Marker,IF(AND(Z$27&gt;ProposalToGnatt[[#This Row],[Start Date]],Z$27&lt;ProposalToGnatt[[#This Row],[Start Date]]+ProposalToGnatt[[#This Row],[Days]]),$G$5,"")),"")</f>
        <v/>
      </c>
      <c r="AA79" s="36" t="str">
        <f ca="1">IFERROR(+IF(AA$27=ProposalToGnatt[[#This Row],[Start Date]],Milestone_Marker,IF(AND(AA$27&gt;ProposalToGnatt[[#This Row],[Start Date]],AA$27&lt;ProposalToGnatt[[#This Row],[Start Date]]+ProposalToGnatt[[#This Row],[Days]]),$G$5,"")),"")</f>
        <v/>
      </c>
      <c r="AB79" s="36" t="str">
        <f ca="1">IFERROR(+IF(AB$27=ProposalToGnatt[[#This Row],[Start Date]],Milestone_Marker,IF(AND(AB$27&gt;ProposalToGnatt[[#This Row],[Start Date]],AB$27&lt;ProposalToGnatt[[#This Row],[Start Date]]+ProposalToGnatt[[#This Row],[Days]]),$G$5,"")),"")</f>
        <v/>
      </c>
      <c r="AC79" s="36" t="str">
        <f ca="1">IFERROR(+IF(AC$27=ProposalToGnatt[[#This Row],[Start Date]],Milestone_Marker,IF(AND(AC$27&gt;ProposalToGnatt[[#This Row],[Start Date]],AC$27&lt;ProposalToGnatt[[#This Row],[Start Date]]+ProposalToGnatt[[#This Row],[Days]]),$G$5,"")),"")</f>
        <v/>
      </c>
      <c r="AD79" s="36" t="str">
        <f ca="1">IFERROR(+IF(AD$27=ProposalToGnatt[[#This Row],[Start Date]],Milestone_Marker,IF(AND(AD$27&gt;ProposalToGnatt[[#This Row],[Start Date]],AD$27&lt;ProposalToGnatt[[#This Row],[Start Date]]+ProposalToGnatt[[#This Row],[Days]]),$G$5,"")),"")</f>
        <v/>
      </c>
      <c r="AE79" s="36" t="str">
        <f ca="1">IFERROR(+IF(AE$27=ProposalToGnatt[[#This Row],[Start Date]],Milestone_Marker,IF(AND(AE$27&gt;ProposalToGnatt[[#This Row],[Start Date]],AE$27&lt;ProposalToGnatt[[#This Row],[Start Date]]+ProposalToGnatt[[#This Row],[Days]]),$G$5,"")),"")</f>
        <v/>
      </c>
      <c r="AF79" s="36" t="str">
        <f ca="1">IFERROR(+IF(AF$27=ProposalToGnatt[[#This Row],[Start Date]],Milestone_Marker,IF(AND(AF$27&gt;ProposalToGnatt[[#This Row],[Start Date]],AF$27&lt;ProposalToGnatt[[#This Row],[Start Date]]+ProposalToGnatt[[#This Row],[Days]]),$G$5,"")),"")</f>
        <v/>
      </c>
      <c r="AG79" s="36" t="str">
        <f ca="1">IFERROR(+IF(AG$27=ProposalToGnatt[[#This Row],[Start Date]],Milestone_Marker,IF(AND(AG$27&gt;ProposalToGnatt[[#This Row],[Start Date]],AG$27&lt;ProposalToGnatt[[#This Row],[Start Date]]+ProposalToGnatt[[#This Row],[Days]]),$G$5,"")),"")</f>
        <v/>
      </c>
      <c r="AH79" s="36" t="str">
        <f ca="1">IFERROR(+IF(AH$27=ProposalToGnatt[[#This Row],[Start Date]],Milestone_Marker,IF(AND(AH$27&gt;ProposalToGnatt[[#This Row],[Start Date]],AH$27&lt;ProposalToGnatt[[#This Row],[Start Date]]+ProposalToGnatt[[#This Row],[Days]]),$G$5,"")),"")</f>
        <v/>
      </c>
      <c r="AI79" s="36" t="str">
        <f ca="1">IFERROR(+IF(AI$27=ProposalToGnatt[[#This Row],[Start Date]],Milestone_Marker,IF(AND(AI$27&gt;ProposalToGnatt[[#This Row],[Start Date]],AI$27&lt;ProposalToGnatt[[#This Row],[Start Date]]+ProposalToGnatt[[#This Row],[Days]]),$G$5,"")),"")</f>
        <v/>
      </c>
      <c r="AJ79" s="36" t="str">
        <f ca="1">IFERROR(+IF(AJ$27=ProposalToGnatt[[#This Row],[Start Date]],Milestone_Marker,IF(AND(AJ$27&gt;ProposalToGnatt[[#This Row],[Start Date]],AJ$27&lt;ProposalToGnatt[[#This Row],[Start Date]]+ProposalToGnatt[[#This Row],[Days]]),$G$5,"")),"")</f>
        <v/>
      </c>
      <c r="AK79" s="36" t="str">
        <f ca="1">IFERROR(+IF(AK$27=ProposalToGnatt[[#This Row],[Start Date]],Milestone_Marker,IF(AND(AK$27&gt;ProposalToGnatt[[#This Row],[Start Date]],AK$27&lt;ProposalToGnatt[[#This Row],[Start Date]]+ProposalToGnatt[[#This Row],[Days]]),$G$5,"")),"")</f>
        <v/>
      </c>
      <c r="AL79" s="36" t="str">
        <f ca="1">IFERROR(+IF(AL$27=ProposalToGnatt[[#This Row],[Start Date]],Milestone_Marker,IF(AND(AL$27&gt;ProposalToGnatt[[#This Row],[Start Date]],AL$27&lt;ProposalToGnatt[[#This Row],[Start Date]]+ProposalToGnatt[[#This Row],[Days]]),$G$5,"")),"")</f>
        <v/>
      </c>
      <c r="AM79" s="36" t="str">
        <f ca="1">IFERROR(+IF(AM$27=ProposalToGnatt[[#This Row],[Start Date]],Milestone_Marker,IF(AND(AM$27&gt;ProposalToGnatt[[#This Row],[Start Date]],AM$27&lt;ProposalToGnatt[[#This Row],[Start Date]]+ProposalToGnatt[[#This Row],[Days]]),$G$5,"")),"")</f>
        <v/>
      </c>
      <c r="AN79" s="36" t="str">
        <f ca="1">IFERROR(+IF(AN$27=ProposalToGnatt[[#This Row],[Start Date]],Milestone_Marker,IF(AND(AN$27&gt;ProposalToGnatt[[#This Row],[Start Date]],AN$27&lt;ProposalToGnatt[[#This Row],[Start Date]]+ProposalToGnatt[[#This Row],[Days]]),$G$5,"")),"")</f>
        <v/>
      </c>
      <c r="AO79" s="36" t="str">
        <f ca="1">IFERROR(+IF(AO$27=ProposalToGnatt[[#This Row],[Start Date]],Milestone_Marker,IF(AND(AO$27&gt;ProposalToGnatt[[#This Row],[Start Date]],AO$27&lt;ProposalToGnatt[[#This Row],[Start Date]]+ProposalToGnatt[[#This Row],[Days]]),$G$5,"")),"")</f>
        <v/>
      </c>
      <c r="AP79" s="36" t="str">
        <f ca="1">IFERROR(+IF(AP$27=ProposalToGnatt[[#This Row],[Start Date]],Milestone_Marker,IF(AND(AP$27&gt;ProposalToGnatt[[#This Row],[Start Date]],AP$27&lt;ProposalToGnatt[[#This Row],[Start Date]]+ProposalToGnatt[[#This Row],[Days]]),$G$5,"")),"")</f>
        <v/>
      </c>
      <c r="AQ79" s="36" t="str">
        <f ca="1">IFERROR(+IF(AQ$27=ProposalToGnatt[[#This Row],[Start Date]],Milestone_Marker,IF(AND(AQ$27&gt;ProposalToGnatt[[#This Row],[Start Date]],AQ$27&lt;ProposalToGnatt[[#This Row],[Start Date]]+ProposalToGnatt[[#This Row],[Days]]),$G$5,"")),"")</f>
        <v/>
      </c>
      <c r="AR79" s="36" t="str">
        <f ca="1">IFERROR(+IF(AR$27=ProposalToGnatt[[#This Row],[Start Date]],Milestone_Marker,IF(AND(AR$27&gt;ProposalToGnatt[[#This Row],[Start Date]],AR$27&lt;ProposalToGnatt[[#This Row],[Start Date]]+ProposalToGnatt[[#This Row],[Days]]),$G$5,"")),"")</f>
        <v/>
      </c>
      <c r="AS79" s="36" t="str">
        <f ca="1">IFERROR(+IF(AS$27=ProposalToGnatt[[#This Row],[Start Date]],Milestone_Marker,IF(AND(AS$27&gt;ProposalToGnatt[[#This Row],[Start Date]],AS$27&lt;ProposalToGnatt[[#This Row],[Start Date]]+ProposalToGnatt[[#This Row],[Days]]),$G$5,"")),"")</f>
        <v/>
      </c>
      <c r="AT79" s="36" t="str">
        <f ca="1">IFERROR(+IF(AT$27=ProposalToGnatt[[#This Row],[Start Date]],Milestone_Marker,IF(AND(AT$27&gt;ProposalToGnatt[[#This Row],[Start Date]],AT$27&lt;ProposalToGnatt[[#This Row],[Start Date]]+ProposalToGnatt[[#This Row],[Days]]),$G$5,"")),"")</f>
        <v/>
      </c>
      <c r="AU79" s="36" t="str">
        <f ca="1">IFERROR(+IF(AU$27=ProposalToGnatt[[#This Row],[Start Date]],Milestone_Marker,IF(AND(AU$27&gt;ProposalToGnatt[[#This Row],[Start Date]],AU$27&lt;ProposalToGnatt[[#This Row],[Start Date]]+ProposalToGnatt[[#This Row],[Days]]),$G$5,"")),"")</f>
        <v/>
      </c>
      <c r="AV79" s="36" t="str">
        <f ca="1">IFERROR(+IF(AV$27=ProposalToGnatt[[#This Row],[Start Date]],Milestone_Marker,IF(AND(AV$27&gt;ProposalToGnatt[[#This Row],[Start Date]],AV$27&lt;ProposalToGnatt[[#This Row],[Start Date]]+ProposalToGnatt[[#This Row],[Days]]),$G$5,"")),"")</f>
        <v/>
      </c>
      <c r="AW79" s="36" t="str">
        <f ca="1">IFERROR(+IF(AW$27=ProposalToGnatt[[#This Row],[Start Date]],Milestone_Marker,IF(AND(AW$27&gt;ProposalToGnatt[[#This Row],[Start Date]],AW$27&lt;ProposalToGnatt[[#This Row],[Start Date]]+ProposalToGnatt[[#This Row],[Days]]),$G$5,"")),"")</f>
        <v/>
      </c>
      <c r="AX79" s="36" t="str">
        <f ca="1">IFERROR(+IF(AX$27=ProposalToGnatt[[#This Row],[Start Date]],Milestone_Marker,IF(AND(AX$27&gt;ProposalToGnatt[[#This Row],[Start Date]],AX$27&lt;ProposalToGnatt[[#This Row],[Start Date]]+ProposalToGnatt[[#This Row],[Days]]),$G$5,"")),"")</f>
        <v/>
      </c>
      <c r="AY79" s="36" t="str">
        <f ca="1">IFERROR(+IF(AY$27=ProposalToGnatt[[#This Row],[Start Date]],Milestone_Marker,IF(AND(AY$27&gt;ProposalToGnatt[[#This Row],[Start Date]],AY$27&lt;ProposalToGnatt[[#This Row],[Start Date]]+ProposalToGnatt[[#This Row],[Days]]),$G$5,"")),"")</f>
        <v/>
      </c>
      <c r="AZ79" s="36" t="str">
        <f ca="1">IFERROR(+IF(AZ$27=ProposalToGnatt[[#This Row],[Start Date]],Milestone_Marker,IF(AND(AZ$27&gt;ProposalToGnatt[[#This Row],[Start Date]],AZ$27&lt;ProposalToGnatt[[#This Row],[Start Date]]+ProposalToGnatt[[#This Row],[Days]]),$G$5,"")),"")</f>
        <v/>
      </c>
      <c r="BA79" s="36" t="str">
        <f ca="1">IFERROR(+IF(BA$27=ProposalToGnatt[[#This Row],[Start Date]],Milestone_Marker,IF(AND(BA$27&gt;ProposalToGnatt[[#This Row],[Start Date]],BA$27&lt;ProposalToGnatt[[#This Row],[Start Date]]+ProposalToGnatt[[#This Row],[Days]]),$G$5,"")),"")</f>
        <v/>
      </c>
      <c r="BB79" s="36" t="str">
        <f ca="1">IFERROR(+IF(BB$27=ProposalToGnatt[[#This Row],[Start Date]],Milestone_Marker,IF(AND(BB$27&gt;ProposalToGnatt[[#This Row],[Start Date]],BB$27&lt;ProposalToGnatt[[#This Row],[Start Date]]+ProposalToGnatt[[#This Row],[Days]]),$G$5,"")),"")</f>
        <v/>
      </c>
      <c r="BC79" s="36" t="str">
        <f ca="1">IFERROR(+IF(BC$27=ProposalToGnatt[[#This Row],[Start Date]],Milestone_Marker,IF(AND(BC$27&gt;ProposalToGnatt[[#This Row],[Start Date]],BC$27&lt;ProposalToGnatt[[#This Row],[Start Date]]+ProposalToGnatt[[#This Row],[Days]]),$G$5,"")),"")</f>
        <v/>
      </c>
      <c r="BD79" s="36" t="str">
        <f ca="1">IFERROR(+IF(BD$27=ProposalToGnatt[[#This Row],[Start Date]],Milestone_Marker,IF(AND(BD$27&gt;ProposalToGnatt[[#This Row],[Start Date]],BD$27&lt;ProposalToGnatt[[#This Row],[Start Date]]+ProposalToGnatt[[#This Row],[Days]]),$G$5,"")),"")</f>
        <v/>
      </c>
      <c r="BE79" s="36" t="str">
        <f ca="1">IFERROR(+IF(BE$27=ProposalToGnatt[[#This Row],[Start Date]],Milestone_Marker,IF(AND(BE$27&gt;ProposalToGnatt[[#This Row],[Start Date]],BE$27&lt;ProposalToGnatt[[#This Row],[Start Date]]+ProposalToGnatt[[#This Row],[Days]]),$G$5,"")),"")</f>
        <v/>
      </c>
      <c r="BF79" s="36" t="str">
        <f ca="1">IFERROR(+IF(BF$27=ProposalToGnatt[[#This Row],[Start Date]],Milestone_Marker,IF(AND(BF$27&gt;ProposalToGnatt[[#This Row],[Start Date]],BF$27&lt;ProposalToGnatt[[#This Row],[Start Date]]+ProposalToGnatt[[#This Row],[Days]]),$G$5,"")),"")</f>
        <v/>
      </c>
      <c r="BG79" s="36" t="str">
        <f ca="1">IFERROR(+IF(BG$27=ProposalToGnatt[[#This Row],[Start Date]],Milestone_Marker,IF(AND(BG$27&gt;ProposalToGnatt[[#This Row],[Start Date]],BG$27&lt;ProposalToGnatt[[#This Row],[Start Date]]+ProposalToGnatt[[#This Row],[Days]]),$G$5,"")),"")</f>
        <v/>
      </c>
      <c r="BH79" s="36" t="str">
        <f ca="1">IFERROR(+IF(BH$27=ProposalToGnatt[[#This Row],[Start Date]],Milestone_Marker,IF(AND(BH$27&gt;ProposalToGnatt[[#This Row],[Start Date]],BH$27&lt;ProposalToGnatt[[#This Row],[Start Date]]+ProposalToGnatt[[#This Row],[Days]]),$G$5,"")),"")</f>
        <v/>
      </c>
      <c r="BI79" s="36" t="str">
        <f ca="1">IFERROR(+IF(BI$27=ProposalToGnatt[[#This Row],[Start Date]],Milestone_Marker,IF(AND(BI$27&gt;ProposalToGnatt[[#This Row],[Start Date]],BI$27&lt;ProposalToGnatt[[#This Row],[Start Date]]+ProposalToGnatt[[#This Row],[Days]]),$G$5,"")),"")</f>
        <v/>
      </c>
      <c r="BJ79" s="36" t="str">
        <f ca="1">IFERROR(+IF(BJ$27=ProposalToGnatt[[#This Row],[Start Date]],Milestone_Marker,IF(AND(BJ$27&gt;ProposalToGnatt[[#This Row],[Start Date]],BJ$27&lt;ProposalToGnatt[[#This Row],[Start Date]]+ProposalToGnatt[[#This Row],[Days]]),$G$5,"")),"")</f>
        <v/>
      </c>
      <c r="BK79" s="36" t="str">
        <f ca="1">IFERROR(+IF(BK$27=ProposalToGnatt[[#This Row],[Start Date]],Milestone_Marker,IF(AND(BK$27&gt;ProposalToGnatt[[#This Row],[Start Date]],BK$27&lt;ProposalToGnatt[[#This Row],[Start Date]]+ProposalToGnatt[[#This Row],[Days]]),$G$5,"")),"")</f>
        <v/>
      </c>
      <c r="BL79" s="36" t="str">
        <f ca="1">IFERROR(+IF(BL$27=ProposalToGnatt[[#This Row],[Start Date]],Milestone_Marker,IF(AND(BL$27&gt;ProposalToGnatt[[#This Row],[Start Date]],BL$27&lt;ProposalToGnatt[[#This Row],[Start Date]]+ProposalToGnatt[[#This Row],[Days]]),$G$5,"")),"")</f>
        <v/>
      </c>
      <c r="BM79" s="36" t="str">
        <f ca="1">IFERROR(+IF(BM$27=ProposalToGnatt[[#This Row],[Start Date]],Milestone_Marker,IF(AND(BM$27&gt;ProposalToGnatt[[#This Row],[Start Date]],BM$27&lt;ProposalToGnatt[[#This Row],[Start Date]]+ProposalToGnatt[[#This Row],[Days]]),$G$5,"")),"")</f>
        <v/>
      </c>
      <c r="BN79" s="36" t="str">
        <f ca="1">IFERROR(+IF(BN$27=ProposalToGnatt[[#This Row],[Start Date]],Milestone_Marker,IF(AND(BN$27&gt;ProposalToGnatt[[#This Row],[Start Date]],BN$27&lt;ProposalToGnatt[[#This Row],[Start Date]]+ProposalToGnatt[[#This Row],[Days]]),$G$5,"")),"")</f>
        <v/>
      </c>
      <c r="BO79" s="36" t="str">
        <f ca="1">IFERROR(+IF(BO$27=ProposalToGnatt[[#This Row],[Start Date]],Milestone_Marker,IF(AND(BO$27&gt;ProposalToGnatt[[#This Row],[Start Date]],BO$27&lt;ProposalToGnatt[[#This Row],[Start Date]]+ProposalToGnatt[[#This Row],[Days]]),$G$5,"")),"")</f>
        <v/>
      </c>
      <c r="BP79" s="36" t="str">
        <f ca="1">IFERROR(+IF(BP$27=ProposalToGnatt[[#This Row],[Start Date]],Milestone_Marker,IF(AND(BP$27&gt;ProposalToGnatt[[#This Row],[Start Date]],BP$27&lt;ProposalToGnatt[[#This Row],[Start Date]]+ProposalToGnatt[[#This Row],[Days]]),$G$5,"")),"")</f>
        <v/>
      </c>
      <c r="BQ79" s="36" t="str">
        <f ca="1">IFERROR(+IF(BQ$27=ProposalToGnatt[[#This Row],[Start Date]],Milestone_Marker,IF(AND(BQ$27&gt;ProposalToGnatt[[#This Row],[Start Date]],BQ$27&lt;ProposalToGnatt[[#This Row],[Start Date]]+ProposalToGnatt[[#This Row],[Days]]),$G$5,"")),"")</f>
        <v/>
      </c>
      <c r="BR79" s="36" t="str">
        <f ca="1">IFERROR(+IF(BR$27=ProposalToGnatt[[#This Row],[Start Date]],Milestone_Marker,IF(AND(BR$27&gt;ProposalToGnatt[[#This Row],[Start Date]],BR$27&lt;ProposalToGnatt[[#This Row],[Start Date]]+ProposalToGnatt[[#This Row],[Days]]),$G$5,"")),"")</f>
        <v/>
      </c>
      <c r="BS79" s="36" t="str">
        <f ca="1">IFERROR(+IF(BS$27=ProposalToGnatt[[#This Row],[Start Date]],Milestone_Marker,IF(AND(BS$27&gt;ProposalToGnatt[[#This Row],[Start Date]],BS$27&lt;ProposalToGnatt[[#This Row],[Start Date]]+ProposalToGnatt[[#This Row],[Days]]),$G$5,"")),"")</f>
        <v/>
      </c>
      <c r="BT79" s="36" t="str">
        <f ca="1">IFERROR(+IF(BT$27=ProposalToGnatt[[#This Row],[Start Date]],Milestone_Marker,IF(AND(BT$27&gt;ProposalToGnatt[[#This Row],[Start Date]],BT$27&lt;ProposalToGnatt[[#This Row],[Start Date]]+ProposalToGnatt[[#This Row],[Days]]),$G$5,"")),"")</f>
        <v/>
      </c>
      <c r="BU79" s="36" t="str">
        <f ca="1">IFERROR(+IF(BU$27=ProposalToGnatt[[#This Row],[Start Date]],Milestone_Marker,IF(AND(BU$27&gt;ProposalToGnatt[[#This Row],[Start Date]],BU$27&lt;ProposalToGnatt[[#This Row],[Start Date]]+ProposalToGnatt[[#This Row],[Days]]),$G$5,"")),"")</f>
        <v/>
      </c>
      <c r="BV79" s="36" t="str">
        <f ca="1">IFERROR(+IF(BV$27=ProposalToGnatt[[#This Row],[Start Date]],Milestone_Marker,IF(AND(BV$27&gt;ProposalToGnatt[[#This Row],[Start Date]],BV$27&lt;ProposalToGnatt[[#This Row],[Start Date]]+ProposalToGnatt[[#This Row],[Days]]),$G$5,"")),"")</f>
        <v/>
      </c>
      <c r="BW79" s="36" t="str">
        <f ca="1">IFERROR(+IF(BW$27=ProposalToGnatt[[#This Row],[Start Date]],Milestone_Marker,IF(AND(BW$27&gt;ProposalToGnatt[[#This Row],[Start Date]],BW$27&lt;ProposalToGnatt[[#This Row],[Start Date]]+ProposalToGnatt[[#This Row],[Days]]),$G$5,"")),"")</f>
        <v/>
      </c>
      <c r="BX79" s="36" t="str">
        <f ca="1">IFERROR(+IF(BX$27=ProposalToGnatt[[#This Row],[Start Date]],Milestone_Marker,IF(AND(BX$27&gt;ProposalToGnatt[[#This Row],[Start Date]],BX$27&lt;ProposalToGnatt[[#This Row],[Start Date]]+ProposalToGnatt[[#This Row],[Days]]),$G$5,"")),"")</f>
        <v/>
      </c>
      <c r="BY79" s="36" t="str">
        <f ca="1">IFERROR(+IF(BY$27=ProposalToGnatt[[#This Row],[Start Date]],Milestone_Marker,IF(AND(BY$27&gt;ProposalToGnatt[[#This Row],[Start Date]],BY$27&lt;ProposalToGnatt[[#This Row],[Start Date]]+ProposalToGnatt[[#This Row],[Days]]),$G$5,"")),"")</f>
        <v/>
      </c>
      <c r="BZ79" s="36" t="str">
        <f ca="1">IFERROR(+IF(BZ$27=ProposalToGnatt[[#This Row],[Start Date]],Milestone_Marker,IF(AND(BZ$27&gt;ProposalToGnatt[[#This Row],[Start Date]],BZ$27&lt;ProposalToGnatt[[#This Row],[Start Date]]+ProposalToGnatt[[#This Row],[Days]]),$G$5,"")),"")</f>
        <v/>
      </c>
      <c r="CA79" s="36" t="str">
        <f ca="1">IFERROR(+IF(CA$27=ProposalToGnatt[[#This Row],[Start Date]],Milestone_Marker,IF(AND(CA$27&gt;ProposalToGnatt[[#This Row],[Start Date]],CA$27&lt;ProposalToGnatt[[#This Row],[Start Date]]+ProposalToGnatt[[#This Row],[Days]]),$G$5,"")),"")</f>
        <v/>
      </c>
      <c r="CB79" s="36" t="str">
        <f ca="1">IFERROR(+IF(CB$27=ProposalToGnatt[[#This Row],[Start Date]],Milestone_Marker,IF(AND(CB$27&gt;ProposalToGnatt[[#This Row],[Start Date]],CB$27&lt;ProposalToGnatt[[#This Row],[Start Date]]+ProposalToGnatt[[#This Row],[Days]]),$G$5,"")),"")</f>
        <v/>
      </c>
      <c r="CC79" s="36" t="str">
        <f ca="1">IFERROR(+IF(CC$27=ProposalToGnatt[[#This Row],[Start Date]],Milestone_Marker,IF(AND(CC$27&gt;ProposalToGnatt[[#This Row],[Start Date]],CC$27&lt;ProposalToGnatt[[#This Row],[Start Date]]+ProposalToGnatt[[#This Row],[Days]]),$G$5,"")),"")</f>
        <v/>
      </c>
      <c r="CD79" s="36" t="str">
        <f ca="1">IFERROR(+IF(CD$27=ProposalToGnatt[[#This Row],[Start Date]],Milestone_Marker,IF(AND(CD$27&gt;ProposalToGnatt[[#This Row],[Start Date]],CD$27&lt;ProposalToGnatt[[#This Row],[Start Date]]+ProposalToGnatt[[#This Row],[Days]]),$G$5,"")),"")</f>
        <v/>
      </c>
      <c r="CE79" s="36" t="str">
        <f ca="1">IFERROR(+IF(CE$27=ProposalToGnatt[[#This Row],[Start Date]],Milestone_Marker,IF(AND(CE$27&gt;ProposalToGnatt[[#This Row],[Start Date]],CE$27&lt;ProposalToGnatt[[#This Row],[Start Date]]+ProposalToGnatt[[#This Row],[Days]]),$G$5,"")),"")</f>
        <v/>
      </c>
      <c r="CF79" s="36" t="str">
        <f ca="1">IFERROR(+IF(CF$27=ProposalToGnatt[[#This Row],[Start Date]],Milestone_Marker,IF(AND(CF$27&gt;ProposalToGnatt[[#This Row],[Start Date]],CF$27&lt;ProposalToGnatt[[#This Row],[Start Date]]+ProposalToGnatt[[#This Row],[Days]]),$G$5,"")),"")</f>
        <v/>
      </c>
      <c r="CG79" s="36" t="str">
        <f ca="1">IFERROR(+IF(CG$27=ProposalToGnatt[[#This Row],[Start Date]],Milestone_Marker,IF(AND(CG$27&gt;ProposalToGnatt[[#This Row],[Start Date]],CG$27&lt;ProposalToGnatt[[#This Row],[Start Date]]+ProposalToGnatt[[#This Row],[Days]]),$G$5,"")),"")</f>
        <v/>
      </c>
      <c r="CH79" s="36" t="str">
        <f ca="1">IFERROR(+IF(CH$27=ProposalToGnatt[[#This Row],[Start Date]],Milestone_Marker,IF(AND(CH$27&gt;ProposalToGnatt[[#This Row],[Start Date]],CH$27&lt;ProposalToGnatt[[#This Row],[Start Date]]+ProposalToGnatt[[#This Row],[Days]]),$G$5,"")),"")</f>
        <v/>
      </c>
      <c r="CI79" s="36" t="str">
        <f ca="1">IFERROR(+IF(CI$27=ProposalToGnatt[[#This Row],[Start Date]],Milestone_Marker,IF(AND(CI$27&gt;ProposalToGnatt[[#This Row],[Start Date]],CI$27&lt;ProposalToGnatt[[#This Row],[Start Date]]+ProposalToGnatt[[#This Row],[Days]]),$G$5,"")),"")</f>
        <v/>
      </c>
      <c r="CJ79" s="36" t="str">
        <f ca="1">IFERROR(+IF(CJ$27=ProposalToGnatt[[#This Row],[Start Date]],Milestone_Marker,IF(AND(CJ$27&gt;ProposalToGnatt[[#This Row],[Start Date]],CJ$27&lt;ProposalToGnatt[[#This Row],[Start Date]]+ProposalToGnatt[[#This Row],[Days]]),$G$5,"")),"")</f>
        <v/>
      </c>
      <c r="CK79" s="36" t="str">
        <f ca="1">IFERROR(+IF(CK$27=ProposalToGnatt[[#This Row],[Start Date]],Milestone_Marker,IF(AND(CK$27&gt;ProposalToGnatt[[#This Row],[Start Date]],CK$27&lt;ProposalToGnatt[[#This Row],[Start Date]]+ProposalToGnatt[[#This Row],[Days]]),$G$5,"")),"")</f>
        <v/>
      </c>
      <c r="CL79" s="36" t="str">
        <f ca="1">IFERROR(+IF(CL$27=ProposalToGnatt[[#This Row],[Start Date]],Milestone_Marker,IF(AND(CL$27&gt;ProposalToGnatt[[#This Row],[Start Date]],CL$27&lt;ProposalToGnatt[[#This Row],[Start Date]]+ProposalToGnatt[[#This Row],[Days]]),$G$5,"")),"")</f>
        <v/>
      </c>
      <c r="CM79" s="36" t="str">
        <f ca="1">IFERROR(+IF(CM$27=ProposalToGnatt[[#This Row],[Start Date]],Milestone_Marker,IF(AND(CM$27&gt;ProposalToGnatt[[#This Row],[Start Date]],CM$27&lt;ProposalToGnatt[[#This Row],[Start Date]]+ProposalToGnatt[[#This Row],[Days]]),$G$5,"")),"")</f>
        <v/>
      </c>
      <c r="CN79" s="36" t="str">
        <f ca="1">IFERROR(+IF(CN$27=ProposalToGnatt[[#This Row],[Start Date]],Milestone_Marker,IF(AND(CN$27&gt;ProposalToGnatt[[#This Row],[Start Date]],CN$27&lt;ProposalToGnatt[[#This Row],[Start Date]]+ProposalToGnatt[[#This Row],[Days]]),$G$5,"")),"")</f>
        <v/>
      </c>
      <c r="CO79" s="36" t="str">
        <f ca="1">IFERROR(+IF(CO$27=ProposalToGnatt[[#This Row],[Start Date]],Milestone_Marker,IF(AND(CO$27&gt;ProposalToGnatt[[#This Row],[Start Date]],CO$27&lt;ProposalToGnatt[[#This Row],[Start Date]]+ProposalToGnatt[[#This Row],[Days]]),$G$5,"")),"")</f>
        <v/>
      </c>
      <c r="CP79" s="36" t="str">
        <f ca="1">IFERROR(+IF(CP$27=ProposalToGnatt[[#This Row],[Start Date]],Milestone_Marker,IF(AND(CP$27&gt;ProposalToGnatt[[#This Row],[Start Date]],CP$27&lt;ProposalToGnatt[[#This Row],[Start Date]]+ProposalToGnatt[[#This Row],[Days]]),$G$5,"")),"")</f>
        <v/>
      </c>
      <c r="CQ79" s="36" t="str">
        <f ca="1">IFERROR(+IF(CQ$27=ProposalToGnatt[[#This Row],[Start Date]],Milestone_Marker,IF(AND(CQ$27&gt;ProposalToGnatt[[#This Row],[Start Date]],CQ$27&lt;ProposalToGnatt[[#This Row],[Start Date]]+ProposalToGnatt[[#This Row],[Days]]),$G$5,"")),"")</f>
        <v/>
      </c>
      <c r="CR79" s="36" t="str">
        <f ca="1">IFERROR(+IF(CR$27=ProposalToGnatt[[#This Row],[Start Date]],Milestone_Marker,IF(AND(CR$27&gt;ProposalToGnatt[[#This Row],[Start Date]],CR$27&lt;ProposalToGnatt[[#This Row],[Start Date]]+ProposalToGnatt[[#This Row],[Days]]),$G$5,"")),"")</f>
        <v/>
      </c>
      <c r="CS79" s="36" t="str">
        <f ca="1">IFERROR(+IF(CS$27=ProposalToGnatt[[#This Row],[Start Date]],Milestone_Marker,IF(AND(CS$27&gt;ProposalToGnatt[[#This Row],[Start Date]],CS$27&lt;ProposalToGnatt[[#This Row],[Start Date]]+ProposalToGnatt[[#This Row],[Days]]),$G$5,"")),"")</f>
        <v/>
      </c>
      <c r="CT79" s="36" t="str">
        <f ca="1">IFERROR(+IF(CT$27=ProposalToGnatt[[#This Row],[Start Date]],Milestone_Marker,IF(AND(CT$27&gt;ProposalToGnatt[[#This Row],[Start Date]],CT$27&lt;ProposalToGnatt[[#This Row],[Start Date]]+ProposalToGnatt[[#This Row],[Days]]),$G$5,"")),"")</f>
        <v/>
      </c>
      <c r="CU79" s="36" t="str">
        <f ca="1">IFERROR(+IF(CU$27=ProposalToGnatt[[#This Row],[Start Date]],Milestone_Marker,IF(AND(CU$27&gt;ProposalToGnatt[[#This Row],[Start Date]],CU$27&lt;ProposalToGnatt[[#This Row],[Start Date]]+ProposalToGnatt[[#This Row],[Days]]),$G$5,"")),"")</f>
        <v/>
      </c>
      <c r="CV79" s="36" t="str">
        <f ca="1">IFERROR(+IF(CT$27=#REF!,Milestone_Marker,IF(AND(CT$27&gt;#REF!,CT$27&lt;=#REF!+#REF!),$G$5,"")),"")</f>
        <v/>
      </c>
      <c r="CW79" s="36" t="str">
        <f ca="1">IFERROR(+IF(CU$27=#REF!,Milestone_Marker,IF(AND(CU$27&gt;#REF!,CU$27&lt;=#REF!+#REF!),$G$5,"")),"")</f>
        <v/>
      </c>
      <c r="CX79" s="36"/>
      <c r="CY79" s="36"/>
      <c r="CZ79" s="36"/>
      <c r="DA79" s="36"/>
      <c r="DB79" s="36"/>
      <c r="DC79" s="36"/>
      <c r="DD79" s="36"/>
      <c r="DE79" s="36"/>
      <c r="DF79" s="36"/>
      <c r="DG79" s="36"/>
      <c r="DH79" s="36"/>
      <c r="DI79" s="36"/>
      <c r="DJ79" s="36"/>
      <c r="DK79" s="36"/>
      <c r="DL79" s="36"/>
      <c r="DM79" s="36"/>
      <c r="DN79" s="36"/>
      <c r="DO79" s="36"/>
      <c r="DP79" s="36"/>
      <c r="DQ79" s="36"/>
      <c r="DR79" s="36"/>
      <c r="DS79" s="36"/>
      <c r="DT79" s="36"/>
      <c r="DU79" s="36"/>
    </row>
    <row r="80" spans="1:125" ht="15" x14ac:dyDescent="0.25">
      <c r="A80"/>
      <c r="B80"/>
      <c r="C80"/>
      <c r="D80"/>
      <c r="E80"/>
      <c r="F80"/>
      <c r="G80" s="14"/>
      <c r="H80" s="14"/>
      <c r="I80"/>
      <c r="J80"/>
      <c r="K80" s="246"/>
      <c r="L80"/>
      <c r="M80" s="14"/>
      <c r="N80" s="299"/>
      <c r="O80" s="281"/>
      <c r="P80" s="36" t="str">
        <f ca="1">IFERROR(+IF(P$27=ProposalToGnatt[[#This Row],[Start Date]],Milestone_Marker,IF(AND(P$27&gt;ProposalToGnatt[[#This Row],[Start Date]],P$27&lt;ProposalToGnatt[[#This Row],[Start Date]]+ProposalToGnatt[[#This Row],[Days]]),$G$5,"")),"")</f>
        <v/>
      </c>
      <c r="Q80" s="36" t="str">
        <f ca="1">IFERROR(+IF(Q$27=ProposalToGnatt[[#This Row],[Start Date]],Milestone_Marker,IF(AND(Q$27&gt;ProposalToGnatt[[#This Row],[Start Date]],Q$27&lt;ProposalToGnatt[[#This Row],[Start Date]]+ProposalToGnatt[[#This Row],[Days]]),$G$5,"")),"")</f>
        <v/>
      </c>
      <c r="R80" s="36" t="str">
        <f ca="1">IFERROR(+IF(R$27=ProposalToGnatt[[#This Row],[Start Date]],Milestone_Marker,IF(AND(R$27&gt;ProposalToGnatt[[#This Row],[Start Date]],R$27&lt;ProposalToGnatt[[#This Row],[Start Date]]+ProposalToGnatt[[#This Row],[Days]]),$G$5,"")),"")</f>
        <v/>
      </c>
      <c r="S80" s="36" t="str">
        <f ca="1">IFERROR(+IF(S$27=ProposalToGnatt[[#This Row],[Start Date]],Milestone_Marker,IF(AND(S$27&gt;ProposalToGnatt[[#This Row],[Start Date]],S$27&lt;ProposalToGnatt[[#This Row],[Start Date]]+ProposalToGnatt[[#This Row],[Days]]),$G$5,"")),"")</f>
        <v/>
      </c>
      <c r="T80" s="36" t="str">
        <f ca="1">IFERROR(+IF(T$27=ProposalToGnatt[[#This Row],[Start Date]],Milestone_Marker,IF(AND(T$27&gt;ProposalToGnatt[[#This Row],[Start Date]],T$27&lt;ProposalToGnatt[[#This Row],[Start Date]]+ProposalToGnatt[[#This Row],[Days]]),$G$5,"")),"")</f>
        <v/>
      </c>
      <c r="U80" s="36" t="str">
        <f ca="1">IFERROR(+IF(U$27=ProposalToGnatt[[#This Row],[Start Date]],Milestone_Marker,IF(AND(U$27&gt;ProposalToGnatt[[#This Row],[Start Date]],U$27&lt;ProposalToGnatt[[#This Row],[Start Date]]+ProposalToGnatt[[#This Row],[Days]]),$G$5,"")),"")</f>
        <v/>
      </c>
      <c r="V80" s="36" t="str">
        <f ca="1">IFERROR(+IF(V$27=ProposalToGnatt[[#This Row],[Start Date]],Milestone_Marker,IF(AND(V$27&gt;ProposalToGnatt[[#This Row],[Start Date]],V$27&lt;ProposalToGnatt[[#This Row],[Start Date]]+ProposalToGnatt[[#This Row],[Days]]),$G$5,"")),"")</f>
        <v/>
      </c>
      <c r="W80" s="36" t="str">
        <f ca="1">IFERROR(+IF(W$27=ProposalToGnatt[[#This Row],[Start Date]],Milestone_Marker,IF(AND(W$27&gt;ProposalToGnatt[[#This Row],[Start Date]],W$27&lt;ProposalToGnatt[[#This Row],[Start Date]]+ProposalToGnatt[[#This Row],[Days]]),$G$5,"")),"")</f>
        <v/>
      </c>
      <c r="X80" s="36" t="str">
        <f ca="1">IFERROR(+IF(X$27=ProposalToGnatt[[#This Row],[Start Date]],Milestone_Marker,IF(AND(X$27&gt;ProposalToGnatt[[#This Row],[Start Date]],X$27&lt;ProposalToGnatt[[#This Row],[Start Date]]+ProposalToGnatt[[#This Row],[Days]]),$G$5,"")),"")</f>
        <v/>
      </c>
      <c r="Y80" s="36" t="str">
        <f ca="1">IFERROR(+IF(Y$27=ProposalToGnatt[[#This Row],[Start Date]],Milestone_Marker,IF(AND(Y$27&gt;ProposalToGnatt[[#This Row],[Start Date]],Y$27&lt;ProposalToGnatt[[#This Row],[Start Date]]+ProposalToGnatt[[#This Row],[Days]]),$G$5,"")),"")</f>
        <v/>
      </c>
      <c r="Z80" s="36" t="str">
        <f ca="1">IFERROR(+IF(Z$27=ProposalToGnatt[[#This Row],[Start Date]],Milestone_Marker,IF(AND(Z$27&gt;ProposalToGnatt[[#This Row],[Start Date]],Z$27&lt;ProposalToGnatt[[#This Row],[Start Date]]+ProposalToGnatt[[#This Row],[Days]]),$G$5,"")),"")</f>
        <v/>
      </c>
      <c r="AA80" s="36" t="str">
        <f ca="1">IFERROR(+IF(AA$27=ProposalToGnatt[[#This Row],[Start Date]],Milestone_Marker,IF(AND(AA$27&gt;ProposalToGnatt[[#This Row],[Start Date]],AA$27&lt;ProposalToGnatt[[#This Row],[Start Date]]+ProposalToGnatt[[#This Row],[Days]]),$G$5,"")),"")</f>
        <v/>
      </c>
      <c r="AB80" s="36" t="str">
        <f ca="1">IFERROR(+IF(AB$27=ProposalToGnatt[[#This Row],[Start Date]],Milestone_Marker,IF(AND(AB$27&gt;ProposalToGnatt[[#This Row],[Start Date]],AB$27&lt;ProposalToGnatt[[#This Row],[Start Date]]+ProposalToGnatt[[#This Row],[Days]]),$G$5,"")),"")</f>
        <v/>
      </c>
      <c r="AC80" s="36" t="str">
        <f ca="1">IFERROR(+IF(AC$27=ProposalToGnatt[[#This Row],[Start Date]],Milestone_Marker,IF(AND(AC$27&gt;ProposalToGnatt[[#This Row],[Start Date]],AC$27&lt;ProposalToGnatt[[#This Row],[Start Date]]+ProposalToGnatt[[#This Row],[Days]]),$G$5,"")),"")</f>
        <v/>
      </c>
      <c r="AD80" s="36" t="str">
        <f ca="1">IFERROR(+IF(AD$27=ProposalToGnatt[[#This Row],[Start Date]],Milestone_Marker,IF(AND(AD$27&gt;ProposalToGnatt[[#This Row],[Start Date]],AD$27&lt;ProposalToGnatt[[#This Row],[Start Date]]+ProposalToGnatt[[#This Row],[Days]]),$G$5,"")),"")</f>
        <v/>
      </c>
      <c r="AE80" s="36" t="str">
        <f ca="1">IFERROR(+IF(AE$27=ProposalToGnatt[[#This Row],[Start Date]],Milestone_Marker,IF(AND(AE$27&gt;ProposalToGnatt[[#This Row],[Start Date]],AE$27&lt;ProposalToGnatt[[#This Row],[Start Date]]+ProposalToGnatt[[#This Row],[Days]]),$G$5,"")),"")</f>
        <v/>
      </c>
      <c r="AF80" s="36" t="str">
        <f ca="1">IFERROR(+IF(AF$27=ProposalToGnatt[[#This Row],[Start Date]],Milestone_Marker,IF(AND(AF$27&gt;ProposalToGnatt[[#This Row],[Start Date]],AF$27&lt;ProposalToGnatt[[#This Row],[Start Date]]+ProposalToGnatt[[#This Row],[Days]]),$G$5,"")),"")</f>
        <v/>
      </c>
      <c r="AG80" s="36" t="str">
        <f ca="1">IFERROR(+IF(AG$27=ProposalToGnatt[[#This Row],[Start Date]],Milestone_Marker,IF(AND(AG$27&gt;ProposalToGnatt[[#This Row],[Start Date]],AG$27&lt;ProposalToGnatt[[#This Row],[Start Date]]+ProposalToGnatt[[#This Row],[Days]]),$G$5,"")),"")</f>
        <v/>
      </c>
      <c r="AH80" s="36" t="str">
        <f ca="1">IFERROR(+IF(AH$27=ProposalToGnatt[[#This Row],[Start Date]],Milestone_Marker,IF(AND(AH$27&gt;ProposalToGnatt[[#This Row],[Start Date]],AH$27&lt;ProposalToGnatt[[#This Row],[Start Date]]+ProposalToGnatt[[#This Row],[Days]]),$G$5,"")),"")</f>
        <v/>
      </c>
      <c r="AI80" s="36" t="str">
        <f ca="1">IFERROR(+IF(AI$27=ProposalToGnatt[[#This Row],[Start Date]],Milestone_Marker,IF(AND(AI$27&gt;ProposalToGnatt[[#This Row],[Start Date]],AI$27&lt;ProposalToGnatt[[#This Row],[Start Date]]+ProposalToGnatt[[#This Row],[Days]]),$G$5,"")),"")</f>
        <v/>
      </c>
      <c r="AJ80" s="36" t="str">
        <f ca="1">IFERROR(+IF(AJ$27=ProposalToGnatt[[#This Row],[Start Date]],Milestone_Marker,IF(AND(AJ$27&gt;ProposalToGnatt[[#This Row],[Start Date]],AJ$27&lt;ProposalToGnatt[[#This Row],[Start Date]]+ProposalToGnatt[[#This Row],[Days]]),$G$5,"")),"")</f>
        <v/>
      </c>
      <c r="AK80" s="36" t="str">
        <f ca="1">IFERROR(+IF(AK$27=ProposalToGnatt[[#This Row],[Start Date]],Milestone_Marker,IF(AND(AK$27&gt;ProposalToGnatt[[#This Row],[Start Date]],AK$27&lt;ProposalToGnatt[[#This Row],[Start Date]]+ProposalToGnatt[[#This Row],[Days]]),$G$5,"")),"")</f>
        <v/>
      </c>
      <c r="AL80" s="36" t="str">
        <f ca="1">IFERROR(+IF(AL$27=ProposalToGnatt[[#This Row],[Start Date]],Milestone_Marker,IF(AND(AL$27&gt;ProposalToGnatt[[#This Row],[Start Date]],AL$27&lt;ProposalToGnatt[[#This Row],[Start Date]]+ProposalToGnatt[[#This Row],[Days]]),$G$5,"")),"")</f>
        <v/>
      </c>
      <c r="AM80" s="36" t="str">
        <f ca="1">IFERROR(+IF(AM$27=ProposalToGnatt[[#This Row],[Start Date]],Milestone_Marker,IF(AND(AM$27&gt;ProposalToGnatt[[#This Row],[Start Date]],AM$27&lt;ProposalToGnatt[[#This Row],[Start Date]]+ProposalToGnatt[[#This Row],[Days]]),$G$5,"")),"")</f>
        <v/>
      </c>
      <c r="AN80" s="36" t="str">
        <f ca="1">IFERROR(+IF(AN$27=ProposalToGnatt[[#This Row],[Start Date]],Milestone_Marker,IF(AND(AN$27&gt;ProposalToGnatt[[#This Row],[Start Date]],AN$27&lt;ProposalToGnatt[[#This Row],[Start Date]]+ProposalToGnatt[[#This Row],[Days]]),$G$5,"")),"")</f>
        <v/>
      </c>
      <c r="AO80" s="36" t="str">
        <f ca="1">IFERROR(+IF(AO$27=ProposalToGnatt[[#This Row],[Start Date]],Milestone_Marker,IF(AND(AO$27&gt;ProposalToGnatt[[#This Row],[Start Date]],AO$27&lt;ProposalToGnatt[[#This Row],[Start Date]]+ProposalToGnatt[[#This Row],[Days]]),$G$5,"")),"")</f>
        <v/>
      </c>
      <c r="AP80" s="36" t="str">
        <f ca="1">IFERROR(+IF(AP$27=ProposalToGnatt[[#This Row],[Start Date]],Milestone_Marker,IF(AND(AP$27&gt;ProposalToGnatt[[#This Row],[Start Date]],AP$27&lt;ProposalToGnatt[[#This Row],[Start Date]]+ProposalToGnatt[[#This Row],[Days]]),$G$5,"")),"")</f>
        <v/>
      </c>
      <c r="AQ80" s="36" t="str">
        <f ca="1">IFERROR(+IF(AQ$27=ProposalToGnatt[[#This Row],[Start Date]],Milestone_Marker,IF(AND(AQ$27&gt;ProposalToGnatt[[#This Row],[Start Date]],AQ$27&lt;ProposalToGnatt[[#This Row],[Start Date]]+ProposalToGnatt[[#This Row],[Days]]),$G$5,"")),"")</f>
        <v/>
      </c>
      <c r="AR80" s="36" t="str">
        <f ca="1">IFERROR(+IF(AR$27=ProposalToGnatt[[#This Row],[Start Date]],Milestone_Marker,IF(AND(AR$27&gt;ProposalToGnatt[[#This Row],[Start Date]],AR$27&lt;ProposalToGnatt[[#This Row],[Start Date]]+ProposalToGnatt[[#This Row],[Days]]),$G$5,"")),"")</f>
        <v/>
      </c>
      <c r="AS80" s="36" t="str">
        <f ca="1">IFERROR(+IF(AS$27=ProposalToGnatt[[#This Row],[Start Date]],Milestone_Marker,IF(AND(AS$27&gt;ProposalToGnatt[[#This Row],[Start Date]],AS$27&lt;ProposalToGnatt[[#This Row],[Start Date]]+ProposalToGnatt[[#This Row],[Days]]),$G$5,"")),"")</f>
        <v/>
      </c>
      <c r="AT80" s="36" t="str">
        <f ca="1">IFERROR(+IF(AT$27=ProposalToGnatt[[#This Row],[Start Date]],Milestone_Marker,IF(AND(AT$27&gt;ProposalToGnatt[[#This Row],[Start Date]],AT$27&lt;ProposalToGnatt[[#This Row],[Start Date]]+ProposalToGnatt[[#This Row],[Days]]),$G$5,"")),"")</f>
        <v/>
      </c>
      <c r="AU80" s="36" t="str">
        <f ca="1">IFERROR(+IF(AU$27=ProposalToGnatt[[#This Row],[Start Date]],Milestone_Marker,IF(AND(AU$27&gt;ProposalToGnatt[[#This Row],[Start Date]],AU$27&lt;ProposalToGnatt[[#This Row],[Start Date]]+ProposalToGnatt[[#This Row],[Days]]),$G$5,"")),"")</f>
        <v/>
      </c>
      <c r="AV80" s="36" t="str">
        <f ca="1">IFERROR(+IF(AV$27=ProposalToGnatt[[#This Row],[Start Date]],Milestone_Marker,IF(AND(AV$27&gt;ProposalToGnatt[[#This Row],[Start Date]],AV$27&lt;ProposalToGnatt[[#This Row],[Start Date]]+ProposalToGnatt[[#This Row],[Days]]),$G$5,"")),"")</f>
        <v/>
      </c>
      <c r="AW80" s="36" t="str">
        <f ca="1">IFERROR(+IF(AW$27=ProposalToGnatt[[#This Row],[Start Date]],Milestone_Marker,IF(AND(AW$27&gt;ProposalToGnatt[[#This Row],[Start Date]],AW$27&lt;ProposalToGnatt[[#This Row],[Start Date]]+ProposalToGnatt[[#This Row],[Days]]),$G$5,"")),"")</f>
        <v/>
      </c>
      <c r="AX80" s="36" t="str">
        <f ca="1">IFERROR(+IF(AX$27=ProposalToGnatt[[#This Row],[Start Date]],Milestone_Marker,IF(AND(AX$27&gt;ProposalToGnatt[[#This Row],[Start Date]],AX$27&lt;ProposalToGnatt[[#This Row],[Start Date]]+ProposalToGnatt[[#This Row],[Days]]),$G$5,"")),"")</f>
        <v/>
      </c>
      <c r="AY80" s="36" t="str">
        <f ca="1">IFERROR(+IF(AY$27=ProposalToGnatt[[#This Row],[Start Date]],Milestone_Marker,IF(AND(AY$27&gt;ProposalToGnatt[[#This Row],[Start Date]],AY$27&lt;ProposalToGnatt[[#This Row],[Start Date]]+ProposalToGnatt[[#This Row],[Days]]),$G$5,"")),"")</f>
        <v/>
      </c>
      <c r="AZ80" s="36" t="str">
        <f ca="1">IFERROR(+IF(AZ$27=ProposalToGnatt[[#This Row],[Start Date]],Milestone_Marker,IF(AND(AZ$27&gt;ProposalToGnatt[[#This Row],[Start Date]],AZ$27&lt;ProposalToGnatt[[#This Row],[Start Date]]+ProposalToGnatt[[#This Row],[Days]]),$G$5,"")),"")</f>
        <v/>
      </c>
      <c r="BA80" s="36" t="str">
        <f ca="1">IFERROR(+IF(BA$27=ProposalToGnatt[[#This Row],[Start Date]],Milestone_Marker,IF(AND(BA$27&gt;ProposalToGnatt[[#This Row],[Start Date]],BA$27&lt;ProposalToGnatt[[#This Row],[Start Date]]+ProposalToGnatt[[#This Row],[Days]]),$G$5,"")),"")</f>
        <v/>
      </c>
      <c r="BB80" s="36" t="str">
        <f ca="1">IFERROR(+IF(BB$27=ProposalToGnatt[[#This Row],[Start Date]],Milestone_Marker,IF(AND(BB$27&gt;ProposalToGnatt[[#This Row],[Start Date]],BB$27&lt;ProposalToGnatt[[#This Row],[Start Date]]+ProposalToGnatt[[#This Row],[Days]]),$G$5,"")),"")</f>
        <v/>
      </c>
      <c r="BC80" s="36" t="str">
        <f ca="1">IFERROR(+IF(BC$27=ProposalToGnatt[[#This Row],[Start Date]],Milestone_Marker,IF(AND(BC$27&gt;ProposalToGnatt[[#This Row],[Start Date]],BC$27&lt;ProposalToGnatt[[#This Row],[Start Date]]+ProposalToGnatt[[#This Row],[Days]]),$G$5,"")),"")</f>
        <v/>
      </c>
      <c r="BD80" s="36" t="str">
        <f ca="1">IFERROR(+IF(BD$27=ProposalToGnatt[[#This Row],[Start Date]],Milestone_Marker,IF(AND(BD$27&gt;ProposalToGnatt[[#This Row],[Start Date]],BD$27&lt;ProposalToGnatt[[#This Row],[Start Date]]+ProposalToGnatt[[#This Row],[Days]]),$G$5,"")),"")</f>
        <v/>
      </c>
      <c r="BE80" s="36" t="str">
        <f ca="1">IFERROR(+IF(BE$27=ProposalToGnatt[[#This Row],[Start Date]],Milestone_Marker,IF(AND(BE$27&gt;ProposalToGnatt[[#This Row],[Start Date]],BE$27&lt;ProposalToGnatt[[#This Row],[Start Date]]+ProposalToGnatt[[#This Row],[Days]]),$G$5,"")),"")</f>
        <v/>
      </c>
      <c r="BF80" s="36" t="str">
        <f ca="1">IFERROR(+IF(BF$27=ProposalToGnatt[[#This Row],[Start Date]],Milestone_Marker,IF(AND(BF$27&gt;ProposalToGnatt[[#This Row],[Start Date]],BF$27&lt;ProposalToGnatt[[#This Row],[Start Date]]+ProposalToGnatt[[#This Row],[Days]]),$G$5,"")),"")</f>
        <v/>
      </c>
      <c r="BG80" s="36" t="str">
        <f ca="1">IFERROR(+IF(BG$27=ProposalToGnatt[[#This Row],[Start Date]],Milestone_Marker,IF(AND(BG$27&gt;ProposalToGnatt[[#This Row],[Start Date]],BG$27&lt;ProposalToGnatt[[#This Row],[Start Date]]+ProposalToGnatt[[#This Row],[Days]]),$G$5,"")),"")</f>
        <v/>
      </c>
      <c r="BH80" s="36" t="str">
        <f ca="1">IFERROR(+IF(BH$27=ProposalToGnatt[[#This Row],[Start Date]],Milestone_Marker,IF(AND(BH$27&gt;ProposalToGnatt[[#This Row],[Start Date]],BH$27&lt;ProposalToGnatt[[#This Row],[Start Date]]+ProposalToGnatt[[#This Row],[Days]]),$G$5,"")),"")</f>
        <v/>
      </c>
      <c r="BI80" s="36" t="str">
        <f ca="1">IFERROR(+IF(BI$27=ProposalToGnatt[[#This Row],[Start Date]],Milestone_Marker,IF(AND(BI$27&gt;ProposalToGnatt[[#This Row],[Start Date]],BI$27&lt;ProposalToGnatt[[#This Row],[Start Date]]+ProposalToGnatt[[#This Row],[Days]]),$G$5,"")),"")</f>
        <v/>
      </c>
      <c r="BJ80" s="36" t="str">
        <f ca="1">IFERROR(+IF(BJ$27=ProposalToGnatt[[#This Row],[Start Date]],Milestone_Marker,IF(AND(BJ$27&gt;ProposalToGnatt[[#This Row],[Start Date]],BJ$27&lt;ProposalToGnatt[[#This Row],[Start Date]]+ProposalToGnatt[[#This Row],[Days]]),$G$5,"")),"")</f>
        <v/>
      </c>
      <c r="BK80" s="36" t="str">
        <f ca="1">IFERROR(+IF(BK$27=ProposalToGnatt[[#This Row],[Start Date]],Milestone_Marker,IF(AND(BK$27&gt;ProposalToGnatt[[#This Row],[Start Date]],BK$27&lt;ProposalToGnatt[[#This Row],[Start Date]]+ProposalToGnatt[[#This Row],[Days]]),$G$5,"")),"")</f>
        <v/>
      </c>
      <c r="BL80" s="36" t="str">
        <f ca="1">IFERROR(+IF(BL$27=ProposalToGnatt[[#This Row],[Start Date]],Milestone_Marker,IF(AND(BL$27&gt;ProposalToGnatt[[#This Row],[Start Date]],BL$27&lt;ProposalToGnatt[[#This Row],[Start Date]]+ProposalToGnatt[[#This Row],[Days]]),$G$5,"")),"")</f>
        <v/>
      </c>
      <c r="BM80" s="36" t="str">
        <f ca="1">IFERROR(+IF(BM$27=ProposalToGnatt[[#This Row],[Start Date]],Milestone_Marker,IF(AND(BM$27&gt;ProposalToGnatt[[#This Row],[Start Date]],BM$27&lt;ProposalToGnatt[[#This Row],[Start Date]]+ProposalToGnatt[[#This Row],[Days]]),$G$5,"")),"")</f>
        <v/>
      </c>
      <c r="BN80" s="36" t="str">
        <f ca="1">IFERROR(+IF(BN$27=ProposalToGnatt[[#This Row],[Start Date]],Milestone_Marker,IF(AND(BN$27&gt;ProposalToGnatt[[#This Row],[Start Date]],BN$27&lt;ProposalToGnatt[[#This Row],[Start Date]]+ProposalToGnatt[[#This Row],[Days]]),$G$5,"")),"")</f>
        <v/>
      </c>
      <c r="BO80" s="36" t="str">
        <f ca="1">IFERROR(+IF(BO$27=ProposalToGnatt[[#This Row],[Start Date]],Milestone_Marker,IF(AND(BO$27&gt;ProposalToGnatt[[#This Row],[Start Date]],BO$27&lt;ProposalToGnatt[[#This Row],[Start Date]]+ProposalToGnatt[[#This Row],[Days]]),$G$5,"")),"")</f>
        <v/>
      </c>
      <c r="BP80" s="36" t="str">
        <f ca="1">IFERROR(+IF(BP$27=ProposalToGnatt[[#This Row],[Start Date]],Milestone_Marker,IF(AND(BP$27&gt;ProposalToGnatt[[#This Row],[Start Date]],BP$27&lt;ProposalToGnatt[[#This Row],[Start Date]]+ProposalToGnatt[[#This Row],[Days]]),$G$5,"")),"")</f>
        <v/>
      </c>
      <c r="BQ80" s="36" t="str">
        <f ca="1">IFERROR(+IF(BQ$27=ProposalToGnatt[[#This Row],[Start Date]],Milestone_Marker,IF(AND(BQ$27&gt;ProposalToGnatt[[#This Row],[Start Date]],BQ$27&lt;ProposalToGnatt[[#This Row],[Start Date]]+ProposalToGnatt[[#This Row],[Days]]),$G$5,"")),"")</f>
        <v/>
      </c>
      <c r="BR80" s="36" t="str">
        <f ca="1">IFERROR(+IF(BR$27=ProposalToGnatt[[#This Row],[Start Date]],Milestone_Marker,IF(AND(BR$27&gt;ProposalToGnatt[[#This Row],[Start Date]],BR$27&lt;ProposalToGnatt[[#This Row],[Start Date]]+ProposalToGnatt[[#This Row],[Days]]),$G$5,"")),"")</f>
        <v/>
      </c>
      <c r="BS80" s="36" t="str">
        <f ca="1">IFERROR(+IF(BS$27=ProposalToGnatt[[#This Row],[Start Date]],Milestone_Marker,IF(AND(BS$27&gt;ProposalToGnatt[[#This Row],[Start Date]],BS$27&lt;ProposalToGnatt[[#This Row],[Start Date]]+ProposalToGnatt[[#This Row],[Days]]),$G$5,"")),"")</f>
        <v/>
      </c>
      <c r="BT80" s="36" t="str">
        <f ca="1">IFERROR(+IF(BT$27=ProposalToGnatt[[#This Row],[Start Date]],Milestone_Marker,IF(AND(BT$27&gt;ProposalToGnatt[[#This Row],[Start Date]],BT$27&lt;ProposalToGnatt[[#This Row],[Start Date]]+ProposalToGnatt[[#This Row],[Days]]),$G$5,"")),"")</f>
        <v/>
      </c>
      <c r="BU80" s="36" t="str">
        <f ca="1">IFERROR(+IF(BU$27=ProposalToGnatt[[#This Row],[Start Date]],Milestone_Marker,IF(AND(BU$27&gt;ProposalToGnatt[[#This Row],[Start Date]],BU$27&lt;ProposalToGnatt[[#This Row],[Start Date]]+ProposalToGnatt[[#This Row],[Days]]),$G$5,"")),"")</f>
        <v/>
      </c>
      <c r="BV80" s="36" t="str">
        <f ca="1">IFERROR(+IF(BV$27=ProposalToGnatt[[#This Row],[Start Date]],Milestone_Marker,IF(AND(BV$27&gt;ProposalToGnatt[[#This Row],[Start Date]],BV$27&lt;ProposalToGnatt[[#This Row],[Start Date]]+ProposalToGnatt[[#This Row],[Days]]),$G$5,"")),"")</f>
        <v/>
      </c>
      <c r="BW80" s="36" t="str">
        <f ca="1">IFERROR(+IF(BW$27=ProposalToGnatt[[#This Row],[Start Date]],Milestone_Marker,IF(AND(BW$27&gt;ProposalToGnatt[[#This Row],[Start Date]],BW$27&lt;ProposalToGnatt[[#This Row],[Start Date]]+ProposalToGnatt[[#This Row],[Days]]),$G$5,"")),"")</f>
        <v/>
      </c>
      <c r="BX80" s="36" t="str">
        <f ca="1">IFERROR(+IF(BX$27=ProposalToGnatt[[#This Row],[Start Date]],Milestone_Marker,IF(AND(BX$27&gt;ProposalToGnatt[[#This Row],[Start Date]],BX$27&lt;ProposalToGnatt[[#This Row],[Start Date]]+ProposalToGnatt[[#This Row],[Days]]),$G$5,"")),"")</f>
        <v/>
      </c>
      <c r="BY80" s="36" t="str">
        <f ca="1">IFERROR(+IF(BY$27=ProposalToGnatt[[#This Row],[Start Date]],Milestone_Marker,IF(AND(BY$27&gt;ProposalToGnatt[[#This Row],[Start Date]],BY$27&lt;ProposalToGnatt[[#This Row],[Start Date]]+ProposalToGnatt[[#This Row],[Days]]),$G$5,"")),"")</f>
        <v/>
      </c>
      <c r="BZ80" s="36" t="str">
        <f ca="1">IFERROR(+IF(BZ$27=ProposalToGnatt[[#This Row],[Start Date]],Milestone_Marker,IF(AND(BZ$27&gt;ProposalToGnatt[[#This Row],[Start Date]],BZ$27&lt;ProposalToGnatt[[#This Row],[Start Date]]+ProposalToGnatt[[#This Row],[Days]]),$G$5,"")),"")</f>
        <v/>
      </c>
      <c r="CA80" s="36" t="str">
        <f ca="1">IFERROR(+IF(CA$27=ProposalToGnatt[[#This Row],[Start Date]],Milestone_Marker,IF(AND(CA$27&gt;ProposalToGnatt[[#This Row],[Start Date]],CA$27&lt;ProposalToGnatt[[#This Row],[Start Date]]+ProposalToGnatt[[#This Row],[Days]]),$G$5,"")),"")</f>
        <v/>
      </c>
      <c r="CB80" s="36" t="str">
        <f ca="1">IFERROR(+IF(CB$27=ProposalToGnatt[[#This Row],[Start Date]],Milestone_Marker,IF(AND(CB$27&gt;ProposalToGnatt[[#This Row],[Start Date]],CB$27&lt;ProposalToGnatt[[#This Row],[Start Date]]+ProposalToGnatt[[#This Row],[Days]]),$G$5,"")),"")</f>
        <v/>
      </c>
      <c r="CC80" s="36" t="str">
        <f ca="1">IFERROR(+IF(CC$27=ProposalToGnatt[[#This Row],[Start Date]],Milestone_Marker,IF(AND(CC$27&gt;ProposalToGnatt[[#This Row],[Start Date]],CC$27&lt;ProposalToGnatt[[#This Row],[Start Date]]+ProposalToGnatt[[#This Row],[Days]]),$G$5,"")),"")</f>
        <v/>
      </c>
      <c r="CD80" s="36" t="str">
        <f ca="1">IFERROR(+IF(CD$27=ProposalToGnatt[[#This Row],[Start Date]],Milestone_Marker,IF(AND(CD$27&gt;ProposalToGnatt[[#This Row],[Start Date]],CD$27&lt;ProposalToGnatt[[#This Row],[Start Date]]+ProposalToGnatt[[#This Row],[Days]]),$G$5,"")),"")</f>
        <v/>
      </c>
      <c r="CE80" s="36" t="str">
        <f ca="1">IFERROR(+IF(CE$27=ProposalToGnatt[[#This Row],[Start Date]],Milestone_Marker,IF(AND(CE$27&gt;ProposalToGnatt[[#This Row],[Start Date]],CE$27&lt;ProposalToGnatt[[#This Row],[Start Date]]+ProposalToGnatt[[#This Row],[Days]]),$G$5,"")),"")</f>
        <v/>
      </c>
      <c r="CF80" s="36" t="str">
        <f ca="1">IFERROR(+IF(CF$27=ProposalToGnatt[[#This Row],[Start Date]],Milestone_Marker,IF(AND(CF$27&gt;ProposalToGnatt[[#This Row],[Start Date]],CF$27&lt;ProposalToGnatt[[#This Row],[Start Date]]+ProposalToGnatt[[#This Row],[Days]]),$G$5,"")),"")</f>
        <v/>
      </c>
      <c r="CG80" s="36" t="str">
        <f ca="1">IFERROR(+IF(CG$27=ProposalToGnatt[[#This Row],[Start Date]],Milestone_Marker,IF(AND(CG$27&gt;ProposalToGnatt[[#This Row],[Start Date]],CG$27&lt;ProposalToGnatt[[#This Row],[Start Date]]+ProposalToGnatt[[#This Row],[Days]]),$G$5,"")),"")</f>
        <v/>
      </c>
      <c r="CH80" s="36" t="str">
        <f ca="1">IFERROR(+IF(CH$27=ProposalToGnatt[[#This Row],[Start Date]],Milestone_Marker,IF(AND(CH$27&gt;ProposalToGnatt[[#This Row],[Start Date]],CH$27&lt;ProposalToGnatt[[#This Row],[Start Date]]+ProposalToGnatt[[#This Row],[Days]]),$G$5,"")),"")</f>
        <v/>
      </c>
      <c r="CI80" s="36" t="str">
        <f ca="1">IFERROR(+IF(CI$27=ProposalToGnatt[[#This Row],[Start Date]],Milestone_Marker,IF(AND(CI$27&gt;ProposalToGnatt[[#This Row],[Start Date]],CI$27&lt;ProposalToGnatt[[#This Row],[Start Date]]+ProposalToGnatt[[#This Row],[Days]]),$G$5,"")),"")</f>
        <v/>
      </c>
      <c r="CJ80" s="36" t="str">
        <f ca="1">IFERROR(+IF(CJ$27=ProposalToGnatt[[#This Row],[Start Date]],Milestone_Marker,IF(AND(CJ$27&gt;ProposalToGnatt[[#This Row],[Start Date]],CJ$27&lt;ProposalToGnatt[[#This Row],[Start Date]]+ProposalToGnatt[[#This Row],[Days]]),$G$5,"")),"")</f>
        <v/>
      </c>
      <c r="CK80" s="36" t="str">
        <f ca="1">IFERROR(+IF(CK$27=ProposalToGnatt[[#This Row],[Start Date]],Milestone_Marker,IF(AND(CK$27&gt;ProposalToGnatt[[#This Row],[Start Date]],CK$27&lt;ProposalToGnatt[[#This Row],[Start Date]]+ProposalToGnatt[[#This Row],[Days]]),$G$5,"")),"")</f>
        <v/>
      </c>
      <c r="CL80" s="36" t="str">
        <f ca="1">IFERROR(+IF(CL$27=ProposalToGnatt[[#This Row],[Start Date]],Milestone_Marker,IF(AND(CL$27&gt;ProposalToGnatt[[#This Row],[Start Date]],CL$27&lt;ProposalToGnatt[[#This Row],[Start Date]]+ProposalToGnatt[[#This Row],[Days]]),$G$5,"")),"")</f>
        <v/>
      </c>
      <c r="CM80" s="36" t="str">
        <f ca="1">IFERROR(+IF(CM$27=ProposalToGnatt[[#This Row],[Start Date]],Milestone_Marker,IF(AND(CM$27&gt;ProposalToGnatt[[#This Row],[Start Date]],CM$27&lt;ProposalToGnatt[[#This Row],[Start Date]]+ProposalToGnatt[[#This Row],[Days]]),$G$5,"")),"")</f>
        <v/>
      </c>
      <c r="CN80" s="36" t="str">
        <f ca="1">IFERROR(+IF(CN$27=ProposalToGnatt[[#This Row],[Start Date]],Milestone_Marker,IF(AND(CN$27&gt;ProposalToGnatt[[#This Row],[Start Date]],CN$27&lt;ProposalToGnatt[[#This Row],[Start Date]]+ProposalToGnatt[[#This Row],[Days]]),$G$5,"")),"")</f>
        <v/>
      </c>
      <c r="CO80" s="36" t="str">
        <f ca="1">IFERROR(+IF(CO$27=ProposalToGnatt[[#This Row],[Start Date]],Milestone_Marker,IF(AND(CO$27&gt;ProposalToGnatt[[#This Row],[Start Date]],CO$27&lt;ProposalToGnatt[[#This Row],[Start Date]]+ProposalToGnatt[[#This Row],[Days]]),$G$5,"")),"")</f>
        <v/>
      </c>
      <c r="CP80" s="36" t="str">
        <f ca="1">IFERROR(+IF(CP$27=ProposalToGnatt[[#This Row],[Start Date]],Milestone_Marker,IF(AND(CP$27&gt;ProposalToGnatt[[#This Row],[Start Date]],CP$27&lt;ProposalToGnatt[[#This Row],[Start Date]]+ProposalToGnatt[[#This Row],[Days]]),$G$5,"")),"")</f>
        <v/>
      </c>
      <c r="CQ80" s="36" t="str">
        <f ca="1">IFERROR(+IF(CQ$27=ProposalToGnatt[[#This Row],[Start Date]],Milestone_Marker,IF(AND(CQ$27&gt;ProposalToGnatt[[#This Row],[Start Date]],CQ$27&lt;ProposalToGnatt[[#This Row],[Start Date]]+ProposalToGnatt[[#This Row],[Days]]),$G$5,"")),"")</f>
        <v/>
      </c>
      <c r="CR80" s="36" t="str">
        <f ca="1">IFERROR(+IF(CR$27=ProposalToGnatt[[#This Row],[Start Date]],Milestone_Marker,IF(AND(CR$27&gt;ProposalToGnatt[[#This Row],[Start Date]],CR$27&lt;ProposalToGnatt[[#This Row],[Start Date]]+ProposalToGnatt[[#This Row],[Days]]),$G$5,"")),"")</f>
        <v/>
      </c>
      <c r="CS80" s="36" t="str">
        <f ca="1">IFERROR(+IF(CS$27=ProposalToGnatt[[#This Row],[Start Date]],Milestone_Marker,IF(AND(CS$27&gt;ProposalToGnatt[[#This Row],[Start Date]],CS$27&lt;ProposalToGnatt[[#This Row],[Start Date]]+ProposalToGnatt[[#This Row],[Days]]),$G$5,"")),"")</f>
        <v/>
      </c>
      <c r="CT80" s="36" t="str">
        <f ca="1">IFERROR(+IF(CT$27=ProposalToGnatt[[#This Row],[Start Date]],Milestone_Marker,IF(AND(CT$27&gt;ProposalToGnatt[[#This Row],[Start Date]],CT$27&lt;ProposalToGnatt[[#This Row],[Start Date]]+ProposalToGnatt[[#This Row],[Days]]),$G$5,"")),"")</f>
        <v/>
      </c>
      <c r="CU80" s="36" t="str">
        <f ca="1">IFERROR(+IF(CU$27=ProposalToGnatt[[#This Row],[Start Date]],Milestone_Marker,IF(AND(CU$27&gt;ProposalToGnatt[[#This Row],[Start Date]],CU$27&lt;ProposalToGnatt[[#This Row],[Start Date]]+ProposalToGnatt[[#This Row],[Days]]),$G$5,"")),"")</f>
        <v/>
      </c>
      <c r="CV80" s="36" t="str">
        <f ca="1">IFERROR(+IF(CT$27=#REF!,Milestone_Marker,IF(AND(CT$27&gt;#REF!,CT$27&lt;=#REF!+#REF!),$G$5,"")),"")</f>
        <v/>
      </c>
      <c r="CW80" s="36" t="str">
        <f ca="1">IFERROR(+IF(CU$27=#REF!,Milestone_Marker,IF(AND(CU$27&gt;#REF!,CU$27&lt;=#REF!+#REF!),$G$5,"")),"")</f>
        <v/>
      </c>
      <c r="CX80" s="36"/>
      <c r="CY80" s="36"/>
      <c r="CZ80" s="36"/>
      <c r="DA80" s="36"/>
      <c r="DB80" s="36"/>
      <c r="DC80" s="36"/>
      <c r="DD80" s="36"/>
      <c r="DE80" s="36"/>
      <c r="DF80" s="36"/>
      <c r="DG80" s="36"/>
      <c r="DH80" s="36"/>
      <c r="DI80" s="36"/>
      <c r="DJ80" s="36"/>
      <c r="DK80" s="36"/>
      <c r="DL80" s="36"/>
      <c r="DM80" s="36"/>
      <c r="DN80" s="36"/>
      <c r="DO80" s="36"/>
      <c r="DP80" s="36"/>
      <c r="DQ80" s="36"/>
      <c r="DR80" s="36"/>
      <c r="DS80" s="36"/>
      <c r="DT80" s="36"/>
      <c r="DU80" s="36"/>
    </row>
    <row r="81" spans="1:125" ht="15" x14ac:dyDescent="0.25">
      <c r="A81"/>
      <c r="B81"/>
      <c r="C81"/>
      <c r="D81"/>
      <c r="E81"/>
      <c r="F81"/>
      <c r="G81" s="14"/>
      <c r="H81" s="14"/>
      <c r="I81"/>
      <c r="J81"/>
      <c r="K81" s="246"/>
      <c r="L81"/>
      <c r="M81" s="14"/>
      <c r="N81" s="299"/>
      <c r="O81" s="281"/>
      <c r="P81" s="36" t="str">
        <f ca="1">IFERROR(+IF(P$27=ProposalToGnatt[[#This Row],[Start Date]],Milestone_Marker,IF(AND(P$27&gt;ProposalToGnatt[[#This Row],[Start Date]],P$27&lt;ProposalToGnatt[[#This Row],[Start Date]]+ProposalToGnatt[[#This Row],[Days]]),$G$5,"")),"")</f>
        <v/>
      </c>
      <c r="Q81" s="36" t="str">
        <f ca="1">IFERROR(+IF(Q$27=ProposalToGnatt[[#This Row],[Start Date]],Milestone_Marker,IF(AND(Q$27&gt;ProposalToGnatt[[#This Row],[Start Date]],Q$27&lt;ProposalToGnatt[[#This Row],[Start Date]]+ProposalToGnatt[[#This Row],[Days]]),$G$5,"")),"")</f>
        <v/>
      </c>
      <c r="R81" s="36" t="str">
        <f ca="1">IFERROR(+IF(R$27=ProposalToGnatt[[#This Row],[Start Date]],Milestone_Marker,IF(AND(R$27&gt;ProposalToGnatt[[#This Row],[Start Date]],R$27&lt;ProposalToGnatt[[#This Row],[Start Date]]+ProposalToGnatt[[#This Row],[Days]]),$G$5,"")),"")</f>
        <v/>
      </c>
      <c r="S81" s="36" t="str">
        <f ca="1">IFERROR(+IF(S$27=ProposalToGnatt[[#This Row],[Start Date]],Milestone_Marker,IF(AND(S$27&gt;ProposalToGnatt[[#This Row],[Start Date]],S$27&lt;ProposalToGnatt[[#This Row],[Start Date]]+ProposalToGnatt[[#This Row],[Days]]),$G$5,"")),"")</f>
        <v/>
      </c>
      <c r="T81" s="36" t="str">
        <f ca="1">IFERROR(+IF(T$27=ProposalToGnatt[[#This Row],[Start Date]],Milestone_Marker,IF(AND(T$27&gt;ProposalToGnatt[[#This Row],[Start Date]],T$27&lt;ProposalToGnatt[[#This Row],[Start Date]]+ProposalToGnatt[[#This Row],[Days]]),$G$5,"")),"")</f>
        <v/>
      </c>
      <c r="U81" s="36" t="str">
        <f ca="1">IFERROR(+IF(U$27=ProposalToGnatt[[#This Row],[Start Date]],Milestone_Marker,IF(AND(U$27&gt;ProposalToGnatt[[#This Row],[Start Date]],U$27&lt;ProposalToGnatt[[#This Row],[Start Date]]+ProposalToGnatt[[#This Row],[Days]]),$G$5,"")),"")</f>
        <v/>
      </c>
      <c r="V81" s="36" t="str">
        <f ca="1">IFERROR(+IF(V$27=ProposalToGnatt[[#This Row],[Start Date]],Milestone_Marker,IF(AND(V$27&gt;ProposalToGnatt[[#This Row],[Start Date]],V$27&lt;ProposalToGnatt[[#This Row],[Start Date]]+ProposalToGnatt[[#This Row],[Days]]),$G$5,"")),"")</f>
        <v/>
      </c>
      <c r="W81" s="36" t="str">
        <f ca="1">IFERROR(+IF(W$27=ProposalToGnatt[[#This Row],[Start Date]],Milestone_Marker,IF(AND(W$27&gt;ProposalToGnatt[[#This Row],[Start Date]],W$27&lt;ProposalToGnatt[[#This Row],[Start Date]]+ProposalToGnatt[[#This Row],[Days]]),$G$5,"")),"")</f>
        <v/>
      </c>
      <c r="X81" s="36" t="str">
        <f ca="1">IFERROR(+IF(X$27=ProposalToGnatt[[#This Row],[Start Date]],Milestone_Marker,IF(AND(X$27&gt;ProposalToGnatt[[#This Row],[Start Date]],X$27&lt;ProposalToGnatt[[#This Row],[Start Date]]+ProposalToGnatt[[#This Row],[Days]]),$G$5,"")),"")</f>
        <v/>
      </c>
      <c r="Y81" s="36" t="str">
        <f ca="1">IFERROR(+IF(Y$27=ProposalToGnatt[[#This Row],[Start Date]],Milestone_Marker,IF(AND(Y$27&gt;ProposalToGnatt[[#This Row],[Start Date]],Y$27&lt;ProposalToGnatt[[#This Row],[Start Date]]+ProposalToGnatt[[#This Row],[Days]]),$G$5,"")),"")</f>
        <v/>
      </c>
      <c r="Z81" s="36" t="str">
        <f ca="1">IFERROR(+IF(Z$27=ProposalToGnatt[[#This Row],[Start Date]],Milestone_Marker,IF(AND(Z$27&gt;ProposalToGnatt[[#This Row],[Start Date]],Z$27&lt;ProposalToGnatt[[#This Row],[Start Date]]+ProposalToGnatt[[#This Row],[Days]]),$G$5,"")),"")</f>
        <v/>
      </c>
      <c r="AA81" s="36" t="str">
        <f ca="1">IFERROR(+IF(AA$27=ProposalToGnatt[[#This Row],[Start Date]],Milestone_Marker,IF(AND(AA$27&gt;ProposalToGnatt[[#This Row],[Start Date]],AA$27&lt;ProposalToGnatt[[#This Row],[Start Date]]+ProposalToGnatt[[#This Row],[Days]]),$G$5,"")),"")</f>
        <v/>
      </c>
      <c r="AB81" s="36" t="str">
        <f ca="1">IFERROR(+IF(AB$27=ProposalToGnatt[[#This Row],[Start Date]],Milestone_Marker,IF(AND(AB$27&gt;ProposalToGnatt[[#This Row],[Start Date]],AB$27&lt;ProposalToGnatt[[#This Row],[Start Date]]+ProposalToGnatt[[#This Row],[Days]]),$G$5,"")),"")</f>
        <v/>
      </c>
      <c r="AC81" s="36" t="str">
        <f ca="1">IFERROR(+IF(AC$27=ProposalToGnatt[[#This Row],[Start Date]],Milestone_Marker,IF(AND(AC$27&gt;ProposalToGnatt[[#This Row],[Start Date]],AC$27&lt;ProposalToGnatt[[#This Row],[Start Date]]+ProposalToGnatt[[#This Row],[Days]]),$G$5,"")),"")</f>
        <v/>
      </c>
      <c r="AD81" s="36" t="str">
        <f ca="1">IFERROR(+IF(AD$27=ProposalToGnatt[[#This Row],[Start Date]],Milestone_Marker,IF(AND(AD$27&gt;ProposalToGnatt[[#This Row],[Start Date]],AD$27&lt;ProposalToGnatt[[#This Row],[Start Date]]+ProposalToGnatt[[#This Row],[Days]]),$G$5,"")),"")</f>
        <v/>
      </c>
      <c r="AE81" s="36" t="str">
        <f ca="1">IFERROR(+IF(AE$27=ProposalToGnatt[[#This Row],[Start Date]],Milestone_Marker,IF(AND(AE$27&gt;ProposalToGnatt[[#This Row],[Start Date]],AE$27&lt;ProposalToGnatt[[#This Row],[Start Date]]+ProposalToGnatt[[#This Row],[Days]]),$G$5,"")),"")</f>
        <v/>
      </c>
      <c r="AF81" s="36" t="str">
        <f ca="1">IFERROR(+IF(AF$27=ProposalToGnatt[[#This Row],[Start Date]],Milestone_Marker,IF(AND(AF$27&gt;ProposalToGnatt[[#This Row],[Start Date]],AF$27&lt;ProposalToGnatt[[#This Row],[Start Date]]+ProposalToGnatt[[#This Row],[Days]]),$G$5,"")),"")</f>
        <v/>
      </c>
      <c r="AG81" s="36" t="str">
        <f ca="1">IFERROR(+IF(AG$27=ProposalToGnatt[[#This Row],[Start Date]],Milestone_Marker,IF(AND(AG$27&gt;ProposalToGnatt[[#This Row],[Start Date]],AG$27&lt;ProposalToGnatt[[#This Row],[Start Date]]+ProposalToGnatt[[#This Row],[Days]]),$G$5,"")),"")</f>
        <v/>
      </c>
      <c r="AH81" s="36" t="str">
        <f ca="1">IFERROR(+IF(AH$27=ProposalToGnatt[[#This Row],[Start Date]],Milestone_Marker,IF(AND(AH$27&gt;ProposalToGnatt[[#This Row],[Start Date]],AH$27&lt;ProposalToGnatt[[#This Row],[Start Date]]+ProposalToGnatt[[#This Row],[Days]]),$G$5,"")),"")</f>
        <v/>
      </c>
      <c r="AI81" s="36" t="str">
        <f ca="1">IFERROR(+IF(AI$27=ProposalToGnatt[[#This Row],[Start Date]],Milestone_Marker,IF(AND(AI$27&gt;ProposalToGnatt[[#This Row],[Start Date]],AI$27&lt;ProposalToGnatt[[#This Row],[Start Date]]+ProposalToGnatt[[#This Row],[Days]]),$G$5,"")),"")</f>
        <v/>
      </c>
      <c r="AJ81" s="36" t="str">
        <f ca="1">IFERROR(+IF(AJ$27=ProposalToGnatt[[#This Row],[Start Date]],Milestone_Marker,IF(AND(AJ$27&gt;ProposalToGnatt[[#This Row],[Start Date]],AJ$27&lt;ProposalToGnatt[[#This Row],[Start Date]]+ProposalToGnatt[[#This Row],[Days]]),$G$5,"")),"")</f>
        <v/>
      </c>
      <c r="AK81" s="36" t="str">
        <f ca="1">IFERROR(+IF(AK$27=ProposalToGnatt[[#This Row],[Start Date]],Milestone_Marker,IF(AND(AK$27&gt;ProposalToGnatt[[#This Row],[Start Date]],AK$27&lt;ProposalToGnatt[[#This Row],[Start Date]]+ProposalToGnatt[[#This Row],[Days]]),$G$5,"")),"")</f>
        <v/>
      </c>
      <c r="AL81" s="36" t="str">
        <f ca="1">IFERROR(+IF(AL$27=ProposalToGnatt[[#This Row],[Start Date]],Milestone_Marker,IF(AND(AL$27&gt;ProposalToGnatt[[#This Row],[Start Date]],AL$27&lt;ProposalToGnatt[[#This Row],[Start Date]]+ProposalToGnatt[[#This Row],[Days]]),$G$5,"")),"")</f>
        <v/>
      </c>
      <c r="AM81" s="36" t="str">
        <f ca="1">IFERROR(+IF(AM$27=ProposalToGnatt[[#This Row],[Start Date]],Milestone_Marker,IF(AND(AM$27&gt;ProposalToGnatt[[#This Row],[Start Date]],AM$27&lt;ProposalToGnatt[[#This Row],[Start Date]]+ProposalToGnatt[[#This Row],[Days]]),$G$5,"")),"")</f>
        <v/>
      </c>
      <c r="AN81" s="36" t="str">
        <f ca="1">IFERROR(+IF(AN$27=ProposalToGnatt[[#This Row],[Start Date]],Milestone_Marker,IF(AND(AN$27&gt;ProposalToGnatt[[#This Row],[Start Date]],AN$27&lt;ProposalToGnatt[[#This Row],[Start Date]]+ProposalToGnatt[[#This Row],[Days]]),$G$5,"")),"")</f>
        <v/>
      </c>
      <c r="AO81" s="36" t="str">
        <f ca="1">IFERROR(+IF(AO$27=ProposalToGnatt[[#This Row],[Start Date]],Milestone_Marker,IF(AND(AO$27&gt;ProposalToGnatt[[#This Row],[Start Date]],AO$27&lt;ProposalToGnatt[[#This Row],[Start Date]]+ProposalToGnatt[[#This Row],[Days]]),$G$5,"")),"")</f>
        <v/>
      </c>
      <c r="AP81" s="36" t="str">
        <f ca="1">IFERROR(+IF(AP$27=ProposalToGnatt[[#This Row],[Start Date]],Milestone_Marker,IF(AND(AP$27&gt;ProposalToGnatt[[#This Row],[Start Date]],AP$27&lt;ProposalToGnatt[[#This Row],[Start Date]]+ProposalToGnatt[[#This Row],[Days]]),$G$5,"")),"")</f>
        <v/>
      </c>
      <c r="AQ81" s="36" t="str">
        <f ca="1">IFERROR(+IF(AQ$27=ProposalToGnatt[[#This Row],[Start Date]],Milestone_Marker,IF(AND(AQ$27&gt;ProposalToGnatt[[#This Row],[Start Date]],AQ$27&lt;ProposalToGnatt[[#This Row],[Start Date]]+ProposalToGnatt[[#This Row],[Days]]),$G$5,"")),"")</f>
        <v/>
      </c>
      <c r="AR81" s="36" t="str">
        <f ca="1">IFERROR(+IF(AR$27=ProposalToGnatt[[#This Row],[Start Date]],Milestone_Marker,IF(AND(AR$27&gt;ProposalToGnatt[[#This Row],[Start Date]],AR$27&lt;ProposalToGnatt[[#This Row],[Start Date]]+ProposalToGnatt[[#This Row],[Days]]),$G$5,"")),"")</f>
        <v/>
      </c>
      <c r="AS81" s="36" t="str">
        <f ca="1">IFERROR(+IF(AS$27=ProposalToGnatt[[#This Row],[Start Date]],Milestone_Marker,IF(AND(AS$27&gt;ProposalToGnatt[[#This Row],[Start Date]],AS$27&lt;ProposalToGnatt[[#This Row],[Start Date]]+ProposalToGnatt[[#This Row],[Days]]),$G$5,"")),"")</f>
        <v/>
      </c>
      <c r="AT81" s="36" t="str">
        <f ca="1">IFERROR(+IF(AT$27=ProposalToGnatt[[#This Row],[Start Date]],Milestone_Marker,IF(AND(AT$27&gt;ProposalToGnatt[[#This Row],[Start Date]],AT$27&lt;ProposalToGnatt[[#This Row],[Start Date]]+ProposalToGnatt[[#This Row],[Days]]),$G$5,"")),"")</f>
        <v/>
      </c>
      <c r="AU81" s="36" t="str">
        <f ca="1">IFERROR(+IF(AU$27=ProposalToGnatt[[#This Row],[Start Date]],Milestone_Marker,IF(AND(AU$27&gt;ProposalToGnatt[[#This Row],[Start Date]],AU$27&lt;ProposalToGnatt[[#This Row],[Start Date]]+ProposalToGnatt[[#This Row],[Days]]),$G$5,"")),"")</f>
        <v/>
      </c>
      <c r="AV81" s="36" t="str">
        <f ca="1">IFERROR(+IF(AV$27=ProposalToGnatt[[#This Row],[Start Date]],Milestone_Marker,IF(AND(AV$27&gt;ProposalToGnatt[[#This Row],[Start Date]],AV$27&lt;ProposalToGnatt[[#This Row],[Start Date]]+ProposalToGnatt[[#This Row],[Days]]),$G$5,"")),"")</f>
        <v/>
      </c>
      <c r="AW81" s="36" t="str">
        <f ca="1">IFERROR(+IF(AW$27=ProposalToGnatt[[#This Row],[Start Date]],Milestone_Marker,IF(AND(AW$27&gt;ProposalToGnatt[[#This Row],[Start Date]],AW$27&lt;ProposalToGnatt[[#This Row],[Start Date]]+ProposalToGnatt[[#This Row],[Days]]),$G$5,"")),"")</f>
        <v/>
      </c>
      <c r="AX81" s="36" t="str">
        <f ca="1">IFERROR(+IF(AX$27=ProposalToGnatt[[#This Row],[Start Date]],Milestone_Marker,IF(AND(AX$27&gt;ProposalToGnatt[[#This Row],[Start Date]],AX$27&lt;ProposalToGnatt[[#This Row],[Start Date]]+ProposalToGnatt[[#This Row],[Days]]),$G$5,"")),"")</f>
        <v/>
      </c>
      <c r="AY81" s="36" t="str">
        <f ca="1">IFERROR(+IF(AY$27=ProposalToGnatt[[#This Row],[Start Date]],Milestone_Marker,IF(AND(AY$27&gt;ProposalToGnatt[[#This Row],[Start Date]],AY$27&lt;ProposalToGnatt[[#This Row],[Start Date]]+ProposalToGnatt[[#This Row],[Days]]),$G$5,"")),"")</f>
        <v/>
      </c>
      <c r="AZ81" s="36" t="str">
        <f ca="1">IFERROR(+IF(AZ$27=ProposalToGnatt[[#This Row],[Start Date]],Milestone_Marker,IF(AND(AZ$27&gt;ProposalToGnatt[[#This Row],[Start Date]],AZ$27&lt;ProposalToGnatt[[#This Row],[Start Date]]+ProposalToGnatt[[#This Row],[Days]]),$G$5,"")),"")</f>
        <v/>
      </c>
      <c r="BA81" s="36" t="str">
        <f ca="1">IFERROR(+IF(BA$27=ProposalToGnatt[[#This Row],[Start Date]],Milestone_Marker,IF(AND(BA$27&gt;ProposalToGnatt[[#This Row],[Start Date]],BA$27&lt;ProposalToGnatt[[#This Row],[Start Date]]+ProposalToGnatt[[#This Row],[Days]]),$G$5,"")),"")</f>
        <v/>
      </c>
      <c r="BB81" s="36" t="str">
        <f ca="1">IFERROR(+IF(BB$27=ProposalToGnatt[[#This Row],[Start Date]],Milestone_Marker,IF(AND(BB$27&gt;ProposalToGnatt[[#This Row],[Start Date]],BB$27&lt;ProposalToGnatt[[#This Row],[Start Date]]+ProposalToGnatt[[#This Row],[Days]]),$G$5,"")),"")</f>
        <v/>
      </c>
      <c r="BC81" s="36" t="str">
        <f ca="1">IFERROR(+IF(BC$27=ProposalToGnatt[[#This Row],[Start Date]],Milestone_Marker,IF(AND(BC$27&gt;ProposalToGnatt[[#This Row],[Start Date]],BC$27&lt;ProposalToGnatt[[#This Row],[Start Date]]+ProposalToGnatt[[#This Row],[Days]]),$G$5,"")),"")</f>
        <v/>
      </c>
      <c r="BD81" s="36" t="str">
        <f ca="1">IFERROR(+IF(BD$27=ProposalToGnatt[[#This Row],[Start Date]],Milestone_Marker,IF(AND(BD$27&gt;ProposalToGnatt[[#This Row],[Start Date]],BD$27&lt;ProposalToGnatt[[#This Row],[Start Date]]+ProposalToGnatt[[#This Row],[Days]]),$G$5,"")),"")</f>
        <v/>
      </c>
      <c r="BE81" s="36" t="str">
        <f ca="1">IFERROR(+IF(BE$27=ProposalToGnatt[[#This Row],[Start Date]],Milestone_Marker,IF(AND(BE$27&gt;ProposalToGnatt[[#This Row],[Start Date]],BE$27&lt;ProposalToGnatt[[#This Row],[Start Date]]+ProposalToGnatt[[#This Row],[Days]]),$G$5,"")),"")</f>
        <v/>
      </c>
      <c r="BF81" s="36" t="str">
        <f ca="1">IFERROR(+IF(BF$27=ProposalToGnatt[[#This Row],[Start Date]],Milestone_Marker,IF(AND(BF$27&gt;ProposalToGnatt[[#This Row],[Start Date]],BF$27&lt;ProposalToGnatt[[#This Row],[Start Date]]+ProposalToGnatt[[#This Row],[Days]]),$G$5,"")),"")</f>
        <v/>
      </c>
      <c r="BG81" s="36" t="str">
        <f ca="1">IFERROR(+IF(BG$27=ProposalToGnatt[[#This Row],[Start Date]],Milestone_Marker,IF(AND(BG$27&gt;ProposalToGnatt[[#This Row],[Start Date]],BG$27&lt;ProposalToGnatt[[#This Row],[Start Date]]+ProposalToGnatt[[#This Row],[Days]]),$G$5,"")),"")</f>
        <v/>
      </c>
      <c r="BH81" s="36" t="str">
        <f ca="1">IFERROR(+IF(BH$27=ProposalToGnatt[[#This Row],[Start Date]],Milestone_Marker,IF(AND(BH$27&gt;ProposalToGnatt[[#This Row],[Start Date]],BH$27&lt;ProposalToGnatt[[#This Row],[Start Date]]+ProposalToGnatt[[#This Row],[Days]]),$G$5,"")),"")</f>
        <v/>
      </c>
      <c r="BI81" s="36" t="str">
        <f ca="1">IFERROR(+IF(BI$27=ProposalToGnatt[[#This Row],[Start Date]],Milestone_Marker,IF(AND(BI$27&gt;ProposalToGnatt[[#This Row],[Start Date]],BI$27&lt;ProposalToGnatt[[#This Row],[Start Date]]+ProposalToGnatt[[#This Row],[Days]]),$G$5,"")),"")</f>
        <v/>
      </c>
      <c r="BJ81" s="36" t="str">
        <f ca="1">IFERROR(+IF(BJ$27=ProposalToGnatt[[#This Row],[Start Date]],Milestone_Marker,IF(AND(BJ$27&gt;ProposalToGnatt[[#This Row],[Start Date]],BJ$27&lt;ProposalToGnatt[[#This Row],[Start Date]]+ProposalToGnatt[[#This Row],[Days]]),$G$5,"")),"")</f>
        <v/>
      </c>
      <c r="BK81" s="36" t="str">
        <f ca="1">IFERROR(+IF(BK$27=ProposalToGnatt[[#This Row],[Start Date]],Milestone_Marker,IF(AND(BK$27&gt;ProposalToGnatt[[#This Row],[Start Date]],BK$27&lt;ProposalToGnatt[[#This Row],[Start Date]]+ProposalToGnatt[[#This Row],[Days]]),$G$5,"")),"")</f>
        <v/>
      </c>
      <c r="BL81" s="36" t="str">
        <f ca="1">IFERROR(+IF(BL$27=ProposalToGnatt[[#This Row],[Start Date]],Milestone_Marker,IF(AND(BL$27&gt;ProposalToGnatt[[#This Row],[Start Date]],BL$27&lt;ProposalToGnatt[[#This Row],[Start Date]]+ProposalToGnatt[[#This Row],[Days]]),$G$5,"")),"")</f>
        <v/>
      </c>
      <c r="BM81" s="36" t="str">
        <f ca="1">IFERROR(+IF(BM$27=ProposalToGnatt[[#This Row],[Start Date]],Milestone_Marker,IF(AND(BM$27&gt;ProposalToGnatt[[#This Row],[Start Date]],BM$27&lt;ProposalToGnatt[[#This Row],[Start Date]]+ProposalToGnatt[[#This Row],[Days]]),$G$5,"")),"")</f>
        <v/>
      </c>
      <c r="BN81" s="36" t="str">
        <f ca="1">IFERROR(+IF(BN$27=ProposalToGnatt[[#This Row],[Start Date]],Milestone_Marker,IF(AND(BN$27&gt;ProposalToGnatt[[#This Row],[Start Date]],BN$27&lt;ProposalToGnatt[[#This Row],[Start Date]]+ProposalToGnatt[[#This Row],[Days]]),$G$5,"")),"")</f>
        <v/>
      </c>
      <c r="BO81" s="36" t="str">
        <f ca="1">IFERROR(+IF(BO$27=ProposalToGnatt[[#This Row],[Start Date]],Milestone_Marker,IF(AND(BO$27&gt;ProposalToGnatt[[#This Row],[Start Date]],BO$27&lt;ProposalToGnatt[[#This Row],[Start Date]]+ProposalToGnatt[[#This Row],[Days]]),$G$5,"")),"")</f>
        <v/>
      </c>
      <c r="BP81" s="36" t="str">
        <f ca="1">IFERROR(+IF(BP$27=ProposalToGnatt[[#This Row],[Start Date]],Milestone_Marker,IF(AND(BP$27&gt;ProposalToGnatt[[#This Row],[Start Date]],BP$27&lt;ProposalToGnatt[[#This Row],[Start Date]]+ProposalToGnatt[[#This Row],[Days]]),$G$5,"")),"")</f>
        <v/>
      </c>
      <c r="BQ81" s="36" t="str">
        <f ca="1">IFERROR(+IF(BQ$27=ProposalToGnatt[[#This Row],[Start Date]],Milestone_Marker,IF(AND(BQ$27&gt;ProposalToGnatt[[#This Row],[Start Date]],BQ$27&lt;ProposalToGnatt[[#This Row],[Start Date]]+ProposalToGnatt[[#This Row],[Days]]),$G$5,"")),"")</f>
        <v/>
      </c>
      <c r="BR81" s="36" t="str">
        <f ca="1">IFERROR(+IF(BR$27=ProposalToGnatt[[#This Row],[Start Date]],Milestone_Marker,IF(AND(BR$27&gt;ProposalToGnatt[[#This Row],[Start Date]],BR$27&lt;ProposalToGnatt[[#This Row],[Start Date]]+ProposalToGnatt[[#This Row],[Days]]),$G$5,"")),"")</f>
        <v/>
      </c>
      <c r="BS81" s="36" t="str">
        <f ca="1">IFERROR(+IF(BS$27=ProposalToGnatt[[#This Row],[Start Date]],Milestone_Marker,IF(AND(BS$27&gt;ProposalToGnatt[[#This Row],[Start Date]],BS$27&lt;ProposalToGnatt[[#This Row],[Start Date]]+ProposalToGnatt[[#This Row],[Days]]),$G$5,"")),"")</f>
        <v/>
      </c>
      <c r="BT81" s="36" t="str">
        <f ca="1">IFERROR(+IF(BT$27=ProposalToGnatt[[#This Row],[Start Date]],Milestone_Marker,IF(AND(BT$27&gt;ProposalToGnatt[[#This Row],[Start Date]],BT$27&lt;ProposalToGnatt[[#This Row],[Start Date]]+ProposalToGnatt[[#This Row],[Days]]),$G$5,"")),"")</f>
        <v/>
      </c>
      <c r="BU81" s="36" t="str">
        <f ca="1">IFERROR(+IF(BU$27=ProposalToGnatt[[#This Row],[Start Date]],Milestone_Marker,IF(AND(BU$27&gt;ProposalToGnatt[[#This Row],[Start Date]],BU$27&lt;ProposalToGnatt[[#This Row],[Start Date]]+ProposalToGnatt[[#This Row],[Days]]),$G$5,"")),"")</f>
        <v/>
      </c>
      <c r="BV81" s="36" t="str">
        <f ca="1">IFERROR(+IF(BV$27=ProposalToGnatt[[#This Row],[Start Date]],Milestone_Marker,IF(AND(BV$27&gt;ProposalToGnatt[[#This Row],[Start Date]],BV$27&lt;ProposalToGnatt[[#This Row],[Start Date]]+ProposalToGnatt[[#This Row],[Days]]),$G$5,"")),"")</f>
        <v/>
      </c>
      <c r="BW81" s="36" t="str">
        <f ca="1">IFERROR(+IF(BW$27=ProposalToGnatt[[#This Row],[Start Date]],Milestone_Marker,IF(AND(BW$27&gt;ProposalToGnatt[[#This Row],[Start Date]],BW$27&lt;ProposalToGnatt[[#This Row],[Start Date]]+ProposalToGnatt[[#This Row],[Days]]),$G$5,"")),"")</f>
        <v/>
      </c>
      <c r="BX81" s="36" t="str">
        <f ca="1">IFERROR(+IF(BX$27=ProposalToGnatt[[#This Row],[Start Date]],Milestone_Marker,IF(AND(BX$27&gt;ProposalToGnatt[[#This Row],[Start Date]],BX$27&lt;ProposalToGnatt[[#This Row],[Start Date]]+ProposalToGnatt[[#This Row],[Days]]),$G$5,"")),"")</f>
        <v/>
      </c>
      <c r="BY81" s="36" t="str">
        <f ca="1">IFERROR(+IF(BY$27=ProposalToGnatt[[#This Row],[Start Date]],Milestone_Marker,IF(AND(BY$27&gt;ProposalToGnatt[[#This Row],[Start Date]],BY$27&lt;ProposalToGnatt[[#This Row],[Start Date]]+ProposalToGnatt[[#This Row],[Days]]),$G$5,"")),"")</f>
        <v/>
      </c>
      <c r="BZ81" s="36" t="str">
        <f ca="1">IFERROR(+IF(BZ$27=ProposalToGnatt[[#This Row],[Start Date]],Milestone_Marker,IF(AND(BZ$27&gt;ProposalToGnatt[[#This Row],[Start Date]],BZ$27&lt;ProposalToGnatt[[#This Row],[Start Date]]+ProposalToGnatt[[#This Row],[Days]]),$G$5,"")),"")</f>
        <v/>
      </c>
      <c r="CA81" s="36" t="str">
        <f ca="1">IFERROR(+IF(CA$27=ProposalToGnatt[[#This Row],[Start Date]],Milestone_Marker,IF(AND(CA$27&gt;ProposalToGnatt[[#This Row],[Start Date]],CA$27&lt;ProposalToGnatt[[#This Row],[Start Date]]+ProposalToGnatt[[#This Row],[Days]]),$G$5,"")),"")</f>
        <v/>
      </c>
      <c r="CB81" s="36" t="str">
        <f ca="1">IFERROR(+IF(CB$27=ProposalToGnatt[[#This Row],[Start Date]],Milestone_Marker,IF(AND(CB$27&gt;ProposalToGnatt[[#This Row],[Start Date]],CB$27&lt;ProposalToGnatt[[#This Row],[Start Date]]+ProposalToGnatt[[#This Row],[Days]]),$G$5,"")),"")</f>
        <v/>
      </c>
      <c r="CC81" s="36" t="str">
        <f ca="1">IFERROR(+IF(CC$27=ProposalToGnatt[[#This Row],[Start Date]],Milestone_Marker,IF(AND(CC$27&gt;ProposalToGnatt[[#This Row],[Start Date]],CC$27&lt;ProposalToGnatt[[#This Row],[Start Date]]+ProposalToGnatt[[#This Row],[Days]]),$G$5,"")),"")</f>
        <v/>
      </c>
      <c r="CD81" s="36" t="str">
        <f ca="1">IFERROR(+IF(CD$27=ProposalToGnatt[[#This Row],[Start Date]],Milestone_Marker,IF(AND(CD$27&gt;ProposalToGnatt[[#This Row],[Start Date]],CD$27&lt;ProposalToGnatt[[#This Row],[Start Date]]+ProposalToGnatt[[#This Row],[Days]]),$G$5,"")),"")</f>
        <v/>
      </c>
      <c r="CE81" s="36" t="str">
        <f ca="1">IFERROR(+IF(CE$27=ProposalToGnatt[[#This Row],[Start Date]],Milestone_Marker,IF(AND(CE$27&gt;ProposalToGnatt[[#This Row],[Start Date]],CE$27&lt;ProposalToGnatt[[#This Row],[Start Date]]+ProposalToGnatt[[#This Row],[Days]]),$G$5,"")),"")</f>
        <v/>
      </c>
      <c r="CF81" s="36" t="str">
        <f ca="1">IFERROR(+IF(CF$27=ProposalToGnatt[[#This Row],[Start Date]],Milestone_Marker,IF(AND(CF$27&gt;ProposalToGnatt[[#This Row],[Start Date]],CF$27&lt;ProposalToGnatt[[#This Row],[Start Date]]+ProposalToGnatt[[#This Row],[Days]]),$G$5,"")),"")</f>
        <v/>
      </c>
      <c r="CG81" s="36" t="str">
        <f ca="1">IFERROR(+IF(CG$27=ProposalToGnatt[[#This Row],[Start Date]],Milestone_Marker,IF(AND(CG$27&gt;ProposalToGnatt[[#This Row],[Start Date]],CG$27&lt;ProposalToGnatt[[#This Row],[Start Date]]+ProposalToGnatt[[#This Row],[Days]]),$G$5,"")),"")</f>
        <v/>
      </c>
      <c r="CH81" s="36" t="str">
        <f ca="1">IFERROR(+IF(CH$27=ProposalToGnatt[[#This Row],[Start Date]],Milestone_Marker,IF(AND(CH$27&gt;ProposalToGnatt[[#This Row],[Start Date]],CH$27&lt;ProposalToGnatt[[#This Row],[Start Date]]+ProposalToGnatt[[#This Row],[Days]]),$G$5,"")),"")</f>
        <v/>
      </c>
      <c r="CI81" s="36" t="str">
        <f ca="1">IFERROR(+IF(CI$27=ProposalToGnatt[[#This Row],[Start Date]],Milestone_Marker,IF(AND(CI$27&gt;ProposalToGnatt[[#This Row],[Start Date]],CI$27&lt;ProposalToGnatt[[#This Row],[Start Date]]+ProposalToGnatt[[#This Row],[Days]]),$G$5,"")),"")</f>
        <v/>
      </c>
      <c r="CJ81" s="36" t="str">
        <f ca="1">IFERROR(+IF(CJ$27=ProposalToGnatt[[#This Row],[Start Date]],Milestone_Marker,IF(AND(CJ$27&gt;ProposalToGnatt[[#This Row],[Start Date]],CJ$27&lt;ProposalToGnatt[[#This Row],[Start Date]]+ProposalToGnatt[[#This Row],[Days]]),$G$5,"")),"")</f>
        <v/>
      </c>
      <c r="CK81" s="36" t="str">
        <f ca="1">IFERROR(+IF(CK$27=ProposalToGnatt[[#This Row],[Start Date]],Milestone_Marker,IF(AND(CK$27&gt;ProposalToGnatt[[#This Row],[Start Date]],CK$27&lt;ProposalToGnatt[[#This Row],[Start Date]]+ProposalToGnatt[[#This Row],[Days]]),$G$5,"")),"")</f>
        <v/>
      </c>
      <c r="CL81" s="36" t="str">
        <f ca="1">IFERROR(+IF(CL$27=ProposalToGnatt[[#This Row],[Start Date]],Milestone_Marker,IF(AND(CL$27&gt;ProposalToGnatt[[#This Row],[Start Date]],CL$27&lt;ProposalToGnatt[[#This Row],[Start Date]]+ProposalToGnatt[[#This Row],[Days]]),$G$5,"")),"")</f>
        <v/>
      </c>
      <c r="CM81" s="36" t="str">
        <f ca="1">IFERROR(+IF(CM$27=ProposalToGnatt[[#This Row],[Start Date]],Milestone_Marker,IF(AND(CM$27&gt;ProposalToGnatt[[#This Row],[Start Date]],CM$27&lt;ProposalToGnatt[[#This Row],[Start Date]]+ProposalToGnatt[[#This Row],[Days]]),$G$5,"")),"")</f>
        <v/>
      </c>
      <c r="CN81" s="36" t="str">
        <f ca="1">IFERROR(+IF(CN$27=ProposalToGnatt[[#This Row],[Start Date]],Milestone_Marker,IF(AND(CN$27&gt;ProposalToGnatt[[#This Row],[Start Date]],CN$27&lt;ProposalToGnatt[[#This Row],[Start Date]]+ProposalToGnatt[[#This Row],[Days]]),$G$5,"")),"")</f>
        <v/>
      </c>
      <c r="CO81" s="36" t="str">
        <f ca="1">IFERROR(+IF(CO$27=ProposalToGnatt[[#This Row],[Start Date]],Milestone_Marker,IF(AND(CO$27&gt;ProposalToGnatt[[#This Row],[Start Date]],CO$27&lt;ProposalToGnatt[[#This Row],[Start Date]]+ProposalToGnatt[[#This Row],[Days]]),$G$5,"")),"")</f>
        <v/>
      </c>
      <c r="CP81" s="36" t="str">
        <f ca="1">IFERROR(+IF(CP$27=ProposalToGnatt[[#This Row],[Start Date]],Milestone_Marker,IF(AND(CP$27&gt;ProposalToGnatt[[#This Row],[Start Date]],CP$27&lt;ProposalToGnatt[[#This Row],[Start Date]]+ProposalToGnatt[[#This Row],[Days]]),$G$5,"")),"")</f>
        <v/>
      </c>
      <c r="CQ81" s="36" t="str">
        <f ca="1">IFERROR(+IF(CQ$27=ProposalToGnatt[[#This Row],[Start Date]],Milestone_Marker,IF(AND(CQ$27&gt;ProposalToGnatt[[#This Row],[Start Date]],CQ$27&lt;ProposalToGnatt[[#This Row],[Start Date]]+ProposalToGnatt[[#This Row],[Days]]),$G$5,"")),"")</f>
        <v/>
      </c>
      <c r="CR81" s="36" t="str">
        <f ca="1">IFERROR(+IF(CR$27=ProposalToGnatt[[#This Row],[Start Date]],Milestone_Marker,IF(AND(CR$27&gt;ProposalToGnatt[[#This Row],[Start Date]],CR$27&lt;ProposalToGnatt[[#This Row],[Start Date]]+ProposalToGnatt[[#This Row],[Days]]),$G$5,"")),"")</f>
        <v/>
      </c>
      <c r="CS81" s="36" t="str">
        <f ca="1">IFERROR(+IF(CS$27=ProposalToGnatt[[#This Row],[Start Date]],Milestone_Marker,IF(AND(CS$27&gt;ProposalToGnatt[[#This Row],[Start Date]],CS$27&lt;ProposalToGnatt[[#This Row],[Start Date]]+ProposalToGnatt[[#This Row],[Days]]),$G$5,"")),"")</f>
        <v/>
      </c>
      <c r="CT81" s="36" t="str">
        <f ca="1">IFERROR(+IF(CT$27=ProposalToGnatt[[#This Row],[Start Date]],Milestone_Marker,IF(AND(CT$27&gt;ProposalToGnatt[[#This Row],[Start Date]],CT$27&lt;ProposalToGnatt[[#This Row],[Start Date]]+ProposalToGnatt[[#This Row],[Days]]),$G$5,"")),"")</f>
        <v/>
      </c>
      <c r="CU81" s="36" t="str">
        <f ca="1">IFERROR(+IF(CU$27=ProposalToGnatt[[#This Row],[Start Date]],Milestone_Marker,IF(AND(CU$27&gt;ProposalToGnatt[[#This Row],[Start Date]],CU$27&lt;ProposalToGnatt[[#This Row],[Start Date]]+ProposalToGnatt[[#This Row],[Days]]),$G$5,"")),"")</f>
        <v/>
      </c>
      <c r="CV81" s="36" t="str">
        <f ca="1">IFERROR(+IF(CT$27=#REF!,Milestone_Marker,IF(AND(CT$27&gt;#REF!,CT$27&lt;=#REF!+#REF!),$G$5,"")),"")</f>
        <v/>
      </c>
      <c r="CW81" s="36" t="str">
        <f ca="1">IFERROR(+IF(CU$27=#REF!,Milestone_Marker,IF(AND(CU$27&gt;#REF!,CU$27&lt;=#REF!+#REF!),$G$5,"")),"")</f>
        <v/>
      </c>
      <c r="CX81" s="36"/>
      <c r="CY81" s="36"/>
      <c r="CZ81" s="36"/>
      <c r="DA81" s="36"/>
      <c r="DB81" s="36"/>
      <c r="DC81" s="36"/>
      <c r="DD81" s="36"/>
      <c r="DE81" s="36"/>
      <c r="DF81" s="36"/>
      <c r="DG81" s="36"/>
      <c r="DH81" s="36"/>
      <c r="DI81" s="36"/>
      <c r="DJ81" s="36"/>
      <c r="DK81" s="36"/>
      <c r="DL81" s="36"/>
      <c r="DM81" s="36"/>
      <c r="DN81" s="36"/>
      <c r="DO81" s="36"/>
      <c r="DP81" s="36"/>
      <c r="DQ81" s="36"/>
      <c r="DR81" s="36"/>
      <c r="DS81" s="36"/>
      <c r="DT81" s="36"/>
      <c r="DU81" s="36"/>
    </row>
    <row r="82" spans="1:125" ht="15" x14ac:dyDescent="0.25">
      <c r="A82"/>
      <c r="B82"/>
      <c r="C82"/>
      <c r="D82"/>
      <c r="E82"/>
      <c r="F82"/>
      <c r="G82" s="14"/>
      <c r="H82" s="14"/>
      <c r="I82"/>
      <c r="J82"/>
      <c r="K82" s="246"/>
      <c r="L82"/>
      <c r="M82" s="14"/>
      <c r="N82" s="299"/>
      <c r="O82" s="281"/>
      <c r="P82" s="36" t="str">
        <f ca="1">IFERROR(+IF(P$27=ProposalToGnatt[[#This Row],[Start Date]],Milestone_Marker,IF(AND(P$27&gt;ProposalToGnatt[[#This Row],[Start Date]],P$27&lt;ProposalToGnatt[[#This Row],[Start Date]]+ProposalToGnatt[[#This Row],[Days]]),$G$5,"")),"")</f>
        <v/>
      </c>
      <c r="Q82" s="36" t="str">
        <f ca="1">IFERROR(+IF(Q$27=ProposalToGnatt[[#This Row],[Start Date]],Milestone_Marker,IF(AND(Q$27&gt;ProposalToGnatt[[#This Row],[Start Date]],Q$27&lt;ProposalToGnatt[[#This Row],[Start Date]]+ProposalToGnatt[[#This Row],[Days]]),$G$5,"")),"")</f>
        <v/>
      </c>
      <c r="R82" s="36" t="str">
        <f ca="1">IFERROR(+IF(R$27=ProposalToGnatt[[#This Row],[Start Date]],Milestone_Marker,IF(AND(R$27&gt;ProposalToGnatt[[#This Row],[Start Date]],R$27&lt;ProposalToGnatt[[#This Row],[Start Date]]+ProposalToGnatt[[#This Row],[Days]]),$G$5,"")),"")</f>
        <v/>
      </c>
      <c r="S82" s="36" t="str">
        <f ca="1">IFERROR(+IF(S$27=ProposalToGnatt[[#This Row],[Start Date]],Milestone_Marker,IF(AND(S$27&gt;ProposalToGnatt[[#This Row],[Start Date]],S$27&lt;ProposalToGnatt[[#This Row],[Start Date]]+ProposalToGnatt[[#This Row],[Days]]),$G$5,"")),"")</f>
        <v/>
      </c>
      <c r="T82" s="36" t="str">
        <f ca="1">IFERROR(+IF(T$27=ProposalToGnatt[[#This Row],[Start Date]],Milestone_Marker,IF(AND(T$27&gt;ProposalToGnatt[[#This Row],[Start Date]],T$27&lt;ProposalToGnatt[[#This Row],[Start Date]]+ProposalToGnatt[[#This Row],[Days]]),$G$5,"")),"")</f>
        <v/>
      </c>
      <c r="U82" s="36" t="str">
        <f ca="1">IFERROR(+IF(U$27=ProposalToGnatt[[#This Row],[Start Date]],Milestone_Marker,IF(AND(U$27&gt;ProposalToGnatt[[#This Row],[Start Date]],U$27&lt;ProposalToGnatt[[#This Row],[Start Date]]+ProposalToGnatt[[#This Row],[Days]]),$G$5,"")),"")</f>
        <v/>
      </c>
      <c r="V82" s="36" t="str">
        <f ca="1">IFERROR(+IF(V$27=ProposalToGnatt[[#This Row],[Start Date]],Milestone_Marker,IF(AND(V$27&gt;ProposalToGnatt[[#This Row],[Start Date]],V$27&lt;ProposalToGnatt[[#This Row],[Start Date]]+ProposalToGnatt[[#This Row],[Days]]),$G$5,"")),"")</f>
        <v/>
      </c>
      <c r="W82" s="36" t="str">
        <f ca="1">IFERROR(+IF(W$27=ProposalToGnatt[[#This Row],[Start Date]],Milestone_Marker,IF(AND(W$27&gt;ProposalToGnatt[[#This Row],[Start Date]],W$27&lt;ProposalToGnatt[[#This Row],[Start Date]]+ProposalToGnatt[[#This Row],[Days]]),$G$5,"")),"")</f>
        <v/>
      </c>
      <c r="X82" s="36" t="str">
        <f ca="1">IFERROR(+IF(X$27=ProposalToGnatt[[#This Row],[Start Date]],Milestone_Marker,IF(AND(X$27&gt;ProposalToGnatt[[#This Row],[Start Date]],X$27&lt;ProposalToGnatt[[#This Row],[Start Date]]+ProposalToGnatt[[#This Row],[Days]]),$G$5,"")),"")</f>
        <v/>
      </c>
      <c r="Y82" s="36" t="str">
        <f ca="1">IFERROR(+IF(Y$27=ProposalToGnatt[[#This Row],[Start Date]],Milestone_Marker,IF(AND(Y$27&gt;ProposalToGnatt[[#This Row],[Start Date]],Y$27&lt;ProposalToGnatt[[#This Row],[Start Date]]+ProposalToGnatt[[#This Row],[Days]]),$G$5,"")),"")</f>
        <v/>
      </c>
      <c r="Z82" s="36" t="str">
        <f ca="1">IFERROR(+IF(Z$27=ProposalToGnatt[[#This Row],[Start Date]],Milestone_Marker,IF(AND(Z$27&gt;ProposalToGnatt[[#This Row],[Start Date]],Z$27&lt;ProposalToGnatt[[#This Row],[Start Date]]+ProposalToGnatt[[#This Row],[Days]]),$G$5,"")),"")</f>
        <v/>
      </c>
      <c r="AA82" s="36" t="str">
        <f ca="1">IFERROR(+IF(AA$27=ProposalToGnatt[[#This Row],[Start Date]],Milestone_Marker,IF(AND(AA$27&gt;ProposalToGnatt[[#This Row],[Start Date]],AA$27&lt;ProposalToGnatt[[#This Row],[Start Date]]+ProposalToGnatt[[#This Row],[Days]]),$G$5,"")),"")</f>
        <v/>
      </c>
      <c r="AB82" s="36" t="str">
        <f ca="1">IFERROR(+IF(AB$27=ProposalToGnatt[[#This Row],[Start Date]],Milestone_Marker,IF(AND(AB$27&gt;ProposalToGnatt[[#This Row],[Start Date]],AB$27&lt;ProposalToGnatt[[#This Row],[Start Date]]+ProposalToGnatt[[#This Row],[Days]]),$G$5,"")),"")</f>
        <v/>
      </c>
      <c r="AC82" s="36" t="str">
        <f ca="1">IFERROR(+IF(AC$27=ProposalToGnatt[[#This Row],[Start Date]],Milestone_Marker,IF(AND(AC$27&gt;ProposalToGnatt[[#This Row],[Start Date]],AC$27&lt;ProposalToGnatt[[#This Row],[Start Date]]+ProposalToGnatt[[#This Row],[Days]]),$G$5,"")),"")</f>
        <v/>
      </c>
      <c r="AD82" s="36" t="str">
        <f ca="1">IFERROR(+IF(AD$27=ProposalToGnatt[[#This Row],[Start Date]],Milestone_Marker,IF(AND(AD$27&gt;ProposalToGnatt[[#This Row],[Start Date]],AD$27&lt;ProposalToGnatt[[#This Row],[Start Date]]+ProposalToGnatt[[#This Row],[Days]]),$G$5,"")),"")</f>
        <v/>
      </c>
      <c r="AE82" s="36" t="str">
        <f ca="1">IFERROR(+IF(AE$27=ProposalToGnatt[[#This Row],[Start Date]],Milestone_Marker,IF(AND(AE$27&gt;ProposalToGnatt[[#This Row],[Start Date]],AE$27&lt;ProposalToGnatt[[#This Row],[Start Date]]+ProposalToGnatt[[#This Row],[Days]]),$G$5,"")),"")</f>
        <v/>
      </c>
      <c r="AF82" s="36" t="str">
        <f ca="1">IFERROR(+IF(AF$27=ProposalToGnatt[[#This Row],[Start Date]],Milestone_Marker,IF(AND(AF$27&gt;ProposalToGnatt[[#This Row],[Start Date]],AF$27&lt;ProposalToGnatt[[#This Row],[Start Date]]+ProposalToGnatt[[#This Row],[Days]]),$G$5,"")),"")</f>
        <v/>
      </c>
      <c r="AG82" s="36" t="str">
        <f ca="1">IFERROR(+IF(AG$27=ProposalToGnatt[[#This Row],[Start Date]],Milestone_Marker,IF(AND(AG$27&gt;ProposalToGnatt[[#This Row],[Start Date]],AG$27&lt;ProposalToGnatt[[#This Row],[Start Date]]+ProposalToGnatt[[#This Row],[Days]]),$G$5,"")),"")</f>
        <v/>
      </c>
      <c r="AH82" s="36" t="str">
        <f ca="1">IFERROR(+IF(AH$27=ProposalToGnatt[[#This Row],[Start Date]],Milestone_Marker,IF(AND(AH$27&gt;ProposalToGnatt[[#This Row],[Start Date]],AH$27&lt;ProposalToGnatt[[#This Row],[Start Date]]+ProposalToGnatt[[#This Row],[Days]]),$G$5,"")),"")</f>
        <v/>
      </c>
      <c r="AI82" s="36" t="str">
        <f ca="1">IFERROR(+IF(AI$27=ProposalToGnatt[[#This Row],[Start Date]],Milestone_Marker,IF(AND(AI$27&gt;ProposalToGnatt[[#This Row],[Start Date]],AI$27&lt;ProposalToGnatt[[#This Row],[Start Date]]+ProposalToGnatt[[#This Row],[Days]]),$G$5,"")),"")</f>
        <v/>
      </c>
      <c r="AJ82" s="36" t="str">
        <f ca="1">IFERROR(+IF(AJ$27=ProposalToGnatt[[#This Row],[Start Date]],Milestone_Marker,IF(AND(AJ$27&gt;ProposalToGnatt[[#This Row],[Start Date]],AJ$27&lt;ProposalToGnatt[[#This Row],[Start Date]]+ProposalToGnatt[[#This Row],[Days]]),$G$5,"")),"")</f>
        <v/>
      </c>
      <c r="AK82" s="36" t="str">
        <f ca="1">IFERROR(+IF(AK$27=ProposalToGnatt[[#This Row],[Start Date]],Milestone_Marker,IF(AND(AK$27&gt;ProposalToGnatt[[#This Row],[Start Date]],AK$27&lt;ProposalToGnatt[[#This Row],[Start Date]]+ProposalToGnatt[[#This Row],[Days]]),$G$5,"")),"")</f>
        <v/>
      </c>
      <c r="AL82" s="36" t="str">
        <f ca="1">IFERROR(+IF(AL$27=ProposalToGnatt[[#This Row],[Start Date]],Milestone_Marker,IF(AND(AL$27&gt;ProposalToGnatt[[#This Row],[Start Date]],AL$27&lt;ProposalToGnatt[[#This Row],[Start Date]]+ProposalToGnatt[[#This Row],[Days]]),$G$5,"")),"")</f>
        <v/>
      </c>
      <c r="AM82" s="36" t="str">
        <f ca="1">IFERROR(+IF(AM$27=ProposalToGnatt[[#This Row],[Start Date]],Milestone_Marker,IF(AND(AM$27&gt;ProposalToGnatt[[#This Row],[Start Date]],AM$27&lt;ProposalToGnatt[[#This Row],[Start Date]]+ProposalToGnatt[[#This Row],[Days]]),$G$5,"")),"")</f>
        <v/>
      </c>
      <c r="AN82" s="36" t="str">
        <f ca="1">IFERROR(+IF(AN$27=ProposalToGnatt[[#This Row],[Start Date]],Milestone_Marker,IF(AND(AN$27&gt;ProposalToGnatt[[#This Row],[Start Date]],AN$27&lt;ProposalToGnatt[[#This Row],[Start Date]]+ProposalToGnatt[[#This Row],[Days]]),$G$5,"")),"")</f>
        <v/>
      </c>
      <c r="AO82" s="36" t="str">
        <f ca="1">IFERROR(+IF(AO$27=ProposalToGnatt[[#This Row],[Start Date]],Milestone_Marker,IF(AND(AO$27&gt;ProposalToGnatt[[#This Row],[Start Date]],AO$27&lt;ProposalToGnatt[[#This Row],[Start Date]]+ProposalToGnatt[[#This Row],[Days]]),$G$5,"")),"")</f>
        <v/>
      </c>
      <c r="AP82" s="36" t="str">
        <f ca="1">IFERROR(+IF(AP$27=ProposalToGnatt[[#This Row],[Start Date]],Milestone_Marker,IF(AND(AP$27&gt;ProposalToGnatt[[#This Row],[Start Date]],AP$27&lt;ProposalToGnatt[[#This Row],[Start Date]]+ProposalToGnatt[[#This Row],[Days]]),$G$5,"")),"")</f>
        <v/>
      </c>
      <c r="AQ82" s="36" t="str">
        <f ca="1">IFERROR(+IF(AQ$27=ProposalToGnatt[[#This Row],[Start Date]],Milestone_Marker,IF(AND(AQ$27&gt;ProposalToGnatt[[#This Row],[Start Date]],AQ$27&lt;ProposalToGnatt[[#This Row],[Start Date]]+ProposalToGnatt[[#This Row],[Days]]),$G$5,"")),"")</f>
        <v/>
      </c>
      <c r="AR82" s="36" t="str">
        <f ca="1">IFERROR(+IF(AR$27=ProposalToGnatt[[#This Row],[Start Date]],Milestone_Marker,IF(AND(AR$27&gt;ProposalToGnatt[[#This Row],[Start Date]],AR$27&lt;ProposalToGnatt[[#This Row],[Start Date]]+ProposalToGnatt[[#This Row],[Days]]),$G$5,"")),"")</f>
        <v/>
      </c>
      <c r="AS82" s="36" t="str">
        <f ca="1">IFERROR(+IF(AS$27=ProposalToGnatt[[#This Row],[Start Date]],Milestone_Marker,IF(AND(AS$27&gt;ProposalToGnatt[[#This Row],[Start Date]],AS$27&lt;ProposalToGnatt[[#This Row],[Start Date]]+ProposalToGnatt[[#This Row],[Days]]),$G$5,"")),"")</f>
        <v/>
      </c>
      <c r="AT82" s="36" t="str">
        <f ca="1">IFERROR(+IF(AT$27=ProposalToGnatt[[#This Row],[Start Date]],Milestone_Marker,IF(AND(AT$27&gt;ProposalToGnatt[[#This Row],[Start Date]],AT$27&lt;ProposalToGnatt[[#This Row],[Start Date]]+ProposalToGnatt[[#This Row],[Days]]),$G$5,"")),"")</f>
        <v/>
      </c>
      <c r="AU82" s="36" t="str">
        <f ca="1">IFERROR(+IF(AU$27=ProposalToGnatt[[#This Row],[Start Date]],Milestone_Marker,IF(AND(AU$27&gt;ProposalToGnatt[[#This Row],[Start Date]],AU$27&lt;ProposalToGnatt[[#This Row],[Start Date]]+ProposalToGnatt[[#This Row],[Days]]),$G$5,"")),"")</f>
        <v/>
      </c>
      <c r="AV82" s="36" t="str">
        <f ca="1">IFERROR(+IF(AV$27=ProposalToGnatt[[#This Row],[Start Date]],Milestone_Marker,IF(AND(AV$27&gt;ProposalToGnatt[[#This Row],[Start Date]],AV$27&lt;ProposalToGnatt[[#This Row],[Start Date]]+ProposalToGnatt[[#This Row],[Days]]),$G$5,"")),"")</f>
        <v/>
      </c>
      <c r="AW82" s="36" t="str">
        <f ca="1">IFERROR(+IF(AW$27=ProposalToGnatt[[#This Row],[Start Date]],Milestone_Marker,IF(AND(AW$27&gt;ProposalToGnatt[[#This Row],[Start Date]],AW$27&lt;ProposalToGnatt[[#This Row],[Start Date]]+ProposalToGnatt[[#This Row],[Days]]),$G$5,"")),"")</f>
        <v/>
      </c>
      <c r="AX82" s="36" t="str">
        <f ca="1">IFERROR(+IF(AX$27=ProposalToGnatt[[#This Row],[Start Date]],Milestone_Marker,IF(AND(AX$27&gt;ProposalToGnatt[[#This Row],[Start Date]],AX$27&lt;ProposalToGnatt[[#This Row],[Start Date]]+ProposalToGnatt[[#This Row],[Days]]),$G$5,"")),"")</f>
        <v/>
      </c>
      <c r="AY82" s="36" t="str">
        <f ca="1">IFERROR(+IF(AY$27=ProposalToGnatt[[#This Row],[Start Date]],Milestone_Marker,IF(AND(AY$27&gt;ProposalToGnatt[[#This Row],[Start Date]],AY$27&lt;ProposalToGnatt[[#This Row],[Start Date]]+ProposalToGnatt[[#This Row],[Days]]),$G$5,"")),"")</f>
        <v/>
      </c>
      <c r="AZ82" s="36" t="str">
        <f ca="1">IFERROR(+IF(AZ$27=ProposalToGnatt[[#This Row],[Start Date]],Milestone_Marker,IF(AND(AZ$27&gt;ProposalToGnatt[[#This Row],[Start Date]],AZ$27&lt;ProposalToGnatt[[#This Row],[Start Date]]+ProposalToGnatt[[#This Row],[Days]]),$G$5,"")),"")</f>
        <v/>
      </c>
      <c r="BA82" s="36" t="str">
        <f ca="1">IFERROR(+IF(BA$27=ProposalToGnatt[[#This Row],[Start Date]],Milestone_Marker,IF(AND(BA$27&gt;ProposalToGnatt[[#This Row],[Start Date]],BA$27&lt;ProposalToGnatt[[#This Row],[Start Date]]+ProposalToGnatt[[#This Row],[Days]]),$G$5,"")),"")</f>
        <v/>
      </c>
      <c r="BB82" s="36" t="str">
        <f ca="1">IFERROR(+IF(BB$27=ProposalToGnatt[[#This Row],[Start Date]],Milestone_Marker,IF(AND(BB$27&gt;ProposalToGnatt[[#This Row],[Start Date]],BB$27&lt;ProposalToGnatt[[#This Row],[Start Date]]+ProposalToGnatt[[#This Row],[Days]]),$G$5,"")),"")</f>
        <v/>
      </c>
      <c r="BC82" s="36" t="str">
        <f ca="1">IFERROR(+IF(BC$27=ProposalToGnatt[[#This Row],[Start Date]],Milestone_Marker,IF(AND(BC$27&gt;ProposalToGnatt[[#This Row],[Start Date]],BC$27&lt;ProposalToGnatt[[#This Row],[Start Date]]+ProposalToGnatt[[#This Row],[Days]]),$G$5,"")),"")</f>
        <v/>
      </c>
      <c r="BD82" s="36" t="str">
        <f ca="1">IFERROR(+IF(BD$27=ProposalToGnatt[[#This Row],[Start Date]],Milestone_Marker,IF(AND(BD$27&gt;ProposalToGnatt[[#This Row],[Start Date]],BD$27&lt;ProposalToGnatt[[#This Row],[Start Date]]+ProposalToGnatt[[#This Row],[Days]]),$G$5,"")),"")</f>
        <v/>
      </c>
      <c r="BE82" s="36" t="str">
        <f ca="1">IFERROR(+IF(BE$27=ProposalToGnatt[[#This Row],[Start Date]],Milestone_Marker,IF(AND(BE$27&gt;ProposalToGnatt[[#This Row],[Start Date]],BE$27&lt;ProposalToGnatt[[#This Row],[Start Date]]+ProposalToGnatt[[#This Row],[Days]]),$G$5,"")),"")</f>
        <v/>
      </c>
      <c r="BF82" s="36" t="str">
        <f ca="1">IFERROR(+IF(BF$27=ProposalToGnatt[[#This Row],[Start Date]],Milestone_Marker,IF(AND(BF$27&gt;ProposalToGnatt[[#This Row],[Start Date]],BF$27&lt;ProposalToGnatt[[#This Row],[Start Date]]+ProposalToGnatt[[#This Row],[Days]]),$G$5,"")),"")</f>
        <v/>
      </c>
      <c r="BG82" s="36" t="str">
        <f ca="1">IFERROR(+IF(BG$27=ProposalToGnatt[[#This Row],[Start Date]],Milestone_Marker,IF(AND(BG$27&gt;ProposalToGnatt[[#This Row],[Start Date]],BG$27&lt;ProposalToGnatt[[#This Row],[Start Date]]+ProposalToGnatt[[#This Row],[Days]]),$G$5,"")),"")</f>
        <v/>
      </c>
      <c r="BH82" s="36" t="str">
        <f ca="1">IFERROR(+IF(BH$27=ProposalToGnatt[[#This Row],[Start Date]],Milestone_Marker,IF(AND(BH$27&gt;ProposalToGnatt[[#This Row],[Start Date]],BH$27&lt;ProposalToGnatt[[#This Row],[Start Date]]+ProposalToGnatt[[#This Row],[Days]]),$G$5,"")),"")</f>
        <v/>
      </c>
      <c r="BI82" s="36" t="str">
        <f ca="1">IFERROR(+IF(BI$27=ProposalToGnatt[[#This Row],[Start Date]],Milestone_Marker,IF(AND(BI$27&gt;ProposalToGnatt[[#This Row],[Start Date]],BI$27&lt;ProposalToGnatt[[#This Row],[Start Date]]+ProposalToGnatt[[#This Row],[Days]]),$G$5,"")),"")</f>
        <v/>
      </c>
      <c r="BJ82" s="36" t="str">
        <f ca="1">IFERROR(+IF(BJ$27=ProposalToGnatt[[#This Row],[Start Date]],Milestone_Marker,IF(AND(BJ$27&gt;ProposalToGnatt[[#This Row],[Start Date]],BJ$27&lt;ProposalToGnatt[[#This Row],[Start Date]]+ProposalToGnatt[[#This Row],[Days]]),$G$5,"")),"")</f>
        <v/>
      </c>
      <c r="BK82" s="36" t="str">
        <f ca="1">IFERROR(+IF(BK$27=ProposalToGnatt[[#This Row],[Start Date]],Milestone_Marker,IF(AND(BK$27&gt;ProposalToGnatt[[#This Row],[Start Date]],BK$27&lt;ProposalToGnatt[[#This Row],[Start Date]]+ProposalToGnatt[[#This Row],[Days]]),$G$5,"")),"")</f>
        <v/>
      </c>
      <c r="BL82" s="36" t="str">
        <f ca="1">IFERROR(+IF(BL$27=ProposalToGnatt[[#This Row],[Start Date]],Milestone_Marker,IF(AND(BL$27&gt;ProposalToGnatt[[#This Row],[Start Date]],BL$27&lt;ProposalToGnatt[[#This Row],[Start Date]]+ProposalToGnatt[[#This Row],[Days]]),$G$5,"")),"")</f>
        <v/>
      </c>
      <c r="BM82" s="36" t="str">
        <f ca="1">IFERROR(+IF(BM$27=ProposalToGnatt[[#This Row],[Start Date]],Milestone_Marker,IF(AND(BM$27&gt;ProposalToGnatt[[#This Row],[Start Date]],BM$27&lt;ProposalToGnatt[[#This Row],[Start Date]]+ProposalToGnatt[[#This Row],[Days]]),$G$5,"")),"")</f>
        <v/>
      </c>
      <c r="BN82" s="36" t="str">
        <f ca="1">IFERROR(+IF(BN$27=ProposalToGnatt[[#This Row],[Start Date]],Milestone_Marker,IF(AND(BN$27&gt;ProposalToGnatt[[#This Row],[Start Date]],BN$27&lt;ProposalToGnatt[[#This Row],[Start Date]]+ProposalToGnatt[[#This Row],[Days]]),$G$5,"")),"")</f>
        <v/>
      </c>
      <c r="BO82" s="36" t="str">
        <f ca="1">IFERROR(+IF(BO$27=ProposalToGnatt[[#This Row],[Start Date]],Milestone_Marker,IF(AND(BO$27&gt;ProposalToGnatt[[#This Row],[Start Date]],BO$27&lt;ProposalToGnatt[[#This Row],[Start Date]]+ProposalToGnatt[[#This Row],[Days]]),$G$5,"")),"")</f>
        <v/>
      </c>
      <c r="BP82" s="36" t="str">
        <f ca="1">IFERROR(+IF(BP$27=ProposalToGnatt[[#This Row],[Start Date]],Milestone_Marker,IF(AND(BP$27&gt;ProposalToGnatt[[#This Row],[Start Date]],BP$27&lt;ProposalToGnatt[[#This Row],[Start Date]]+ProposalToGnatt[[#This Row],[Days]]),$G$5,"")),"")</f>
        <v/>
      </c>
      <c r="BQ82" s="36" t="str">
        <f ca="1">IFERROR(+IF(BQ$27=ProposalToGnatt[[#This Row],[Start Date]],Milestone_Marker,IF(AND(BQ$27&gt;ProposalToGnatt[[#This Row],[Start Date]],BQ$27&lt;ProposalToGnatt[[#This Row],[Start Date]]+ProposalToGnatt[[#This Row],[Days]]),$G$5,"")),"")</f>
        <v/>
      </c>
      <c r="BR82" s="36" t="str">
        <f ca="1">IFERROR(+IF(BR$27=ProposalToGnatt[[#This Row],[Start Date]],Milestone_Marker,IF(AND(BR$27&gt;ProposalToGnatt[[#This Row],[Start Date]],BR$27&lt;ProposalToGnatt[[#This Row],[Start Date]]+ProposalToGnatt[[#This Row],[Days]]),$G$5,"")),"")</f>
        <v/>
      </c>
      <c r="BS82" s="36" t="str">
        <f ca="1">IFERROR(+IF(BS$27=ProposalToGnatt[[#This Row],[Start Date]],Milestone_Marker,IF(AND(BS$27&gt;ProposalToGnatt[[#This Row],[Start Date]],BS$27&lt;ProposalToGnatt[[#This Row],[Start Date]]+ProposalToGnatt[[#This Row],[Days]]),$G$5,"")),"")</f>
        <v/>
      </c>
      <c r="BT82" s="36" t="str">
        <f ca="1">IFERROR(+IF(BT$27=ProposalToGnatt[[#This Row],[Start Date]],Milestone_Marker,IF(AND(BT$27&gt;ProposalToGnatt[[#This Row],[Start Date]],BT$27&lt;ProposalToGnatt[[#This Row],[Start Date]]+ProposalToGnatt[[#This Row],[Days]]),$G$5,"")),"")</f>
        <v/>
      </c>
      <c r="BU82" s="36" t="str">
        <f ca="1">IFERROR(+IF(BU$27=ProposalToGnatt[[#This Row],[Start Date]],Milestone_Marker,IF(AND(BU$27&gt;ProposalToGnatt[[#This Row],[Start Date]],BU$27&lt;ProposalToGnatt[[#This Row],[Start Date]]+ProposalToGnatt[[#This Row],[Days]]),$G$5,"")),"")</f>
        <v/>
      </c>
      <c r="BV82" s="36" t="str">
        <f ca="1">IFERROR(+IF(BV$27=ProposalToGnatt[[#This Row],[Start Date]],Milestone_Marker,IF(AND(BV$27&gt;ProposalToGnatt[[#This Row],[Start Date]],BV$27&lt;ProposalToGnatt[[#This Row],[Start Date]]+ProposalToGnatt[[#This Row],[Days]]),$G$5,"")),"")</f>
        <v/>
      </c>
      <c r="BW82" s="36" t="str">
        <f ca="1">IFERROR(+IF(BW$27=ProposalToGnatt[[#This Row],[Start Date]],Milestone_Marker,IF(AND(BW$27&gt;ProposalToGnatt[[#This Row],[Start Date]],BW$27&lt;ProposalToGnatt[[#This Row],[Start Date]]+ProposalToGnatt[[#This Row],[Days]]),$G$5,"")),"")</f>
        <v/>
      </c>
      <c r="BX82" s="36" t="str">
        <f ca="1">IFERROR(+IF(BX$27=ProposalToGnatt[[#This Row],[Start Date]],Milestone_Marker,IF(AND(BX$27&gt;ProposalToGnatt[[#This Row],[Start Date]],BX$27&lt;ProposalToGnatt[[#This Row],[Start Date]]+ProposalToGnatt[[#This Row],[Days]]),$G$5,"")),"")</f>
        <v/>
      </c>
      <c r="BY82" s="36" t="str">
        <f ca="1">IFERROR(+IF(BY$27=ProposalToGnatt[[#This Row],[Start Date]],Milestone_Marker,IF(AND(BY$27&gt;ProposalToGnatt[[#This Row],[Start Date]],BY$27&lt;ProposalToGnatt[[#This Row],[Start Date]]+ProposalToGnatt[[#This Row],[Days]]),$G$5,"")),"")</f>
        <v/>
      </c>
      <c r="BZ82" s="36" t="str">
        <f ca="1">IFERROR(+IF(BZ$27=ProposalToGnatt[[#This Row],[Start Date]],Milestone_Marker,IF(AND(BZ$27&gt;ProposalToGnatt[[#This Row],[Start Date]],BZ$27&lt;ProposalToGnatt[[#This Row],[Start Date]]+ProposalToGnatt[[#This Row],[Days]]),$G$5,"")),"")</f>
        <v/>
      </c>
      <c r="CA82" s="36" t="str">
        <f ca="1">IFERROR(+IF(CA$27=ProposalToGnatt[[#This Row],[Start Date]],Milestone_Marker,IF(AND(CA$27&gt;ProposalToGnatt[[#This Row],[Start Date]],CA$27&lt;ProposalToGnatt[[#This Row],[Start Date]]+ProposalToGnatt[[#This Row],[Days]]),$G$5,"")),"")</f>
        <v/>
      </c>
      <c r="CB82" s="36" t="str">
        <f ca="1">IFERROR(+IF(CB$27=ProposalToGnatt[[#This Row],[Start Date]],Milestone_Marker,IF(AND(CB$27&gt;ProposalToGnatt[[#This Row],[Start Date]],CB$27&lt;ProposalToGnatt[[#This Row],[Start Date]]+ProposalToGnatt[[#This Row],[Days]]),$G$5,"")),"")</f>
        <v/>
      </c>
      <c r="CC82" s="36" t="str">
        <f ca="1">IFERROR(+IF(CC$27=ProposalToGnatt[[#This Row],[Start Date]],Milestone_Marker,IF(AND(CC$27&gt;ProposalToGnatt[[#This Row],[Start Date]],CC$27&lt;ProposalToGnatt[[#This Row],[Start Date]]+ProposalToGnatt[[#This Row],[Days]]),$G$5,"")),"")</f>
        <v/>
      </c>
      <c r="CD82" s="36" t="str">
        <f ca="1">IFERROR(+IF(CD$27=ProposalToGnatt[[#This Row],[Start Date]],Milestone_Marker,IF(AND(CD$27&gt;ProposalToGnatt[[#This Row],[Start Date]],CD$27&lt;ProposalToGnatt[[#This Row],[Start Date]]+ProposalToGnatt[[#This Row],[Days]]),$G$5,"")),"")</f>
        <v/>
      </c>
      <c r="CE82" s="36" t="str">
        <f ca="1">IFERROR(+IF(CE$27=ProposalToGnatt[[#This Row],[Start Date]],Milestone_Marker,IF(AND(CE$27&gt;ProposalToGnatt[[#This Row],[Start Date]],CE$27&lt;ProposalToGnatt[[#This Row],[Start Date]]+ProposalToGnatt[[#This Row],[Days]]),$G$5,"")),"")</f>
        <v/>
      </c>
      <c r="CF82" s="36" t="str">
        <f ca="1">IFERROR(+IF(CF$27=ProposalToGnatt[[#This Row],[Start Date]],Milestone_Marker,IF(AND(CF$27&gt;ProposalToGnatt[[#This Row],[Start Date]],CF$27&lt;ProposalToGnatt[[#This Row],[Start Date]]+ProposalToGnatt[[#This Row],[Days]]),$G$5,"")),"")</f>
        <v/>
      </c>
      <c r="CG82" s="36" t="str">
        <f ca="1">IFERROR(+IF(CG$27=ProposalToGnatt[[#This Row],[Start Date]],Milestone_Marker,IF(AND(CG$27&gt;ProposalToGnatt[[#This Row],[Start Date]],CG$27&lt;ProposalToGnatt[[#This Row],[Start Date]]+ProposalToGnatt[[#This Row],[Days]]),$G$5,"")),"")</f>
        <v/>
      </c>
      <c r="CH82" s="36" t="str">
        <f ca="1">IFERROR(+IF(CH$27=ProposalToGnatt[[#This Row],[Start Date]],Milestone_Marker,IF(AND(CH$27&gt;ProposalToGnatt[[#This Row],[Start Date]],CH$27&lt;ProposalToGnatt[[#This Row],[Start Date]]+ProposalToGnatt[[#This Row],[Days]]),$G$5,"")),"")</f>
        <v/>
      </c>
      <c r="CI82" s="36" t="str">
        <f ca="1">IFERROR(+IF(CI$27=ProposalToGnatt[[#This Row],[Start Date]],Milestone_Marker,IF(AND(CI$27&gt;ProposalToGnatt[[#This Row],[Start Date]],CI$27&lt;ProposalToGnatt[[#This Row],[Start Date]]+ProposalToGnatt[[#This Row],[Days]]),$G$5,"")),"")</f>
        <v/>
      </c>
      <c r="CJ82" s="36" t="str">
        <f ca="1">IFERROR(+IF(CJ$27=ProposalToGnatt[[#This Row],[Start Date]],Milestone_Marker,IF(AND(CJ$27&gt;ProposalToGnatt[[#This Row],[Start Date]],CJ$27&lt;ProposalToGnatt[[#This Row],[Start Date]]+ProposalToGnatt[[#This Row],[Days]]),$G$5,"")),"")</f>
        <v/>
      </c>
      <c r="CK82" s="36" t="str">
        <f ca="1">IFERROR(+IF(CK$27=ProposalToGnatt[[#This Row],[Start Date]],Milestone_Marker,IF(AND(CK$27&gt;ProposalToGnatt[[#This Row],[Start Date]],CK$27&lt;ProposalToGnatt[[#This Row],[Start Date]]+ProposalToGnatt[[#This Row],[Days]]),$G$5,"")),"")</f>
        <v/>
      </c>
      <c r="CL82" s="36" t="str">
        <f ca="1">IFERROR(+IF(CL$27=ProposalToGnatt[[#This Row],[Start Date]],Milestone_Marker,IF(AND(CL$27&gt;ProposalToGnatt[[#This Row],[Start Date]],CL$27&lt;ProposalToGnatt[[#This Row],[Start Date]]+ProposalToGnatt[[#This Row],[Days]]),$G$5,"")),"")</f>
        <v/>
      </c>
      <c r="CM82" s="36" t="str">
        <f ca="1">IFERROR(+IF(CM$27=ProposalToGnatt[[#This Row],[Start Date]],Milestone_Marker,IF(AND(CM$27&gt;ProposalToGnatt[[#This Row],[Start Date]],CM$27&lt;ProposalToGnatt[[#This Row],[Start Date]]+ProposalToGnatt[[#This Row],[Days]]),$G$5,"")),"")</f>
        <v/>
      </c>
      <c r="CN82" s="36" t="str">
        <f ca="1">IFERROR(+IF(CN$27=ProposalToGnatt[[#This Row],[Start Date]],Milestone_Marker,IF(AND(CN$27&gt;ProposalToGnatt[[#This Row],[Start Date]],CN$27&lt;ProposalToGnatt[[#This Row],[Start Date]]+ProposalToGnatt[[#This Row],[Days]]),$G$5,"")),"")</f>
        <v/>
      </c>
      <c r="CO82" s="36" t="str">
        <f ca="1">IFERROR(+IF(CO$27=ProposalToGnatt[[#This Row],[Start Date]],Milestone_Marker,IF(AND(CO$27&gt;ProposalToGnatt[[#This Row],[Start Date]],CO$27&lt;ProposalToGnatt[[#This Row],[Start Date]]+ProposalToGnatt[[#This Row],[Days]]),$G$5,"")),"")</f>
        <v/>
      </c>
      <c r="CP82" s="36" t="str">
        <f ca="1">IFERROR(+IF(CP$27=ProposalToGnatt[[#This Row],[Start Date]],Milestone_Marker,IF(AND(CP$27&gt;ProposalToGnatt[[#This Row],[Start Date]],CP$27&lt;ProposalToGnatt[[#This Row],[Start Date]]+ProposalToGnatt[[#This Row],[Days]]),$G$5,"")),"")</f>
        <v/>
      </c>
      <c r="CQ82" s="36" t="str">
        <f ca="1">IFERROR(+IF(CQ$27=ProposalToGnatt[[#This Row],[Start Date]],Milestone_Marker,IF(AND(CQ$27&gt;ProposalToGnatt[[#This Row],[Start Date]],CQ$27&lt;ProposalToGnatt[[#This Row],[Start Date]]+ProposalToGnatt[[#This Row],[Days]]),$G$5,"")),"")</f>
        <v/>
      </c>
      <c r="CR82" s="36" t="str">
        <f ca="1">IFERROR(+IF(CR$27=ProposalToGnatt[[#This Row],[Start Date]],Milestone_Marker,IF(AND(CR$27&gt;ProposalToGnatt[[#This Row],[Start Date]],CR$27&lt;ProposalToGnatt[[#This Row],[Start Date]]+ProposalToGnatt[[#This Row],[Days]]),$G$5,"")),"")</f>
        <v/>
      </c>
      <c r="CS82" s="36" t="str">
        <f ca="1">IFERROR(+IF(CS$27=ProposalToGnatt[[#This Row],[Start Date]],Milestone_Marker,IF(AND(CS$27&gt;ProposalToGnatt[[#This Row],[Start Date]],CS$27&lt;ProposalToGnatt[[#This Row],[Start Date]]+ProposalToGnatt[[#This Row],[Days]]),$G$5,"")),"")</f>
        <v/>
      </c>
      <c r="CT82" s="36" t="str">
        <f ca="1">IFERROR(+IF(CT$27=ProposalToGnatt[[#This Row],[Start Date]],Milestone_Marker,IF(AND(CT$27&gt;ProposalToGnatt[[#This Row],[Start Date]],CT$27&lt;ProposalToGnatt[[#This Row],[Start Date]]+ProposalToGnatt[[#This Row],[Days]]),$G$5,"")),"")</f>
        <v/>
      </c>
      <c r="CU82" s="36" t="str">
        <f ca="1">IFERROR(+IF(CU$27=ProposalToGnatt[[#This Row],[Start Date]],Milestone_Marker,IF(AND(CU$27&gt;ProposalToGnatt[[#This Row],[Start Date]],CU$27&lt;ProposalToGnatt[[#This Row],[Start Date]]+ProposalToGnatt[[#This Row],[Days]]),$G$5,"")),"")</f>
        <v/>
      </c>
      <c r="CV82" s="36" t="str">
        <f ca="1">IFERROR(+IF(CT$27=#REF!,Milestone_Marker,IF(AND(CT$27&gt;#REF!,CT$27&lt;=#REF!+#REF!),$G$5,"")),"")</f>
        <v/>
      </c>
      <c r="CW82" s="36" t="str">
        <f ca="1">IFERROR(+IF(CU$27=#REF!,Milestone_Marker,IF(AND(CU$27&gt;#REF!,CU$27&lt;=#REF!+#REF!),$G$5,"")),"")</f>
        <v/>
      </c>
    </row>
    <row r="83" spans="1:125" ht="15" x14ac:dyDescent="0.25">
      <c r="A83"/>
      <c r="B83"/>
      <c r="C83"/>
      <c r="D83"/>
      <c r="E83"/>
      <c r="F83"/>
      <c r="G83" s="14"/>
      <c r="H83" s="14"/>
      <c r="I83"/>
      <c r="J83"/>
      <c r="K83" s="246"/>
      <c r="L83"/>
      <c r="M83" s="14"/>
      <c r="N83" s="299"/>
      <c r="O83" s="281"/>
      <c r="P83" s="36" t="str">
        <f ca="1">IFERROR(+IF(Q$27=#REF!,Milestone_Marker,IF(AND(Q$27&gt;#REF!,Q$27&lt;=#REF!+#REF!),$G$5,"")),"")</f>
        <v/>
      </c>
      <c r="Q83" s="36" t="str">
        <f ca="1">IFERROR(+IF(R$27=#REF!,Milestone_Marker,IF(AND(R$27&gt;#REF!,R$27&lt;=#REF!+#REF!),$G$5,"")),"")</f>
        <v/>
      </c>
      <c r="R83" s="36" t="str">
        <f ca="1">IFERROR(+IF(S$27=#REF!,Milestone_Marker,IF(AND(S$27&gt;#REF!,S$27&lt;=#REF!+#REF!),$G$5,"")),"")</f>
        <v/>
      </c>
      <c r="S83" s="36" t="str">
        <f ca="1">IFERROR(+IF(T$27=#REF!,Milestone_Marker,IF(AND(T$27&gt;#REF!,T$27&lt;=#REF!+#REF!),$G$5,"")),"")</f>
        <v/>
      </c>
      <c r="T83" s="36" t="str">
        <f ca="1">IFERROR(+IF(U$27=#REF!,Milestone_Marker,IF(AND(U$27&gt;#REF!,U$27&lt;=#REF!+#REF!),$G$5,"")),"")</f>
        <v/>
      </c>
      <c r="U83" s="36" t="str">
        <f ca="1">IFERROR(+IF(V$27=#REF!,Milestone_Marker,IF(AND(V$27&gt;#REF!,V$27&lt;=#REF!+#REF!),$G$5,"")),"")</f>
        <v/>
      </c>
      <c r="V83" s="36" t="str">
        <f ca="1">IFERROR(+IF(W$27=#REF!,Milestone_Marker,IF(AND(W$27&gt;#REF!,W$27&lt;=#REF!+#REF!),$G$5,"")),"")</f>
        <v/>
      </c>
      <c r="W83" s="36" t="str">
        <f ca="1">IFERROR(+IF(X$27=#REF!,Milestone_Marker,IF(AND(X$27&gt;#REF!,X$27&lt;=#REF!+#REF!),$G$5,"")),"")</f>
        <v/>
      </c>
      <c r="X83" s="36" t="str">
        <f ca="1">IFERROR(+IF(Y$27=#REF!,Milestone_Marker,IF(AND(Y$27&gt;#REF!,Y$27&lt;=#REF!+#REF!),$G$5,"")),"")</f>
        <v/>
      </c>
      <c r="Y83" s="36" t="str">
        <f ca="1">IFERROR(+IF(Z$27=#REF!,Milestone_Marker,IF(AND(Z$27&gt;#REF!,Z$27&lt;=#REF!+#REF!),$G$5,"")),"")</f>
        <v/>
      </c>
      <c r="Z83" s="36" t="str">
        <f ca="1">IFERROR(+IF(AA$27=#REF!,Milestone_Marker,IF(AND(AA$27&gt;#REF!,AA$27&lt;=#REF!+#REF!),$G$5,"")),"")</f>
        <v/>
      </c>
      <c r="AA83" s="36" t="str">
        <f ca="1">IFERROR(+IF(AB$27=#REF!,Milestone_Marker,IF(AND(AB$27&gt;#REF!,AB$27&lt;=#REF!+#REF!),$G$5,"")),"")</f>
        <v/>
      </c>
      <c r="AB83" s="36" t="str">
        <f ca="1">IFERROR(+IF(AC$27=#REF!,Milestone_Marker,IF(AND(AC$27&gt;#REF!,AC$27&lt;=#REF!+#REF!),$G$5,"")),"")</f>
        <v/>
      </c>
      <c r="AC83" s="36" t="str">
        <f ca="1">IFERROR(+IF(AD$27=#REF!,Milestone_Marker,IF(AND(AD$27&gt;#REF!,AD$27&lt;=#REF!+#REF!),$G$5,"")),"")</f>
        <v/>
      </c>
      <c r="AD83" s="36" t="str">
        <f ca="1">IFERROR(+IF(AE$27=#REF!,Milestone_Marker,IF(AND(AE$27&gt;#REF!,AE$27&lt;=#REF!+#REF!),$G$5,"")),"")</f>
        <v/>
      </c>
      <c r="AE83" s="36" t="str">
        <f ca="1">IFERROR(+IF(AF$27=#REF!,Milestone_Marker,IF(AND(AF$27&gt;#REF!,AF$27&lt;=#REF!+#REF!),$G$5,"")),"")</f>
        <v/>
      </c>
      <c r="AF83" s="36" t="str">
        <f ca="1">IFERROR(+IF(AG$27=#REF!,Milestone_Marker,IF(AND(AG$27&gt;#REF!,AG$27&lt;=#REF!+#REF!),$G$5,"")),"")</f>
        <v/>
      </c>
      <c r="AG83" s="36" t="str">
        <f ca="1">IFERROR(+IF(AH$27=#REF!,Milestone_Marker,IF(AND(AH$27&gt;#REF!,AH$27&lt;=#REF!+#REF!),$G$5,"")),"")</f>
        <v/>
      </c>
      <c r="AH83" s="36" t="str">
        <f ca="1">IFERROR(+IF(AI$27=#REF!,Milestone_Marker,IF(AND(AI$27&gt;#REF!,AI$27&lt;=#REF!+#REF!),$G$5,"")),"")</f>
        <v/>
      </c>
      <c r="AI83" s="36" t="str">
        <f ca="1">IFERROR(+IF(AJ$27=#REF!,Milestone_Marker,IF(AND(AJ$27&gt;#REF!,AJ$27&lt;=#REF!+#REF!),$G$5,"")),"")</f>
        <v/>
      </c>
      <c r="AJ83" s="36" t="str">
        <f ca="1">IFERROR(+IF(AK$27=#REF!,Milestone_Marker,IF(AND(AK$27&gt;#REF!,AK$27&lt;=#REF!+#REF!),$G$5,"")),"")</f>
        <v/>
      </c>
      <c r="AK83" s="36" t="str">
        <f ca="1">IFERROR(+IF(AL$27=#REF!,Milestone_Marker,IF(AND(AL$27&gt;#REF!,AL$27&lt;=#REF!+#REF!),$G$5,"")),"")</f>
        <v/>
      </c>
      <c r="AL83" s="36" t="str">
        <f ca="1">IFERROR(+IF(AM$27=#REF!,Milestone_Marker,IF(AND(AM$27&gt;#REF!,AM$27&lt;=#REF!+#REF!),$G$5,"")),"")</f>
        <v/>
      </c>
      <c r="AM83" s="36" t="str">
        <f ca="1">IFERROR(+IF(AN$27=#REF!,Milestone_Marker,IF(AND(AN$27&gt;#REF!,AN$27&lt;=#REF!+#REF!),$G$5,"")),"")</f>
        <v/>
      </c>
      <c r="AN83" s="36" t="str">
        <f ca="1">IFERROR(+IF(AO$27=#REF!,Milestone_Marker,IF(AND(AO$27&gt;#REF!,AO$27&lt;=#REF!+#REF!),$G$5,"")),"")</f>
        <v/>
      </c>
      <c r="AO83" s="36" t="str">
        <f ca="1">IFERROR(+IF(AP$27=#REF!,Milestone_Marker,IF(AND(AP$27&gt;#REF!,AP$27&lt;=#REF!+#REF!),$G$5,"")),"")</f>
        <v/>
      </c>
      <c r="AP83" s="36" t="str">
        <f ca="1">IFERROR(+IF(AQ$27=#REF!,Milestone_Marker,IF(AND(AQ$27&gt;#REF!,AQ$27&lt;=#REF!+#REF!),$G$5,"")),"")</f>
        <v/>
      </c>
      <c r="AQ83" s="36" t="str">
        <f ca="1">IFERROR(+IF(AR$27=#REF!,Milestone_Marker,IF(AND(AR$27&gt;#REF!,AR$27&lt;=#REF!+#REF!),$G$5,"")),"")</f>
        <v/>
      </c>
      <c r="AR83" s="36" t="str">
        <f ca="1">IFERROR(+IF(AS$27=#REF!,Milestone_Marker,IF(AND(AS$27&gt;#REF!,AS$27&lt;=#REF!+#REF!),$G$5,"")),"")</f>
        <v/>
      </c>
      <c r="AS83" s="36" t="str">
        <f ca="1">IFERROR(+IF(AT$27=#REF!,Milestone_Marker,IF(AND(AT$27&gt;#REF!,AT$27&lt;=#REF!+#REF!),$G$5,"")),"")</f>
        <v/>
      </c>
      <c r="AT83" s="36" t="str">
        <f ca="1">IFERROR(+IF(AU$27=#REF!,Milestone_Marker,IF(AND(AU$27&gt;#REF!,AU$27&lt;=#REF!+#REF!),$G$5,"")),"")</f>
        <v/>
      </c>
      <c r="AU83" s="36" t="str">
        <f ca="1">IFERROR(+IF(AV$27=#REF!,Milestone_Marker,IF(AND(AV$27&gt;#REF!,AV$27&lt;=#REF!+#REF!),$G$5,"")),"")</f>
        <v/>
      </c>
      <c r="AV83" s="36" t="str">
        <f ca="1">IFERROR(+IF(AW$27=#REF!,Milestone_Marker,IF(AND(AW$27&gt;#REF!,AW$27&lt;=#REF!+#REF!),$G$5,"")),"")</f>
        <v/>
      </c>
      <c r="AW83" s="36" t="str">
        <f ca="1">IFERROR(+IF(AX$27=#REF!,Milestone_Marker,IF(AND(AX$27&gt;#REF!,AX$27&lt;=#REF!+#REF!),$G$5,"")),"")</f>
        <v/>
      </c>
      <c r="AX83" s="36" t="str">
        <f ca="1">IFERROR(+IF(AY$27=#REF!,Milestone_Marker,IF(AND(AY$27&gt;#REF!,AY$27&lt;=#REF!+#REF!),$G$5,"")),"")</f>
        <v/>
      </c>
      <c r="AY83" s="36" t="str">
        <f ca="1">IFERROR(+IF(AZ$27=#REF!,Milestone_Marker,IF(AND(AZ$27&gt;#REF!,AZ$27&lt;=#REF!+#REF!),$G$5,"")),"")</f>
        <v/>
      </c>
      <c r="AZ83" s="36" t="str">
        <f ca="1">IFERROR(+IF(BA$27=#REF!,Milestone_Marker,IF(AND(BA$27&gt;#REF!,BA$27&lt;=#REF!+#REF!),$G$5,"")),"")</f>
        <v/>
      </c>
      <c r="BA83" s="36" t="str">
        <f ca="1">IFERROR(+IF(BB$27=#REF!,Milestone_Marker,IF(AND(BB$27&gt;#REF!,BB$27&lt;=#REF!+#REF!),$G$5,"")),"")</f>
        <v/>
      </c>
      <c r="BB83" s="36" t="str">
        <f ca="1">IFERROR(+IF(BC$27=#REF!,Milestone_Marker,IF(AND(BC$27&gt;#REF!,BC$27&lt;=#REF!+#REF!),$G$5,"")),"")</f>
        <v/>
      </c>
      <c r="BC83" s="36" t="str">
        <f ca="1">IFERROR(+IF(BD$27=#REF!,Milestone_Marker,IF(AND(BD$27&gt;#REF!,BD$27&lt;=#REF!+#REF!),$G$5,"")),"")</f>
        <v/>
      </c>
      <c r="BD83" s="36" t="str">
        <f ca="1">IFERROR(+IF(BE$27=#REF!,Milestone_Marker,IF(AND(BE$27&gt;#REF!,BE$27&lt;=#REF!+#REF!),$G$5,"")),"")</f>
        <v/>
      </c>
      <c r="BE83" s="36" t="str">
        <f ca="1">IFERROR(+IF(BF$27=#REF!,Milestone_Marker,IF(AND(BF$27&gt;#REF!,BF$27&lt;=#REF!+#REF!),$G$5,"")),"")</f>
        <v/>
      </c>
      <c r="BF83" s="36" t="str">
        <f ca="1">IFERROR(+IF(BG$27=#REF!,Milestone_Marker,IF(AND(BG$27&gt;#REF!,BG$27&lt;=#REF!+#REF!),$G$5,"")),"")</f>
        <v/>
      </c>
      <c r="BG83" s="36" t="str">
        <f ca="1">IFERROR(+IF(BH$27=#REF!,Milestone_Marker,IF(AND(BH$27&gt;#REF!,BH$27&lt;=#REF!+#REF!),$G$5,"")),"")</f>
        <v/>
      </c>
      <c r="BH83" s="36" t="str">
        <f ca="1">IFERROR(+IF(BI$27=#REF!,Milestone_Marker,IF(AND(BI$27&gt;#REF!,BI$27&lt;=#REF!+#REF!),$G$5,"")),"")</f>
        <v/>
      </c>
      <c r="BI83" s="36" t="str">
        <f ca="1">IFERROR(+IF(BJ$27=#REF!,Milestone_Marker,IF(AND(BJ$27&gt;#REF!,BJ$27&lt;=#REF!+#REF!),$G$5,"")),"")</f>
        <v/>
      </c>
      <c r="BJ83" s="36" t="str">
        <f ca="1">IFERROR(+IF(BK$27=#REF!,Milestone_Marker,IF(AND(BK$27&gt;#REF!,BK$27&lt;=#REF!+#REF!),$G$5,"")),"")</f>
        <v/>
      </c>
      <c r="BK83" s="36" t="str">
        <f ca="1">IFERROR(+IF(BL$27=#REF!,Milestone_Marker,IF(AND(BL$27&gt;#REF!,BL$27&lt;=#REF!+#REF!),$G$5,"")),"")</f>
        <v/>
      </c>
      <c r="BL83" s="36" t="str">
        <f ca="1">IFERROR(+IF(BM$27=#REF!,Milestone_Marker,IF(AND(BM$27&gt;#REF!,BM$27&lt;=#REF!+#REF!),$G$5,"")),"")</f>
        <v/>
      </c>
      <c r="BM83" s="36" t="str">
        <f ca="1">IFERROR(+IF(BN$27=#REF!,Milestone_Marker,IF(AND(BN$27&gt;#REF!,BN$27&lt;=#REF!+#REF!),$G$5,"")),"")</f>
        <v/>
      </c>
      <c r="BN83" s="36" t="str">
        <f ca="1">IFERROR(+IF(BO$27=#REF!,Milestone_Marker,IF(AND(BO$27&gt;#REF!,BO$27&lt;=#REF!+#REF!),$G$5,"")),"")</f>
        <v/>
      </c>
      <c r="BO83" s="36" t="str">
        <f ca="1">IFERROR(+IF(BP$27=#REF!,Milestone_Marker,IF(AND(BP$27&gt;#REF!,BP$27&lt;=#REF!+#REF!),$G$5,"")),"")</f>
        <v/>
      </c>
      <c r="BP83" s="36" t="str">
        <f ca="1">IFERROR(+IF(BQ$27=#REF!,Milestone_Marker,IF(AND(BQ$27&gt;#REF!,BQ$27&lt;=#REF!+#REF!),$G$5,"")),"")</f>
        <v/>
      </c>
      <c r="BQ83" s="36" t="str">
        <f ca="1">IFERROR(+IF(BR$27=#REF!,Milestone_Marker,IF(AND(BR$27&gt;#REF!,BR$27&lt;=#REF!+#REF!),$G$5,"")),"")</f>
        <v/>
      </c>
      <c r="BR83" s="36" t="str">
        <f ca="1">IFERROR(+IF(BS$27=#REF!,Milestone_Marker,IF(AND(BS$27&gt;#REF!,BS$27&lt;=#REF!+#REF!),$G$5,"")),"")</f>
        <v/>
      </c>
      <c r="BS83" s="36" t="str">
        <f ca="1">IFERROR(+IF(BT$27=#REF!,Milestone_Marker,IF(AND(BT$27&gt;#REF!,BT$27&lt;=#REF!+#REF!),$G$5,"")),"")</f>
        <v/>
      </c>
      <c r="BT83" s="36" t="str">
        <f ca="1">IFERROR(+IF(BU$27=#REF!,Milestone_Marker,IF(AND(BU$27&gt;#REF!,BU$27&lt;=#REF!+#REF!),$G$5,"")),"")</f>
        <v/>
      </c>
      <c r="BU83" s="36" t="str">
        <f ca="1">IFERROR(+IF(BV$27=#REF!,Milestone_Marker,IF(AND(BV$27&gt;#REF!,BV$27&lt;=#REF!+#REF!),$G$5,"")),"")</f>
        <v/>
      </c>
      <c r="BV83" s="36" t="str">
        <f ca="1">IFERROR(+IF(BW$27=#REF!,Milestone_Marker,IF(AND(BW$27&gt;#REF!,BW$27&lt;=#REF!+#REF!),$G$5,"")),"")</f>
        <v/>
      </c>
      <c r="BW83" s="36" t="str">
        <f ca="1">IFERROR(+IF(BX$27=#REF!,Milestone_Marker,IF(AND(BX$27&gt;#REF!,BX$27&lt;=#REF!+#REF!),$G$5,"")),"")</f>
        <v/>
      </c>
      <c r="BX83" s="36" t="str">
        <f ca="1">IFERROR(+IF(BY$27=#REF!,Milestone_Marker,IF(AND(BY$27&gt;#REF!,BY$27&lt;=#REF!+#REF!),$G$5,"")),"")</f>
        <v/>
      </c>
      <c r="BY83" s="36" t="str">
        <f ca="1">IFERROR(+IF(BZ$27=#REF!,Milestone_Marker,IF(AND(BZ$27&gt;#REF!,BZ$27&lt;=#REF!+#REF!),$G$5,"")),"")</f>
        <v/>
      </c>
      <c r="BZ83" s="36" t="str">
        <f ca="1">IFERROR(+IF(CA$27=#REF!,Milestone_Marker,IF(AND(CA$27&gt;#REF!,CA$27&lt;=#REF!+#REF!),$G$5,"")),"")</f>
        <v/>
      </c>
      <c r="CA83" s="36" t="str">
        <f ca="1">IFERROR(+IF(CB$27=#REF!,Milestone_Marker,IF(AND(CB$27&gt;#REF!,CB$27&lt;=#REF!+#REF!),$G$5,"")),"")</f>
        <v/>
      </c>
      <c r="CB83" s="36" t="str">
        <f ca="1">IFERROR(+IF(CC$27=#REF!,Milestone_Marker,IF(AND(CC$27&gt;#REF!,CC$27&lt;=#REF!+#REF!),$G$5,"")),"")</f>
        <v/>
      </c>
      <c r="CC83" s="36" t="str">
        <f ca="1">IFERROR(+IF(CD$27=#REF!,Milestone_Marker,IF(AND(CD$27&gt;#REF!,CD$27&lt;=#REF!+#REF!),$G$5,"")),"")</f>
        <v/>
      </c>
      <c r="CD83" s="36" t="str">
        <f ca="1">IFERROR(+IF(CE$27=#REF!,Milestone_Marker,IF(AND(CE$27&gt;#REF!,CE$27&lt;=#REF!+#REF!),$G$5,"")),"")</f>
        <v/>
      </c>
      <c r="CE83" s="36" t="str">
        <f ca="1">IFERROR(+IF(CF$27=#REF!,Milestone_Marker,IF(AND(CF$27&gt;#REF!,CF$27&lt;=#REF!+#REF!),$G$5,"")),"")</f>
        <v/>
      </c>
      <c r="CF83" s="36" t="str">
        <f ca="1">IFERROR(+IF(CG$27=#REF!,Milestone_Marker,IF(AND(CG$27&gt;#REF!,CG$27&lt;=#REF!+#REF!),$G$5,"")),"")</f>
        <v/>
      </c>
      <c r="CG83" s="36" t="str">
        <f ca="1">IFERROR(+IF(CH$27=#REF!,Milestone_Marker,IF(AND(CH$27&gt;#REF!,CH$27&lt;=#REF!+#REF!),$G$5,"")),"")</f>
        <v/>
      </c>
      <c r="CH83" s="36" t="str">
        <f ca="1">IFERROR(+IF(CI$27=#REF!,Milestone_Marker,IF(AND(CI$27&gt;#REF!,CI$27&lt;=#REF!+#REF!),$G$5,"")),"")</f>
        <v/>
      </c>
      <c r="CI83" s="36" t="str">
        <f ca="1">IFERROR(+IF(CJ$27=#REF!,Milestone_Marker,IF(AND(CJ$27&gt;#REF!,CJ$27&lt;=#REF!+#REF!),$G$5,"")),"")</f>
        <v/>
      </c>
      <c r="CJ83" s="36" t="str">
        <f ca="1">IFERROR(+IF(CK$27=#REF!,Milestone_Marker,IF(AND(CK$27&gt;#REF!,CK$27&lt;=#REF!+#REF!),$G$5,"")),"")</f>
        <v/>
      </c>
      <c r="CK83" s="36" t="str">
        <f ca="1">IFERROR(+IF(CL$27=#REF!,Milestone_Marker,IF(AND(CL$27&gt;#REF!,CL$27&lt;=#REF!+#REF!),$G$5,"")),"")</f>
        <v/>
      </c>
      <c r="CL83" s="36" t="str">
        <f ca="1">IFERROR(+IF(CM$27=#REF!,Milestone_Marker,IF(AND(CM$27&gt;#REF!,CM$27&lt;=#REF!+#REF!),$G$5,"")),"")</f>
        <v/>
      </c>
      <c r="CM83" s="36" t="str">
        <f ca="1">IFERROR(+IF(CN$27=#REF!,Milestone_Marker,IF(AND(CN$27&gt;#REF!,CN$27&lt;=#REF!+#REF!),$G$5,"")),"")</f>
        <v/>
      </c>
      <c r="CN83" s="36" t="str">
        <f ca="1">IFERROR(+IF(CO$27=#REF!,Milestone_Marker,IF(AND(CO$27&gt;#REF!,CO$27&lt;=#REF!+#REF!),$G$5,"")),"")</f>
        <v/>
      </c>
      <c r="CO83" s="36" t="str">
        <f ca="1">IFERROR(+IF(CP$27=#REF!,Milestone_Marker,IF(AND(CP$27&gt;#REF!,CP$27&lt;=#REF!+#REF!),$G$5,"")),"")</f>
        <v/>
      </c>
      <c r="CP83" s="36" t="str">
        <f ca="1">IFERROR(+IF(CQ$27=#REF!,Milestone_Marker,IF(AND(CQ$27&gt;#REF!,CQ$27&lt;=#REF!+#REF!),$G$5,"")),"")</f>
        <v/>
      </c>
      <c r="CQ83" s="36" t="str">
        <f ca="1">IFERROR(+IF(CR$27=#REF!,Milestone_Marker,IF(AND(CR$27&gt;#REF!,CR$27&lt;=#REF!+#REF!),$G$5,"")),"")</f>
        <v/>
      </c>
      <c r="CR83" s="36" t="str">
        <f ca="1">IFERROR(+IF(CS$27=#REF!,Milestone_Marker,IF(AND(CS$27&gt;#REF!,CS$27&lt;=#REF!+#REF!),$G$5,"")),"")</f>
        <v/>
      </c>
      <c r="CS83" s="36" t="str">
        <f ca="1">IFERROR(+IF(CT$27=#REF!,Milestone_Marker,IF(AND(CT$27&gt;#REF!,CT$27&lt;=#REF!+#REF!),$G$5,"")),"")</f>
        <v/>
      </c>
      <c r="CT83" s="36" t="str">
        <f ca="1">IFERROR(+IF(CU$27=#REF!,Milestone_Marker,IF(AND(CU$27&gt;#REF!,CU$27&lt;=#REF!+#REF!),$G$5,"")),"")</f>
        <v/>
      </c>
    </row>
    <row r="84" spans="1:125" ht="15" x14ac:dyDescent="0.25">
      <c r="A84"/>
      <c r="B84"/>
      <c r="C84"/>
      <c r="D84"/>
      <c r="E84"/>
      <c r="F84"/>
      <c r="G84" s="14"/>
      <c r="H84" s="14"/>
      <c r="I84"/>
      <c r="J84"/>
      <c r="K84" s="246"/>
      <c r="L84"/>
      <c r="M84" s="14"/>
      <c r="N84" s="299"/>
      <c r="O84" s="281"/>
      <c r="P84" s="36" t="str">
        <f ca="1">IFERROR(+IF(Q$27=#REF!,Milestone_Marker,IF(AND(Q$27&gt;#REF!,Q$27&lt;=#REF!+#REF!),$G$5,"")),"")</f>
        <v/>
      </c>
      <c r="Q84" s="36" t="str">
        <f ca="1">IFERROR(+IF(R$27=#REF!,Milestone_Marker,IF(AND(R$27&gt;#REF!,R$27&lt;=#REF!+#REF!),$G$5,"")),"")</f>
        <v/>
      </c>
      <c r="R84" s="36" t="str">
        <f ca="1">IFERROR(+IF(S$27=#REF!,Milestone_Marker,IF(AND(S$27&gt;#REF!,S$27&lt;=#REF!+#REF!),$G$5,"")),"")</f>
        <v/>
      </c>
      <c r="S84" s="36" t="str">
        <f ca="1">IFERROR(+IF(T$27=#REF!,Milestone_Marker,IF(AND(T$27&gt;#REF!,T$27&lt;=#REF!+#REF!),$G$5,"")),"")</f>
        <v/>
      </c>
      <c r="T84" s="36" t="str">
        <f ca="1">IFERROR(+IF(U$27=#REF!,Milestone_Marker,IF(AND(U$27&gt;#REF!,U$27&lt;=#REF!+#REF!),$G$5,"")),"")</f>
        <v/>
      </c>
      <c r="U84" s="36" t="str">
        <f ca="1">IFERROR(+IF(V$27=#REF!,Milestone_Marker,IF(AND(V$27&gt;#REF!,V$27&lt;=#REF!+#REF!),$G$5,"")),"")</f>
        <v/>
      </c>
      <c r="V84" s="36" t="str">
        <f ca="1">IFERROR(+IF(W$27=#REF!,Milestone_Marker,IF(AND(W$27&gt;#REF!,W$27&lt;=#REF!+#REF!),$G$5,"")),"")</f>
        <v/>
      </c>
      <c r="W84" s="36" t="str">
        <f ca="1">IFERROR(+IF(X$27=#REF!,Milestone_Marker,IF(AND(X$27&gt;#REF!,X$27&lt;=#REF!+#REF!),$G$5,"")),"")</f>
        <v/>
      </c>
      <c r="X84" s="36" t="str">
        <f ca="1">IFERROR(+IF(Y$27=#REF!,Milestone_Marker,IF(AND(Y$27&gt;#REF!,Y$27&lt;=#REF!+#REF!),$G$5,"")),"")</f>
        <v/>
      </c>
      <c r="Y84" s="36" t="str">
        <f ca="1">IFERROR(+IF(Z$27=#REF!,Milestone_Marker,IF(AND(Z$27&gt;#REF!,Z$27&lt;=#REF!+#REF!),$G$5,"")),"")</f>
        <v/>
      </c>
      <c r="Z84" s="36" t="str">
        <f ca="1">IFERROR(+IF(AA$27=#REF!,Milestone_Marker,IF(AND(AA$27&gt;#REF!,AA$27&lt;=#REF!+#REF!),$G$5,"")),"")</f>
        <v/>
      </c>
      <c r="AA84" s="36" t="str">
        <f ca="1">IFERROR(+IF(AB$27=#REF!,Milestone_Marker,IF(AND(AB$27&gt;#REF!,AB$27&lt;=#REF!+#REF!),$G$5,"")),"")</f>
        <v/>
      </c>
      <c r="AB84" s="36" t="str">
        <f ca="1">IFERROR(+IF(AC$27=#REF!,Milestone_Marker,IF(AND(AC$27&gt;#REF!,AC$27&lt;=#REF!+#REF!),$G$5,"")),"")</f>
        <v/>
      </c>
      <c r="AC84" s="36" t="str">
        <f ca="1">IFERROR(+IF(AD$27=#REF!,Milestone_Marker,IF(AND(AD$27&gt;#REF!,AD$27&lt;=#REF!+#REF!),$G$5,"")),"")</f>
        <v/>
      </c>
      <c r="AD84" s="36" t="str">
        <f ca="1">IFERROR(+IF(AE$27=#REF!,Milestone_Marker,IF(AND(AE$27&gt;#REF!,AE$27&lt;=#REF!+#REF!),$G$5,"")),"")</f>
        <v/>
      </c>
      <c r="AE84" s="36" t="str">
        <f ca="1">IFERROR(+IF(AF$27=#REF!,Milestone_Marker,IF(AND(AF$27&gt;#REF!,AF$27&lt;=#REF!+#REF!),$G$5,"")),"")</f>
        <v/>
      </c>
      <c r="AF84" s="36" t="str">
        <f ca="1">IFERROR(+IF(AG$27=#REF!,Milestone_Marker,IF(AND(AG$27&gt;#REF!,AG$27&lt;=#REF!+#REF!),$G$5,"")),"")</f>
        <v/>
      </c>
      <c r="AG84" s="36" t="str">
        <f ca="1">IFERROR(+IF(AH$27=#REF!,Milestone_Marker,IF(AND(AH$27&gt;#REF!,AH$27&lt;=#REF!+#REF!),$G$5,"")),"")</f>
        <v/>
      </c>
      <c r="AH84" s="36" t="str">
        <f ca="1">IFERROR(+IF(AI$27=#REF!,Milestone_Marker,IF(AND(AI$27&gt;#REF!,AI$27&lt;=#REF!+#REF!),$G$5,"")),"")</f>
        <v/>
      </c>
      <c r="AI84" s="36" t="str">
        <f ca="1">IFERROR(+IF(AJ$27=#REF!,Milestone_Marker,IF(AND(AJ$27&gt;#REF!,AJ$27&lt;=#REF!+#REF!),$G$5,"")),"")</f>
        <v/>
      </c>
      <c r="AJ84" s="36" t="str">
        <f ca="1">IFERROR(+IF(AK$27=#REF!,Milestone_Marker,IF(AND(AK$27&gt;#REF!,AK$27&lt;=#REF!+#REF!),$G$5,"")),"")</f>
        <v/>
      </c>
      <c r="AK84" s="36" t="str">
        <f ca="1">IFERROR(+IF(AL$27=#REF!,Milestone_Marker,IF(AND(AL$27&gt;#REF!,AL$27&lt;=#REF!+#REF!),$G$5,"")),"")</f>
        <v/>
      </c>
      <c r="AL84" s="36" t="str">
        <f ca="1">IFERROR(+IF(AM$27=#REF!,Milestone_Marker,IF(AND(AM$27&gt;#REF!,AM$27&lt;=#REF!+#REF!),$G$5,"")),"")</f>
        <v/>
      </c>
      <c r="AM84" s="36" t="str">
        <f ca="1">IFERROR(+IF(AN$27=#REF!,Milestone_Marker,IF(AND(AN$27&gt;#REF!,AN$27&lt;=#REF!+#REF!),$G$5,"")),"")</f>
        <v/>
      </c>
      <c r="AN84" s="36" t="str">
        <f ca="1">IFERROR(+IF(AO$27=#REF!,Milestone_Marker,IF(AND(AO$27&gt;#REF!,AO$27&lt;=#REF!+#REF!),$G$5,"")),"")</f>
        <v/>
      </c>
      <c r="AO84" s="36" t="str">
        <f ca="1">IFERROR(+IF(AP$27=#REF!,Milestone_Marker,IF(AND(AP$27&gt;#REF!,AP$27&lt;=#REF!+#REF!),$G$5,"")),"")</f>
        <v/>
      </c>
      <c r="AP84" s="36" t="str">
        <f ca="1">IFERROR(+IF(AQ$27=#REF!,Milestone_Marker,IF(AND(AQ$27&gt;#REF!,AQ$27&lt;=#REF!+#REF!),$G$5,"")),"")</f>
        <v/>
      </c>
      <c r="AQ84" s="36" t="str">
        <f ca="1">IFERROR(+IF(AR$27=#REF!,Milestone_Marker,IF(AND(AR$27&gt;#REF!,AR$27&lt;=#REF!+#REF!),$G$5,"")),"")</f>
        <v/>
      </c>
      <c r="AR84" s="36" t="str">
        <f ca="1">IFERROR(+IF(AS$27=#REF!,Milestone_Marker,IF(AND(AS$27&gt;#REF!,AS$27&lt;=#REF!+#REF!),$G$5,"")),"")</f>
        <v/>
      </c>
      <c r="AS84" s="36" t="str">
        <f ca="1">IFERROR(+IF(AT$27=#REF!,Milestone_Marker,IF(AND(AT$27&gt;#REF!,AT$27&lt;=#REF!+#REF!),$G$5,"")),"")</f>
        <v/>
      </c>
      <c r="AT84" s="36" t="str">
        <f ca="1">IFERROR(+IF(AU$27=#REF!,Milestone_Marker,IF(AND(AU$27&gt;#REF!,AU$27&lt;=#REF!+#REF!),$G$5,"")),"")</f>
        <v/>
      </c>
      <c r="AU84" s="36" t="str">
        <f ca="1">IFERROR(+IF(AV$27=#REF!,Milestone_Marker,IF(AND(AV$27&gt;#REF!,AV$27&lt;=#REF!+#REF!),$G$5,"")),"")</f>
        <v/>
      </c>
      <c r="AV84" s="36" t="str">
        <f ca="1">IFERROR(+IF(AW$27=#REF!,Milestone_Marker,IF(AND(AW$27&gt;#REF!,AW$27&lt;=#REF!+#REF!),$G$5,"")),"")</f>
        <v/>
      </c>
      <c r="AW84" s="36" t="str">
        <f ca="1">IFERROR(+IF(AX$27=#REF!,Milestone_Marker,IF(AND(AX$27&gt;#REF!,AX$27&lt;=#REF!+#REF!),$G$5,"")),"")</f>
        <v/>
      </c>
      <c r="AX84" s="36" t="str">
        <f ca="1">IFERROR(+IF(AY$27=#REF!,Milestone_Marker,IF(AND(AY$27&gt;#REF!,AY$27&lt;=#REF!+#REF!),$G$5,"")),"")</f>
        <v/>
      </c>
      <c r="AY84" s="36" t="str">
        <f ca="1">IFERROR(+IF(AZ$27=#REF!,Milestone_Marker,IF(AND(AZ$27&gt;#REF!,AZ$27&lt;=#REF!+#REF!),$G$5,"")),"")</f>
        <v/>
      </c>
      <c r="AZ84" s="36" t="str">
        <f ca="1">IFERROR(+IF(BA$27=#REF!,Milestone_Marker,IF(AND(BA$27&gt;#REF!,BA$27&lt;=#REF!+#REF!),$G$5,"")),"")</f>
        <v/>
      </c>
      <c r="BA84" s="36" t="str">
        <f ca="1">IFERROR(+IF(BB$27=#REF!,Milestone_Marker,IF(AND(BB$27&gt;#REF!,BB$27&lt;=#REF!+#REF!),$G$5,"")),"")</f>
        <v/>
      </c>
      <c r="BB84" s="36" t="str">
        <f ca="1">IFERROR(+IF(BC$27=#REF!,Milestone_Marker,IF(AND(BC$27&gt;#REF!,BC$27&lt;=#REF!+#REF!),$G$5,"")),"")</f>
        <v/>
      </c>
      <c r="BC84" s="36" t="str">
        <f ca="1">IFERROR(+IF(BD$27=#REF!,Milestone_Marker,IF(AND(BD$27&gt;#REF!,BD$27&lt;=#REF!+#REF!),$G$5,"")),"")</f>
        <v/>
      </c>
      <c r="BD84" s="36" t="str">
        <f ca="1">IFERROR(+IF(BE$27=#REF!,Milestone_Marker,IF(AND(BE$27&gt;#REF!,BE$27&lt;=#REF!+#REF!),$G$5,"")),"")</f>
        <v/>
      </c>
      <c r="BE84" s="36" t="str">
        <f ca="1">IFERROR(+IF(BF$27=#REF!,Milestone_Marker,IF(AND(BF$27&gt;#REF!,BF$27&lt;=#REF!+#REF!),$G$5,"")),"")</f>
        <v/>
      </c>
      <c r="BF84" s="36" t="str">
        <f ca="1">IFERROR(+IF(BG$27=#REF!,Milestone_Marker,IF(AND(BG$27&gt;#REF!,BG$27&lt;=#REF!+#REF!),$G$5,"")),"")</f>
        <v/>
      </c>
      <c r="BG84" s="36" t="str">
        <f ca="1">IFERROR(+IF(BH$27=#REF!,Milestone_Marker,IF(AND(BH$27&gt;#REF!,BH$27&lt;=#REF!+#REF!),$G$5,"")),"")</f>
        <v/>
      </c>
      <c r="BH84" s="36" t="str">
        <f ca="1">IFERROR(+IF(BI$27=#REF!,Milestone_Marker,IF(AND(BI$27&gt;#REF!,BI$27&lt;=#REF!+#REF!),$G$5,"")),"")</f>
        <v/>
      </c>
      <c r="BI84" s="36" t="str">
        <f ca="1">IFERROR(+IF(BJ$27=#REF!,Milestone_Marker,IF(AND(BJ$27&gt;#REF!,BJ$27&lt;=#REF!+#REF!),$G$5,"")),"")</f>
        <v/>
      </c>
      <c r="BJ84" s="36" t="str">
        <f ca="1">IFERROR(+IF(BK$27=#REF!,Milestone_Marker,IF(AND(BK$27&gt;#REF!,BK$27&lt;=#REF!+#REF!),$G$5,"")),"")</f>
        <v/>
      </c>
      <c r="BK84" s="36" t="str">
        <f ca="1">IFERROR(+IF(BL$27=#REF!,Milestone_Marker,IF(AND(BL$27&gt;#REF!,BL$27&lt;=#REF!+#REF!),$G$5,"")),"")</f>
        <v/>
      </c>
      <c r="BL84" s="36" t="str">
        <f ca="1">IFERROR(+IF(BM$27=#REF!,Milestone_Marker,IF(AND(BM$27&gt;#REF!,BM$27&lt;=#REF!+#REF!),$G$5,"")),"")</f>
        <v/>
      </c>
      <c r="BM84" s="36" t="str">
        <f ca="1">IFERROR(+IF(BN$27=#REF!,Milestone_Marker,IF(AND(BN$27&gt;#REF!,BN$27&lt;=#REF!+#REF!),$G$5,"")),"")</f>
        <v/>
      </c>
      <c r="BN84" s="36" t="str">
        <f ca="1">IFERROR(+IF(BO$27=#REF!,Milestone_Marker,IF(AND(BO$27&gt;#REF!,BO$27&lt;=#REF!+#REF!),$G$5,"")),"")</f>
        <v/>
      </c>
      <c r="BO84" s="36" t="str">
        <f ca="1">IFERROR(+IF(BP$27=#REF!,Milestone_Marker,IF(AND(BP$27&gt;#REF!,BP$27&lt;=#REF!+#REF!),$G$5,"")),"")</f>
        <v/>
      </c>
      <c r="BP84" s="36" t="str">
        <f ca="1">IFERROR(+IF(BQ$27=#REF!,Milestone_Marker,IF(AND(BQ$27&gt;#REF!,BQ$27&lt;=#REF!+#REF!),$G$5,"")),"")</f>
        <v/>
      </c>
      <c r="BQ84" s="36" t="str">
        <f ca="1">IFERROR(+IF(BR$27=#REF!,Milestone_Marker,IF(AND(BR$27&gt;#REF!,BR$27&lt;=#REF!+#REF!),$G$5,"")),"")</f>
        <v/>
      </c>
      <c r="BR84" s="36" t="str">
        <f ca="1">IFERROR(+IF(BS$27=#REF!,Milestone_Marker,IF(AND(BS$27&gt;#REF!,BS$27&lt;=#REF!+#REF!),$G$5,"")),"")</f>
        <v/>
      </c>
      <c r="BS84" s="36" t="str">
        <f ca="1">IFERROR(+IF(BT$27=#REF!,Milestone_Marker,IF(AND(BT$27&gt;#REF!,BT$27&lt;=#REF!+#REF!),$G$5,"")),"")</f>
        <v/>
      </c>
      <c r="BT84" s="36" t="str">
        <f ca="1">IFERROR(+IF(BU$27=#REF!,Milestone_Marker,IF(AND(BU$27&gt;#REF!,BU$27&lt;=#REF!+#REF!),$G$5,"")),"")</f>
        <v/>
      </c>
      <c r="BU84" s="36" t="str">
        <f ca="1">IFERROR(+IF(BV$27=#REF!,Milestone_Marker,IF(AND(BV$27&gt;#REF!,BV$27&lt;=#REF!+#REF!),$G$5,"")),"")</f>
        <v/>
      </c>
      <c r="BV84" s="36" t="str">
        <f ca="1">IFERROR(+IF(BW$27=#REF!,Milestone_Marker,IF(AND(BW$27&gt;#REF!,BW$27&lt;=#REF!+#REF!),$G$5,"")),"")</f>
        <v/>
      </c>
      <c r="BW84" s="36" t="str">
        <f ca="1">IFERROR(+IF(BX$27=#REF!,Milestone_Marker,IF(AND(BX$27&gt;#REF!,BX$27&lt;=#REF!+#REF!),$G$5,"")),"")</f>
        <v/>
      </c>
      <c r="BX84" s="36" t="str">
        <f ca="1">IFERROR(+IF(BY$27=#REF!,Milestone_Marker,IF(AND(BY$27&gt;#REF!,BY$27&lt;=#REF!+#REF!),$G$5,"")),"")</f>
        <v/>
      </c>
      <c r="BY84" s="36" t="str">
        <f ca="1">IFERROR(+IF(BZ$27=#REF!,Milestone_Marker,IF(AND(BZ$27&gt;#REF!,BZ$27&lt;=#REF!+#REF!),$G$5,"")),"")</f>
        <v/>
      </c>
      <c r="BZ84" s="36" t="str">
        <f ca="1">IFERROR(+IF(CA$27=#REF!,Milestone_Marker,IF(AND(CA$27&gt;#REF!,CA$27&lt;=#REF!+#REF!),$G$5,"")),"")</f>
        <v/>
      </c>
      <c r="CA84" s="36" t="str">
        <f ca="1">IFERROR(+IF(CB$27=#REF!,Milestone_Marker,IF(AND(CB$27&gt;#REF!,CB$27&lt;=#REF!+#REF!),$G$5,"")),"")</f>
        <v/>
      </c>
      <c r="CB84" s="36" t="str">
        <f ca="1">IFERROR(+IF(CC$27=#REF!,Milestone_Marker,IF(AND(CC$27&gt;#REF!,CC$27&lt;=#REF!+#REF!),$G$5,"")),"")</f>
        <v/>
      </c>
      <c r="CC84" s="36" t="str">
        <f ca="1">IFERROR(+IF(CD$27=#REF!,Milestone_Marker,IF(AND(CD$27&gt;#REF!,CD$27&lt;=#REF!+#REF!),$G$5,"")),"")</f>
        <v/>
      </c>
      <c r="CD84" s="36" t="str">
        <f ca="1">IFERROR(+IF(CE$27=#REF!,Milestone_Marker,IF(AND(CE$27&gt;#REF!,CE$27&lt;=#REF!+#REF!),$G$5,"")),"")</f>
        <v/>
      </c>
      <c r="CE84" s="36" t="str">
        <f ca="1">IFERROR(+IF(CF$27=#REF!,Milestone_Marker,IF(AND(CF$27&gt;#REF!,CF$27&lt;=#REF!+#REF!),$G$5,"")),"")</f>
        <v/>
      </c>
      <c r="CF84" s="36" t="str">
        <f ca="1">IFERROR(+IF(CG$27=#REF!,Milestone_Marker,IF(AND(CG$27&gt;#REF!,CG$27&lt;=#REF!+#REF!),$G$5,"")),"")</f>
        <v/>
      </c>
      <c r="CG84" s="36" t="str">
        <f ca="1">IFERROR(+IF(CH$27=#REF!,Milestone_Marker,IF(AND(CH$27&gt;#REF!,CH$27&lt;=#REF!+#REF!),$G$5,"")),"")</f>
        <v/>
      </c>
      <c r="CH84" s="36" t="str">
        <f ca="1">IFERROR(+IF(CI$27=#REF!,Milestone_Marker,IF(AND(CI$27&gt;#REF!,CI$27&lt;=#REF!+#REF!),$G$5,"")),"")</f>
        <v/>
      </c>
      <c r="CI84" s="36" t="str">
        <f ca="1">IFERROR(+IF(CJ$27=#REF!,Milestone_Marker,IF(AND(CJ$27&gt;#REF!,CJ$27&lt;=#REF!+#REF!),$G$5,"")),"")</f>
        <v/>
      </c>
      <c r="CJ84" s="36" t="str">
        <f ca="1">IFERROR(+IF(CK$27=#REF!,Milestone_Marker,IF(AND(CK$27&gt;#REF!,CK$27&lt;=#REF!+#REF!),$G$5,"")),"")</f>
        <v/>
      </c>
      <c r="CK84" s="36" t="str">
        <f ca="1">IFERROR(+IF(CL$27=#REF!,Milestone_Marker,IF(AND(CL$27&gt;#REF!,CL$27&lt;=#REF!+#REF!),$G$5,"")),"")</f>
        <v/>
      </c>
      <c r="CL84" s="36" t="str">
        <f ca="1">IFERROR(+IF(CM$27=#REF!,Milestone_Marker,IF(AND(CM$27&gt;#REF!,CM$27&lt;=#REF!+#REF!),$G$5,"")),"")</f>
        <v/>
      </c>
      <c r="CM84" s="36" t="str">
        <f ca="1">IFERROR(+IF(CN$27=#REF!,Milestone_Marker,IF(AND(CN$27&gt;#REF!,CN$27&lt;=#REF!+#REF!),$G$5,"")),"")</f>
        <v/>
      </c>
      <c r="CN84" s="36" t="str">
        <f ca="1">IFERROR(+IF(CO$27=#REF!,Milestone_Marker,IF(AND(CO$27&gt;#REF!,CO$27&lt;=#REF!+#REF!),$G$5,"")),"")</f>
        <v/>
      </c>
      <c r="CO84" s="36" t="str">
        <f ca="1">IFERROR(+IF(CP$27=#REF!,Milestone_Marker,IF(AND(CP$27&gt;#REF!,CP$27&lt;=#REF!+#REF!),$G$5,"")),"")</f>
        <v/>
      </c>
      <c r="CP84" s="36" t="str">
        <f ca="1">IFERROR(+IF(CQ$27=#REF!,Milestone_Marker,IF(AND(CQ$27&gt;#REF!,CQ$27&lt;=#REF!+#REF!),$G$5,"")),"")</f>
        <v/>
      </c>
      <c r="CQ84" s="36" t="str">
        <f ca="1">IFERROR(+IF(CR$27=#REF!,Milestone_Marker,IF(AND(CR$27&gt;#REF!,CR$27&lt;=#REF!+#REF!),$G$5,"")),"")</f>
        <v/>
      </c>
      <c r="CR84" s="36" t="str">
        <f ca="1">IFERROR(+IF(CS$27=#REF!,Milestone_Marker,IF(AND(CS$27&gt;#REF!,CS$27&lt;=#REF!+#REF!),$G$5,"")),"")</f>
        <v/>
      </c>
      <c r="CS84" s="36" t="str">
        <f ca="1">IFERROR(+IF(CT$27=#REF!,Milestone_Marker,IF(AND(CT$27&gt;#REF!,CT$27&lt;=#REF!+#REF!),$G$5,"")),"")</f>
        <v/>
      </c>
      <c r="CT84" s="36" t="str">
        <f ca="1">IFERROR(+IF(CU$27=#REF!,Milestone_Marker,IF(AND(CU$27&gt;#REF!,CU$27&lt;=#REF!+#REF!),$G$5,"")),"")</f>
        <v/>
      </c>
    </row>
    <row r="85" spans="1:125" ht="15" x14ac:dyDescent="0.25">
      <c r="A85"/>
      <c r="B85"/>
      <c r="C85"/>
      <c r="D85"/>
      <c r="E85"/>
      <c r="F85"/>
      <c r="G85" s="14"/>
      <c r="H85" s="14"/>
      <c r="I85"/>
      <c r="J85"/>
      <c r="K85" s="246"/>
      <c r="L85"/>
      <c r="M85" s="14"/>
      <c r="N85" s="299"/>
      <c r="O85" s="281"/>
      <c r="P85" s="36" t="str">
        <f ca="1">IFERROR(+IF(Q$27=#REF!,Milestone_Marker,IF(AND(Q$27&gt;#REF!,Q$27&lt;=#REF!+#REF!),$G$5,"")),"")</f>
        <v/>
      </c>
      <c r="Q85" s="36" t="str">
        <f ca="1">IFERROR(+IF(R$27=#REF!,Milestone_Marker,IF(AND(R$27&gt;#REF!,R$27&lt;=#REF!+#REF!),$G$5,"")),"")</f>
        <v/>
      </c>
      <c r="R85" s="36" t="str">
        <f ca="1">IFERROR(+IF(S$27=#REF!,Milestone_Marker,IF(AND(S$27&gt;#REF!,S$27&lt;=#REF!+#REF!),$G$5,"")),"")</f>
        <v/>
      </c>
      <c r="S85" s="36" t="str">
        <f ca="1">IFERROR(+IF(T$27=#REF!,Milestone_Marker,IF(AND(T$27&gt;#REF!,T$27&lt;=#REF!+#REF!),$G$5,"")),"")</f>
        <v/>
      </c>
      <c r="T85" s="36" t="str">
        <f ca="1">IFERROR(+IF(U$27=#REF!,Milestone_Marker,IF(AND(U$27&gt;#REF!,U$27&lt;=#REF!+#REF!),$G$5,"")),"")</f>
        <v/>
      </c>
      <c r="U85" s="36" t="str">
        <f ca="1">IFERROR(+IF(V$27=#REF!,Milestone_Marker,IF(AND(V$27&gt;#REF!,V$27&lt;=#REF!+#REF!),$G$5,"")),"")</f>
        <v/>
      </c>
      <c r="V85" s="36" t="str">
        <f ca="1">IFERROR(+IF(W$27=#REF!,Milestone_Marker,IF(AND(W$27&gt;#REF!,W$27&lt;=#REF!+#REF!),$G$5,"")),"")</f>
        <v/>
      </c>
      <c r="W85" s="36" t="str">
        <f ca="1">IFERROR(+IF(X$27=#REF!,Milestone_Marker,IF(AND(X$27&gt;#REF!,X$27&lt;=#REF!+#REF!),$G$5,"")),"")</f>
        <v/>
      </c>
      <c r="X85" s="36" t="str">
        <f ca="1">IFERROR(+IF(Y$27=#REF!,Milestone_Marker,IF(AND(Y$27&gt;#REF!,Y$27&lt;=#REF!+#REF!),$G$5,"")),"")</f>
        <v/>
      </c>
      <c r="Y85" s="36" t="str">
        <f ca="1">IFERROR(+IF(Z$27=#REF!,Milestone_Marker,IF(AND(Z$27&gt;#REF!,Z$27&lt;=#REF!+#REF!),$G$5,"")),"")</f>
        <v/>
      </c>
      <c r="Z85" s="36" t="str">
        <f ca="1">IFERROR(+IF(AA$27=#REF!,Milestone_Marker,IF(AND(AA$27&gt;#REF!,AA$27&lt;=#REF!+#REF!),$G$5,"")),"")</f>
        <v/>
      </c>
      <c r="AA85" s="36" t="str">
        <f ca="1">IFERROR(+IF(AB$27=#REF!,Milestone_Marker,IF(AND(AB$27&gt;#REF!,AB$27&lt;=#REF!+#REF!),$G$5,"")),"")</f>
        <v/>
      </c>
      <c r="AB85" s="36" t="str">
        <f ca="1">IFERROR(+IF(AC$27=#REF!,Milestone_Marker,IF(AND(AC$27&gt;#REF!,AC$27&lt;=#REF!+#REF!),$G$5,"")),"")</f>
        <v/>
      </c>
      <c r="AC85" s="36" t="str">
        <f ca="1">IFERROR(+IF(AD$27=#REF!,Milestone_Marker,IF(AND(AD$27&gt;#REF!,AD$27&lt;=#REF!+#REF!),$G$5,"")),"")</f>
        <v/>
      </c>
      <c r="AD85" s="36" t="str">
        <f ca="1">IFERROR(+IF(AE$27=#REF!,Milestone_Marker,IF(AND(AE$27&gt;#REF!,AE$27&lt;=#REF!+#REF!),$G$5,"")),"")</f>
        <v/>
      </c>
      <c r="AE85" s="36" t="str">
        <f ca="1">IFERROR(+IF(AF$27=#REF!,Milestone_Marker,IF(AND(AF$27&gt;#REF!,AF$27&lt;=#REF!+#REF!),$G$5,"")),"")</f>
        <v/>
      </c>
      <c r="AF85" s="36" t="str">
        <f ca="1">IFERROR(+IF(AG$27=#REF!,Milestone_Marker,IF(AND(AG$27&gt;#REF!,AG$27&lt;=#REF!+#REF!),$G$5,"")),"")</f>
        <v/>
      </c>
      <c r="AG85" s="36" t="str">
        <f ca="1">IFERROR(+IF(AH$27=#REF!,Milestone_Marker,IF(AND(AH$27&gt;#REF!,AH$27&lt;=#REF!+#REF!),$G$5,"")),"")</f>
        <v/>
      </c>
      <c r="AH85" s="36" t="str">
        <f ca="1">IFERROR(+IF(AI$27=#REF!,Milestone_Marker,IF(AND(AI$27&gt;#REF!,AI$27&lt;=#REF!+#REF!),$G$5,"")),"")</f>
        <v/>
      </c>
      <c r="AI85" s="36" t="str">
        <f ca="1">IFERROR(+IF(AJ$27=#REF!,Milestone_Marker,IF(AND(AJ$27&gt;#REF!,AJ$27&lt;=#REF!+#REF!),$G$5,"")),"")</f>
        <v/>
      </c>
      <c r="AJ85" s="36" t="str">
        <f ca="1">IFERROR(+IF(AK$27=#REF!,Milestone_Marker,IF(AND(AK$27&gt;#REF!,AK$27&lt;=#REF!+#REF!),$G$5,"")),"")</f>
        <v/>
      </c>
      <c r="AK85" s="36" t="str">
        <f ca="1">IFERROR(+IF(AL$27=#REF!,Milestone_Marker,IF(AND(AL$27&gt;#REF!,AL$27&lt;=#REF!+#REF!),$G$5,"")),"")</f>
        <v/>
      </c>
      <c r="AL85" s="36" t="str">
        <f ca="1">IFERROR(+IF(AM$27=#REF!,Milestone_Marker,IF(AND(AM$27&gt;#REF!,AM$27&lt;=#REF!+#REF!),$G$5,"")),"")</f>
        <v/>
      </c>
      <c r="AM85" s="36" t="str">
        <f ca="1">IFERROR(+IF(AN$27=#REF!,Milestone_Marker,IF(AND(AN$27&gt;#REF!,AN$27&lt;=#REF!+#REF!),$G$5,"")),"")</f>
        <v/>
      </c>
      <c r="AN85" s="36" t="str">
        <f ca="1">IFERROR(+IF(AO$27=#REF!,Milestone_Marker,IF(AND(AO$27&gt;#REF!,AO$27&lt;=#REF!+#REF!),$G$5,"")),"")</f>
        <v/>
      </c>
      <c r="AO85" s="36" t="str">
        <f ca="1">IFERROR(+IF(AP$27=#REF!,Milestone_Marker,IF(AND(AP$27&gt;#REF!,AP$27&lt;=#REF!+#REF!),$G$5,"")),"")</f>
        <v/>
      </c>
      <c r="AP85" s="36" t="str">
        <f ca="1">IFERROR(+IF(AQ$27=#REF!,Milestone_Marker,IF(AND(AQ$27&gt;#REF!,AQ$27&lt;=#REF!+#REF!),$G$5,"")),"")</f>
        <v/>
      </c>
      <c r="AQ85" s="36" t="str">
        <f ca="1">IFERROR(+IF(AR$27=#REF!,Milestone_Marker,IF(AND(AR$27&gt;#REF!,AR$27&lt;=#REF!+#REF!),$G$5,"")),"")</f>
        <v/>
      </c>
      <c r="AR85" s="36" t="str">
        <f ca="1">IFERROR(+IF(AS$27=#REF!,Milestone_Marker,IF(AND(AS$27&gt;#REF!,AS$27&lt;=#REF!+#REF!),$G$5,"")),"")</f>
        <v/>
      </c>
      <c r="AS85" s="36" t="str">
        <f ca="1">IFERROR(+IF(AT$27=#REF!,Milestone_Marker,IF(AND(AT$27&gt;#REF!,AT$27&lt;=#REF!+#REF!),$G$5,"")),"")</f>
        <v/>
      </c>
      <c r="AT85" s="36" t="str">
        <f ca="1">IFERROR(+IF(AU$27=#REF!,Milestone_Marker,IF(AND(AU$27&gt;#REF!,AU$27&lt;=#REF!+#REF!),$G$5,"")),"")</f>
        <v/>
      </c>
      <c r="AU85" s="36" t="str">
        <f ca="1">IFERROR(+IF(AV$27=#REF!,Milestone_Marker,IF(AND(AV$27&gt;#REF!,AV$27&lt;=#REF!+#REF!),$G$5,"")),"")</f>
        <v/>
      </c>
      <c r="AV85" s="36" t="str">
        <f ca="1">IFERROR(+IF(AW$27=#REF!,Milestone_Marker,IF(AND(AW$27&gt;#REF!,AW$27&lt;=#REF!+#REF!),$G$5,"")),"")</f>
        <v/>
      </c>
      <c r="AW85" s="36" t="str">
        <f ca="1">IFERROR(+IF(AX$27=#REF!,Milestone_Marker,IF(AND(AX$27&gt;#REF!,AX$27&lt;=#REF!+#REF!),$G$5,"")),"")</f>
        <v/>
      </c>
      <c r="AX85" s="36" t="str">
        <f ca="1">IFERROR(+IF(AY$27=#REF!,Milestone_Marker,IF(AND(AY$27&gt;#REF!,AY$27&lt;=#REF!+#REF!),$G$5,"")),"")</f>
        <v/>
      </c>
      <c r="AY85" s="36" t="str">
        <f ca="1">IFERROR(+IF(AZ$27=#REF!,Milestone_Marker,IF(AND(AZ$27&gt;#REF!,AZ$27&lt;=#REF!+#REF!),$G$5,"")),"")</f>
        <v/>
      </c>
      <c r="AZ85" s="36" t="str">
        <f ca="1">IFERROR(+IF(BA$27=#REF!,Milestone_Marker,IF(AND(BA$27&gt;#REF!,BA$27&lt;=#REF!+#REF!),$G$5,"")),"")</f>
        <v/>
      </c>
      <c r="BA85" s="36" t="str">
        <f ca="1">IFERROR(+IF(BB$27=#REF!,Milestone_Marker,IF(AND(BB$27&gt;#REF!,BB$27&lt;=#REF!+#REF!),$G$5,"")),"")</f>
        <v/>
      </c>
      <c r="BB85" s="36" t="str">
        <f ca="1">IFERROR(+IF(BC$27=#REF!,Milestone_Marker,IF(AND(BC$27&gt;#REF!,BC$27&lt;=#REF!+#REF!),$G$5,"")),"")</f>
        <v/>
      </c>
      <c r="BC85" s="36" t="str">
        <f ca="1">IFERROR(+IF(BD$27=#REF!,Milestone_Marker,IF(AND(BD$27&gt;#REF!,BD$27&lt;=#REF!+#REF!),$G$5,"")),"")</f>
        <v/>
      </c>
      <c r="BD85" s="36" t="str">
        <f ca="1">IFERROR(+IF(BE$27=#REF!,Milestone_Marker,IF(AND(BE$27&gt;#REF!,BE$27&lt;=#REF!+#REF!),$G$5,"")),"")</f>
        <v/>
      </c>
      <c r="BE85" s="36" t="str">
        <f ca="1">IFERROR(+IF(BF$27=#REF!,Milestone_Marker,IF(AND(BF$27&gt;#REF!,BF$27&lt;=#REF!+#REF!),$G$5,"")),"")</f>
        <v/>
      </c>
      <c r="BF85" s="36" t="str">
        <f ca="1">IFERROR(+IF(BG$27=#REF!,Milestone_Marker,IF(AND(BG$27&gt;#REF!,BG$27&lt;=#REF!+#REF!),$G$5,"")),"")</f>
        <v/>
      </c>
      <c r="BG85" s="36" t="str">
        <f ca="1">IFERROR(+IF(BH$27=#REF!,Milestone_Marker,IF(AND(BH$27&gt;#REF!,BH$27&lt;=#REF!+#REF!),$G$5,"")),"")</f>
        <v/>
      </c>
      <c r="BH85" s="36" t="str">
        <f ca="1">IFERROR(+IF(BI$27=#REF!,Milestone_Marker,IF(AND(BI$27&gt;#REF!,BI$27&lt;=#REF!+#REF!),$G$5,"")),"")</f>
        <v/>
      </c>
      <c r="BI85" s="36" t="str">
        <f ca="1">IFERROR(+IF(BJ$27=#REF!,Milestone_Marker,IF(AND(BJ$27&gt;#REF!,BJ$27&lt;=#REF!+#REF!),$G$5,"")),"")</f>
        <v/>
      </c>
      <c r="BJ85" s="36" t="str">
        <f ca="1">IFERROR(+IF(BK$27=#REF!,Milestone_Marker,IF(AND(BK$27&gt;#REF!,BK$27&lt;=#REF!+#REF!),$G$5,"")),"")</f>
        <v/>
      </c>
      <c r="BK85" s="36" t="str">
        <f ca="1">IFERROR(+IF(BL$27=#REF!,Milestone_Marker,IF(AND(BL$27&gt;#REF!,BL$27&lt;=#REF!+#REF!),$G$5,"")),"")</f>
        <v/>
      </c>
      <c r="BL85" s="36" t="str">
        <f ca="1">IFERROR(+IF(BM$27=#REF!,Milestone_Marker,IF(AND(BM$27&gt;#REF!,BM$27&lt;=#REF!+#REF!),$G$5,"")),"")</f>
        <v/>
      </c>
      <c r="BM85" s="36" t="str">
        <f ca="1">IFERROR(+IF(BN$27=#REF!,Milestone_Marker,IF(AND(BN$27&gt;#REF!,BN$27&lt;=#REF!+#REF!),$G$5,"")),"")</f>
        <v/>
      </c>
      <c r="BN85" s="36" t="str">
        <f ca="1">IFERROR(+IF(BO$27=#REF!,Milestone_Marker,IF(AND(BO$27&gt;#REF!,BO$27&lt;=#REF!+#REF!),$G$5,"")),"")</f>
        <v/>
      </c>
      <c r="BO85" s="36" t="str">
        <f ca="1">IFERROR(+IF(BP$27=#REF!,Milestone_Marker,IF(AND(BP$27&gt;#REF!,BP$27&lt;=#REF!+#REF!),$G$5,"")),"")</f>
        <v/>
      </c>
      <c r="BP85" s="36" t="str">
        <f ca="1">IFERROR(+IF(BQ$27=#REF!,Milestone_Marker,IF(AND(BQ$27&gt;#REF!,BQ$27&lt;=#REF!+#REF!),$G$5,"")),"")</f>
        <v/>
      </c>
      <c r="BQ85" s="36" t="str">
        <f ca="1">IFERROR(+IF(BR$27=#REF!,Milestone_Marker,IF(AND(BR$27&gt;#REF!,BR$27&lt;=#REF!+#REF!),$G$5,"")),"")</f>
        <v/>
      </c>
      <c r="BR85" s="36" t="str">
        <f ca="1">IFERROR(+IF(BS$27=#REF!,Milestone_Marker,IF(AND(BS$27&gt;#REF!,BS$27&lt;=#REF!+#REF!),$G$5,"")),"")</f>
        <v/>
      </c>
      <c r="BS85" s="36" t="str">
        <f ca="1">IFERROR(+IF(BT$27=#REF!,Milestone_Marker,IF(AND(BT$27&gt;#REF!,BT$27&lt;=#REF!+#REF!),$G$5,"")),"")</f>
        <v/>
      </c>
      <c r="BT85" s="36" t="str">
        <f ca="1">IFERROR(+IF(BU$27=#REF!,Milestone_Marker,IF(AND(BU$27&gt;#REF!,BU$27&lt;=#REF!+#REF!),$G$5,"")),"")</f>
        <v/>
      </c>
      <c r="BU85" s="36" t="str">
        <f ca="1">IFERROR(+IF(BV$27=#REF!,Milestone_Marker,IF(AND(BV$27&gt;#REF!,BV$27&lt;=#REF!+#REF!),$G$5,"")),"")</f>
        <v/>
      </c>
      <c r="BV85" s="36" t="str">
        <f ca="1">IFERROR(+IF(BW$27=#REF!,Milestone_Marker,IF(AND(BW$27&gt;#REF!,BW$27&lt;=#REF!+#REF!),$G$5,"")),"")</f>
        <v/>
      </c>
      <c r="BW85" s="36" t="str">
        <f ca="1">IFERROR(+IF(BX$27=#REF!,Milestone_Marker,IF(AND(BX$27&gt;#REF!,BX$27&lt;=#REF!+#REF!),$G$5,"")),"")</f>
        <v/>
      </c>
      <c r="BX85" s="36" t="str">
        <f ca="1">IFERROR(+IF(BY$27=#REF!,Milestone_Marker,IF(AND(BY$27&gt;#REF!,BY$27&lt;=#REF!+#REF!),$G$5,"")),"")</f>
        <v/>
      </c>
      <c r="BY85" s="36" t="str">
        <f ca="1">IFERROR(+IF(BZ$27=#REF!,Milestone_Marker,IF(AND(BZ$27&gt;#REF!,BZ$27&lt;=#REF!+#REF!),$G$5,"")),"")</f>
        <v/>
      </c>
      <c r="BZ85" s="36" t="str">
        <f ca="1">IFERROR(+IF(CA$27=#REF!,Milestone_Marker,IF(AND(CA$27&gt;#REF!,CA$27&lt;=#REF!+#REF!),$G$5,"")),"")</f>
        <v/>
      </c>
      <c r="CA85" s="36" t="str">
        <f ca="1">IFERROR(+IF(CB$27=#REF!,Milestone_Marker,IF(AND(CB$27&gt;#REF!,CB$27&lt;=#REF!+#REF!),$G$5,"")),"")</f>
        <v/>
      </c>
      <c r="CB85" s="36" t="str">
        <f ca="1">IFERROR(+IF(CC$27=#REF!,Milestone_Marker,IF(AND(CC$27&gt;#REF!,CC$27&lt;=#REF!+#REF!),$G$5,"")),"")</f>
        <v/>
      </c>
      <c r="CC85" s="36" t="str">
        <f ca="1">IFERROR(+IF(CD$27=#REF!,Milestone_Marker,IF(AND(CD$27&gt;#REF!,CD$27&lt;=#REF!+#REF!),$G$5,"")),"")</f>
        <v/>
      </c>
      <c r="CD85" s="36" t="str">
        <f ca="1">IFERROR(+IF(CE$27=#REF!,Milestone_Marker,IF(AND(CE$27&gt;#REF!,CE$27&lt;=#REF!+#REF!),$G$5,"")),"")</f>
        <v/>
      </c>
      <c r="CE85" s="36" t="str">
        <f ca="1">IFERROR(+IF(CF$27=#REF!,Milestone_Marker,IF(AND(CF$27&gt;#REF!,CF$27&lt;=#REF!+#REF!),$G$5,"")),"")</f>
        <v/>
      </c>
      <c r="CF85" s="36" t="str">
        <f ca="1">IFERROR(+IF(CG$27=#REF!,Milestone_Marker,IF(AND(CG$27&gt;#REF!,CG$27&lt;=#REF!+#REF!),$G$5,"")),"")</f>
        <v/>
      </c>
      <c r="CG85" s="36" t="str">
        <f ca="1">IFERROR(+IF(CH$27=#REF!,Milestone_Marker,IF(AND(CH$27&gt;#REF!,CH$27&lt;=#REF!+#REF!),$G$5,"")),"")</f>
        <v/>
      </c>
      <c r="CH85" s="36" t="str">
        <f ca="1">IFERROR(+IF(CI$27=#REF!,Milestone_Marker,IF(AND(CI$27&gt;#REF!,CI$27&lt;=#REF!+#REF!),$G$5,"")),"")</f>
        <v/>
      </c>
      <c r="CI85" s="36" t="str">
        <f ca="1">IFERROR(+IF(CJ$27=#REF!,Milestone_Marker,IF(AND(CJ$27&gt;#REF!,CJ$27&lt;=#REF!+#REF!),$G$5,"")),"")</f>
        <v/>
      </c>
      <c r="CJ85" s="36" t="str">
        <f ca="1">IFERROR(+IF(CK$27=#REF!,Milestone_Marker,IF(AND(CK$27&gt;#REF!,CK$27&lt;=#REF!+#REF!),$G$5,"")),"")</f>
        <v/>
      </c>
      <c r="CK85" s="36" t="str">
        <f ca="1">IFERROR(+IF(CL$27=#REF!,Milestone_Marker,IF(AND(CL$27&gt;#REF!,CL$27&lt;=#REF!+#REF!),$G$5,"")),"")</f>
        <v/>
      </c>
      <c r="CL85" s="36" t="str">
        <f ca="1">IFERROR(+IF(CM$27=#REF!,Milestone_Marker,IF(AND(CM$27&gt;#REF!,CM$27&lt;=#REF!+#REF!),$G$5,"")),"")</f>
        <v/>
      </c>
      <c r="CM85" s="36" t="str">
        <f ca="1">IFERROR(+IF(CN$27=#REF!,Milestone_Marker,IF(AND(CN$27&gt;#REF!,CN$27&lt;=#REF!+#REF!),$G$5,"")),"")</f>
        <v/>
      </c>
      <c r="CN85" s="36" t="str">
        <f ca="1">IFERROR(+IF(CO$27=#REF!,Milestone_Marker,IF(AND(CO$27&gt;#REF!,CO$27&lt;=#REF!+#REF!),$G$5,"")),"")</f>
        <v/>
      </c>
      <c r="CO85" s="36" t="str">
        <f ca="1">IFERROR(+IF(CP$27=#REF!,Milestone_Marker,IF(AND(CP$27&gt;#REF!,CP$27&lt;=#REF!+#REF!),$G$5,"")),"")</f>
        <v/>
      </c>
      <c r="CP85" s="36" t="str">
        <f ca="1">IFERROR(+IF(CQ$27=#REF!,Milestone_Marker,IF(AND(CQ$27&gt;#REF!,CQ$27&lt;=#REF!+#REF!),$G$5,"")),"")</f>
        <v/>
      </c>
      <c r="CQ85" s="36" t="str">
        <f ca="1">IFERROR(+IF(CR$27=#REF!,Milestone_Marker,IF(AND(CR$27&gt;#REF!,CR$27&lt;=#REF!+#REF!),$G$5,"")),"")</f>
        <v/>
      </c>
      <c r="CR85" s="36" t="str">
        <f ca="1">IFERROR(+IF(CS$27=#REF!,Milestone_Marker,IF(AND(CS$27&gt;#REF!,CS$27&lt;=#REF!+#REF!),$G$5,"")),"")</f>
        <v/>
      </c>
      <c r="CS85" s="36" t="str">
        <f ca="1">IFERROR(+IF(CT$27=#REF!,Milestone_Marker,IF(AND(CT$27&gt;#REF!,CT$27&lt;=#REF!+#REF!),$G$5,"")),"")</f>
        <v/>
      </c>
      <c r="CT85" s="36" t="str">
        <f ca="1">IFERROR(+IF(CU$27=#REF!,Milestone_Marker,IF(AND(CU$27&gt;#REF!,CU$27&lt;=#REF!+#REF!),$G$5,"")),"")</f>
        <v/>
      </c>
    </row>
    <row r="86" spans="1:125" ht="15" x14ac:dyDescent="0.25">
      <c r="A86"/>
      <c r="B86"/>
      <c r="C86"/>
      <c r="D86"/>
      <c r="E86"/>
      <c r="F86"/>
      <c r="G86" s="14"/>
      <c r="H86" s="14"/>
      <c r="I86"/>
      <c r="J86"/>
      <c r="K86" s="246"/>
      <c r="L86"/>
      <c r="M86" s="14"/>
      <c r="N86" s="299"/>
      <c r="O86" s="281"/>
      <c r="P86" s="36" t="str">
        <f ca="1">IFERROR(+IF(Q$27=#REF!,Milestone_Marker,IF(AND(Q$27&gt;#REF!,Q$27&lt;=#REF!+#REF!),$G$5,"")),"")</f>
        <v/>
      </c>
      <c r="Q86" s="36" t="str">
        <f ca="1">IFERROR(+IF(R$27=#REF!,Milestone_Marker,IF(AND(R$27&gt;#REF!,R$27&lt;=#REF!+#REF!),$G$5,"")),"")</f>
        <v/>
      </c>
      <c r="R86" s="36" t="str">
        <f ca="1">IFERROR(+IF(S$27=#REF!,Milestone_Marker,IF(AND(S$27&gt;#REF!,S$27&lt;=#REF!+#REF!),$G$5,"")),"")</f>
        <v/>
      </c>
      <c r="S86" s="36" t="str">
        <f ca="1">IFERROR(+IF(T$27=#REF!,Milestone_Marker,IF(AND(T$27&gt;#REF!,T$27&lt;=#REF!+#REF!),$G$5,"")),"")</f>
        <v/>
      </c>
      <c r="T86" s="36" t="str">
        <f ca="1">IFERROR(+IF(U$27=#REF!,Milestone_Marker,IF(AND(U$27&gt;#REF!,U$27&lt;=#REF!+#REF!),$G$5,"")),"")</f>
        <v/>
      </c>
      <c r="U86" s="36" t="str">
        <f ca="1">IFERROR(+IF(V$27=#REF!,Milestone_Marker,IF(AND(V$27&gt;#REF!,V$27&lt;=#REF!+#REF!),$G$5,"")),"")</f>
        <v/>
      </c>
      <c r="V86" s="36" t="str">
        <f ca="1">IFERROR(+IF(W$27=#REF!,Milestone_Marker,IF(AND(W$27&gt;#REF!,W$27&lt;=#REF!+#REF!),$G$5,"")),"")</f>
        <v/>
      </c>
      <c r="W86" s="36" t="str">
        <f ca="1">IFERROR(+IF(X$27=#REF!,Milestone_Marker,IF(AND(X$27&gt;#REF!,X$27&lt;=#REF!+#REF!),$G$5,"")),"")</f>
        <v/>
      </c>
      <c r="X86" s="36" t="str">
        <f ca="1">IFERROR(+IF(Y$27=#REF!,Milestone_Marker,IF(AND(Y$27&gt;#REF!,Y$27&lt;=#REF!+#REF!),$G$5,"")),"")</f>
        <v/>
      </c>
      <c r="Y86" s="36" t="str">
        <f ca="1">IFERROR(+IF(Z$27=#REF!,Milestone_Marker,IF(AND(Z$27&gt;#REF!,Z$27&lt;=#REF!+#REF!),$G$5,"")),"")</f>
        <v/>
      </c>
      <c r="Z86" s="36" t="str">
        <f ca="1">IFERROR(+IF(AA$27=#REF!,Milestone_Marker,IF(AND(AA$27&gt;#REF!,AA$27&lt;=#REF!+#REF!),$G$5,"")),"")</f>
        <v/>
      </c>
      <c r="AA86" s="36" t="str">
        <f ca="1">IFERROR(+IF(AB$27=#REF!,Milestone_Marker,IF(AND(AB$27&gt;#REF!,AB$27&lt;=#REF!+#REF!),$G$5,"")),"")</f>
        <v/>
      </c>
      <c r="AB86" s="36" t="str">
        <f ca="1">IFERROR(+IF(AC$27=#REF!,Milestone_Marker,IF(AND(AC$27&gt;#REF!,AC$27&lt;=#REF!+#REF!),$G$5,"")),"")</f>
        <v/>
      </c>
      <c r="AC86" s="36" t="str">
        <f ca="1">IFERROR(+IF(AD$27=#REF!,Milestone_Marker,IF(AND(AD$27&gt;#REF!,AD$27&lt;=#REF!+#REF!),$G$5,"")),"")</f>
        <v/>
      </c>
      <c r="AD86" s="36" t="str">
        <f ca="1">IFERROR(+IF(AE$27=#REF!,Milestone_Marker,IF(AND(AE$27&gt;#REF!,AE$27&lt;=#REF!+#REF!),$G$5,"")),"")</f>
        <v/>
      </c>
      <c r="AE86" s="36" t="str">
        <f ca="1">IFERROR(+IF(AF$27=#REF!,Milestone_Marker,IF(AND(AF$27&gt;#REF!,AF$27&lt;=#REF!+#REF!),$G$5,"")),"")</f>
        <v/>
      </c>
      <c r="AF86" s="36" t="str">
        <f ca="1">IFERROR(+IF(AG$27=#REF!,Milestone_Marker,IF(AND(AG$27&gt;#REF!,AG$27&lt;=#REF!+#REF!),$G$5,"")),"")</f>
        <v/>
      </c>
      <c r="AG86" s="36" t="str">
        <f ca="1">IFERROR(+IF(AH$27=#REF!,Milestone_Marker,IF(AND(AH$27&gt;#REF!,AH$27&lt;=#REF!+#REF!),$G$5,"")),"")</f>
        <v/>
      </c>
      <c r="AH86" s="36" t="str">
        <f ca="1">IFERROR(+IF(AI$27=#REF!,Milestone_Marker,IF(AND(AI$27&gt;#REF!,AI$27&lt;=#REF!+#REF!),$G$5,"")),"")</f>
        <v/>
      </c>
      <c r="AI86" s="36" t="str">
        <f ca="1">IFERROR(+IF(AJ$27=#REF!,Milestone_Marker,IF(AND(AJ$27&gt;#REF!,AJ$27&lt;=#REF!+#REF!),$G$5,"")),"")</f>
        <v/>
      </c>
      <c r="AJ86" s="36" t="str">
        <f ca="1">IFERROR(+IF(AK$27=#REF!,Milestone_Marker,IF(AND(AK$27&gt;#REF!,AK$27&lt;=#REF!+#REF!),$G$5,"")),"")</f>
        <v/>
      </c>
      <c r="AK86" s="36" t="str">
        <f ca="1">IFERROR(+IF(AL$27=#REF!,Milestone_Marker,IF(AND(AL$27&gt;#REF!,AL$27&lt;=#REF!+#REF!),$G$5,"")),"")</f>
        <v/>
      </c>
      <c r="AL86" s="36" t="str">
        <f ca="1">IFERROR(+IF(AM$27=#REF!,Milestone_Marker,IF(AND(AM$27&gt;#REF!,AM$27&lt;=#REF!+#REF!),$G$5,"")),"")</f>
        <v/>
      </c>
      <c r="AM86" s="36" t="str">
        <f ca="1">IFERROR(+IF(AN$27=#REF!,Milestone_Marker,IF(AND(AN$27&gt;#REF!,AN$27&lt;=#REF!+#REF!),$G$5,"")),"")</f>
        <v/>
      </c>
      <c r="AN86" s="36" t="str">
        <f ca="1">IFERROR(+IF(AO$27=#REF!,Milestone_Marker,IF(AND(AO$27&gt;#REF!,AO$27&lt;=#REF!+#REF!),$G$5,"")),"")</f>
        <v/>
      </c>
      <c r="AO86" s="36" t="str">
        <f ca="1">IFERROR(+IF(AP$27=#REF!,Milestone_Marker,IF(AND(AP$27&gt;#REF!,AP$27&lt;=#REF!+#REF!),$G$5,"")),"")</f>
        <v/>
      </c>
      <c r="AP86" s="36" t="str">
        <f ca="1">IFERROR(+IF(AQ$27=#REF!,Milestone_Marker,IF(AND(AQ$27&gt;#REF!,AQ$27&lt;=#REF!+#REF!),$G$5,"")),"")</f>
        <v/>
      </c>
      <c r="AQ86" s="36" t="str">
        <f ca="1">IFERROR(+IF(AR$27=#REF!,Milestone_Marker,IF(AND(AR$27&gt;#REF!,AR$27&lt;=#REF!+#REF!),$G$5,"")),"")</f>
        <v/>
      </c>
      <c r="AR86" s="36" t="str">
        <f ca="1">IFERROR(+IF(AS$27=#REF!,Milestone_Marker,IF(AND(AS$27&gt;#REF!,AS$27&lt;=#REF!+#REF!),$G$5,"")),"")</f>
        <v/>
      </c>
      <c r="AS86" s="36" t="str">
        <f ca="1">IFERROR(+IF(AT$27=#REF!,Milestone_Marker,IF(AND(AT$27&gt;#REF!,AT$27&lt;=#REF!+#REF!),$G$5,"")),"")</f>
        <v/>
      </c>
      <c r="AT86" s="36" t="str">
        <f ca="1">IFERROR(+IF(AU$27=#REF!,Milestone_Marker,IF(AND(AU$27&gt;#REF!,AU$27&lt;=#REF!+#REF!),$G$5,"")),"")</f>
        <v/>
      </c>
      <c r="AU86" s="36" t="str">
        <f ca="1">IFERROR(+IF(AV$27=#REF!,Milestone_Marker,IF(AND(AV$27&gt;#REF!,AV$27&lt;=#REF!+#REF!),$G$5,"")),"")</f>
        <v/>
      </c>
      <c r="AV86" s="36" t="str">
        <f ca="1">IFERROR(+IF(AW$27=#REF!,Milestone_Marker,IF(AND(AW$27&gt;#REF!,AW$27&lt;=#REF!+#REF!),$G$5,"")),"")</f>
        <v/>
      </c>
      <c r="AW86" s="36" t="str">
        <f ca="1">IFERROR(+IF(AX$27=#REF!,Milestone_Marker,IF(AND(AX$27&gt;#REF!,AX$27&lt;=#REF!+#REF!),$G$5,"")),"")</f>
        <v/>
      </c>
      <c r="AX86" s="36" t="str">
        <f ca="1">IFERROR(+IF(AY$27=#REF!,Milestone_Marker,IF(AND(AY$27&gt;#REF!,AY$27&lt;=#REF!+#REF!),$G$5,"")),"")</f>
        <v/>
      </c>
      <c r="AY86" s="36" t="str">
        <f ca="1">IFERROR(+IF(AZ$27=#REF!,Milestone_Marker,IF(AND(AZ$27&gt;#REF!,AZ$27&lt;=#REF!+#REF!),$G$5,"")),"")</f>
        <v/>
      </c>
      <c r="AZ86" s="36" t="str">
        <f ca="1">IFERROR(+IF(BA$27=#REF!,Milestone_Marker,IF(AND(BA$27&gt;#REF!,BA$27&lt;=#REF!+#REF!),$G$5,"")),"")</f>
        <v/>
      </c>
      <c r="BA86" s="36" t="str">
        <f ca="1">IFERROR(+IF(BB$27=#REF!,Milestone_Marker,IF(AND(BB$27&gt;#REF!,BB$27&lt;=#REF!+#REF!),$G$5,"")),"")</f>
        <v/>
      </c>
      <c r="BB86" s="36" t="str">
        <f ca="1">IFERROR(+IF(BC$27=#REF!,Milestone_Marker,IF(AND(BC$27&gt;#REF!,BC$27&lt;=#REF!+#REF!),$G$5,"")),"")</f>
        <v/>
      </c>
      <c r="BC86" s="36" t="str">
        <f ca="1">IFERROR(+IF(BD$27=#REF!,Milestone_Marker,IF(AND(BD$27&gt;#REF!,BD$27&lt;=#REF!+#REF!),$G$5,"")),"")</f>
        <v/>
      </c>
      <c r="BD86" s="36" t="str">
        <f ca="1">IFERROR(+IF(BE$27=#REF!,Milestone_Marker,IF(AND(BE$27&gt;#REF!,BE$27&lt;=#REF!+#REF!),$G$5,"")),"")</f>
        <v/>
      </c>
      <c r="BE86" s="36" t="str">
        <f ca="1">IFERROR(+IF(BF$27=#REF!,Milestone_Marker,IF(AND(BF$27&gt;#REF!,BF$27&lt;=#REF!+#REF!),$G$5,"")),"")</f>
        <v/>
      </c>
      <c r="BF86" s="36" t="str">
        <f ca="1">IFERROR(+IF(BG$27=#REF!,Milestone_Marker,IF(AND(BG$27&gt;#REF!,BG$27&lt;=#REF!+#REF!),$G$5,"")),"")</f>
        <v/>
      </c>
      <c r="BG86" s="36" t="str">
        <f ca="1">IFERROR(+IF(BH$27=#REF!,Milestone_Marker,IF(AND(BH$27&gt;#REF!,BH$27&lt;=#REF!+#REF!),$G$5,"")),"")</f>
        <v/>
      </c>
      <c r="BH86" s="36" t="str">
        <f ca="1">IFERROR(+IF(BI$27=#REF!,Milestone_Marker,IF(AND(BI$27&gt;#REF!,BI$27&lt;=#REF!+#REF!),$G$5,"")),"")</f>
        <v/>
      </c>
      <c r="BI86" s="36" t="str">
        <f ca="1">IFERROR(+IF(BJ$27=#REF!,Milestone_Marker,IF(AND(BJ$27&gt;#REF!,BJ$27&lt;=#REF!+#REF!),$G$5,"")),"")</f>
        <v/>
      </c>
      <c r="BJ86" s="36" t="str">
        <f ca="1">IFERROR(+IF(BK$27=#REF!,Milestone_Marker,IF(AND(BK$27&gt;#REF!,BK$27&lt;=#REF!+#REF!),$G$5,"")),"")</f>
        <v/>
      </c>
      <c r="BK86" s="36" t="str">
        <f ca="1">IFERROR(+IF(BL$27=#REF!,Milestone_Marker,IF(AND(BL$27&gt;#REF!,BL$27&lt;=#REF!+#REF!),$G$5,"")),"")</f>
        <v/>
      </c>
      <c r="BL86" s="36" t="str">
        <f ca="1">IFERROR(+IF(BM$27=#REF!,Milestone_Marker,IF(AND(BM$27&gt;#REF!,BM$27&lt;=#REF!+#REF!),$G$5,"")),"")</f>
        <v/>
      </c>
      <c r="BM86" s="36" t="str">
        <f ca="1">IFERROR(+IF(BN$27=#REF!,Milestone_Marker,IF(AND(BN$27&gt;#REF!,BN$27&lt;=#REF!+#REF!),$G$5,"")),"")</f>
        <v/>
      </c>
      <c r="BN86" s="36" t="str">
        <f ca="1">IFERROR(+IF(BO$27=#REF!,Milestone_Marker,IF(AND(BO$27&gt;#REF!,BO$27&lt;=#REF!+#REF!),$G$5,"")),"")</f>
        <v/>
      </c>
      <c r="BO86" s="36" t="str">
        <f ca="1">IFERROR(+IF(BP$27=#REF!,Milestone_Marker,IF(AND(BP$27&gt;#REF!,BP$27&lt;=#REF!+#REF!),$G$5,"")),"")</f>
        <v/>
      </c>
      <c r="BP86" s="36" t="str">
        <f ca="1">IFERROR(+IF(BQ$27=#REF!,Milestone_Marker,IF(AND(BQ$27&gt;#REF!,BQ$27&lt;=#REF!+#REF!),$G$5,"")),"")</f>
        <v/>
      </c>
      <c r="BQ86" s="36" t="str">
        <f ca="1">IFERROR(+IF(BR$27=#REF!,Milestone_Marker,IF(AND(BR$27&gt;#REF!,BR$27&lt;=#REF!+#REF!),$G$5,"")),"")</f>
        <v/>
      </c>
      <c r="BR86" s="36" t="str">
        <f ca="1">IFERROR(+IF(BS$27=#REF!,Milestone_Marker,IF(AND(BS$27&gt;#REF!,BS$27&lt;=#REF!+#REF!),$G$5,"")),"")</f>
        <v/>
      </c>
      <c r="BS86" s="36" t="str">
        <f ca="1">IFERROR(+IF(BT$27=#REF!,Milestone_Marker,IF(AND(BT$27&gt;#REF!,BT$27&lt;=#REF!+#REF!),$G$5,"")),"")</f>
        <v/>
      </c>
      <c r="BT86" s="36" t="str">
        <f ca="1">IFERROR(+IF(BU$27=#REF!,Milestone_Marker,IF(AND(BU$27&gt;#REF!,BU$27&lt;=#REF!+#REF!),$G$5,"")),"")</f>
        <v/>
      </c>
      <c r="BU86" s="36" t="str">
        <f ca="1">IFERROR(+IF(BV$27=#REF!,Milestone_Marker,IF(AND(BV$27&gt;#REF!,BV$27&lt;=#REF!+#REF!),$G$5,"")),"")</f>
        <v/>
      </c>
      <c r="BV86" s="36" t="str">
        <f ca="1">IFERROR(+IF(BW$27=#REF!,Milestone_Marker,IF(AND(BW$27&gt;#REF!,BW$27&lt;=#REF!+#REF!),$G$5,"")),"")</f>
        <v/>
      </c>
      <c r="BW86" s="36" t="str">
        <f ca="1">IFERROR(+IF(BX$27=#REF!,Milestone_Marker,IF(AND(BX$27&gt;#REF!,BX$27&lt;=#REF!+#REF!),$G$5,"")),"")</f>
        <v/>
      </c>
      <c r="BX86" s="36" t="str">
        <f ca="1">IFERROR(+IF(BY$27=#REF!,Milestone_Marker,IF(AND(BY$27&gt;#REF!,BY$27&lt;=#REF!+#REF!),$G$5,"")),"")</f>
        <v/>
      </c>
      <c r="BY86" s="36" t="str">
        <f ca="1">IFERROR(+IF(BZ$27=#REF!,Milestone_Marker,IF(AND(BZ$27&gt;#REF!,BZ$27&lt;=#REF!+#REF!),$G$5,"")),"")</f>
        <v/>
      </c>
      <c r="BZ86" s="36" t="str">
        <f ca="1">IFERROR(+IF(CA$27=#REF!,Milestone_Marker,IF(AND(CA$27&gt;#REF!,CA$27&lt;=#REF!+#REF!),$G$5,"")),"")</f>
        <v/>
      </c>
      <c r="CA86" s="36" t="str">
        <f ca="1">IFERROR(+IF(CB$27=#REF!,Milestone_Marker,IF(AND(CB$27&gt;#REF!,CB$27&lt;=#REF!+#REF!),$G$5,"")),"")</f>
        <v/>
      </c>
      <c r="CB86" s="36" t="str">
        <f ca="1">IFERROR(+IF(CC$27=#REF!,Milestone_Marker,IF(AND(CC$27&gt;#REF!,CC$27&lt;=#REF!+#REF!),$G$5,"")),"")</f>
        <v/>
      </c>
      <c r="CC86" s="36" t="str">
        <f ca="1">IFERROR(+IF(CD$27=#REF!,Milestone_Marker,IF(AND(CD$27&gt;#REF!,CD$27&lt;=#REF!+#REF!),$G$5,"")),"")</f>
        <v/>
      </c>
      <c r="CD86" s="36" t="str">
        <f ca="1">IFERROR(+IF(CE$27=#REF!,Milestone_Marker,IF(AND(CE$27&gt;#REF!,CE$27&lt;=#REF!+#REF!),$G$5,"")),"")</f>
        <v/>
      </c>
      <c r="CE86" s="36" t="str">
        <f ca="1">IFERROR(+IF(CF$27=#REF!,Milestone_Marker,IF(AND(CF$27&gt;#REF!,CF$27&lt;=#REF!+#REF!),$G$5,"")),"")</f>
        <v/>
      </c>
      <c r="CF86" s="36" t="str">
        <f ca="1">IFERROR(+IF(CG$27=#REF!,Milestone_Marker,IF(AND(CG$27&gt;#REF!,CG$27&lt;=#REF!+#REF!),$G$5,"")),"")</f>
        <v/>
      </c>
      <c r="CG86" s="36" t="str">
        <f ca="1">IFERROR(+IF(CH$27=#REF!,Milestone_Marker,IF(AND(CH$27&gt;#REF!,CH$27&lt;=#REF!+#REF!),$G$5,"")),"")</f>
        <v/>
      </c>
      <c r="CH86" s="36" t="str">
        <f ca="1">IFERROR(+IF(CI$27=#REF!,Milestone_Marker,IF(AND(CI$27&gt;#REF!,CI$27&lt;=#REF!+#REF!),$G$5,"")),"")</f>
        <v/>
      </c>
      <c r="CI86" s="36" t="str">
        <f ca="1">IFERROR(+IF(CJ$27=#REF!,Milestone_Marker,IF(AND(CJ$27&gt;#REF!,CJ$27&lt;=#REF!+#REF!),$G$5,"")),"")</f>
        <v/>
      </c>
      <c r="CJ86" s="36" t="str">
        <f ca="1">IFERROR(+IF(CK$27=#REF!,Milestone_Marker,IF(AND(CK$27&gt;#REF!,CK$27&lt;=#REF!+#REF!),$G$5,"")),"")</f>
        <v/>
      </c>
      <c r="CK86" s="36" t="str">
        <f ca="1">IFERROR(+IF(CL$27=#REF!,Milestone_Marker,IF(AND(CL$27&gt;#REF!,CL$27&lt;=#REF!+#REF!),$G$5,"")),"")</f>
        <v/>
      </c>
      <c r="CL86" s="36" t="str">
        <f ca="1">IFERROR(+IF(CM$27=#REF!,Milestone_Marker,IF(AND(CM$27&gt;#REF!,CM$27&lt;=#REF!+#REF!),$G$5,"")),"")</f>
        <v/>
      </c>
      <c r="CM86" s="36" t="str">
        <f ca="1">IFERROR(+IF(CN$27=#REF!,Milestone_Marker,IF(AND(CN$27&gt;#REF!,CN$27&lt;=#REF!+#REF!),$G$5,"")),"")</f>
        <v/>
      </c>
      <c r="CN86" s="36" t="str">
        <f ca="1">IFERROR(+IF(CO$27=#REF!,Milestone_Marker,IF(AND(CO$27&gt;#REF!,CO$27&lt;=#REF!+#REF!),$G$5,"")),"")</f>
        <v/>
      </c>
      <c r="CO86" s="36" t="str">
        <f ca="1">IFERROR(+IF(CP$27=#REF!,Milestone_Marker,IF(AND(CP$27&gt;#REF!,CP$27&lt;=#REF!+#REF!),$G$5,"")),"")</f>
        <v/>
      </c>
      <c r="CP86" s="36" t="str">
        <f ca="1">IFERROR(+IF(CQ$27=#REF!,Milestone_Marker,IF(AND(CQ$27&gt;#REF!,CQ$27&lt;=#REF!+#REF!),$G$5,"")),"")</f>
        <v/>
      </c>
      <c r="CQ86" s="36" t="str">
        <f ca="1">IFERROR(+IF(CR$27=#REF!,Milestone_Marker,IF(AND(CR$27&gt;#REF!,CR$27&lt;=#REF!+#REF!),$G$5,"")),"")</f>
        <v/>
      </c>
      <c r="CR86" s="36" t="str">
        <f ca="1">IFERROR(+IF(CS$27=#REF!,Milestone_Marker,IF(AND(CS$27&gt;#REF!,CS$27&lt;=#REF!+#REF!),$G$5,"")),"")</f>
        <v/>
      </c>
      <c r="CS86" s="36" t="str">
        <f ca="1">IFERROR(+IF(CT$27=#REF!,Milestone_Marker,IF(AND(CT$27&gt;#REF!,CT$27&lt;=#REF!+#REF!),$G$5,"")),"")</f>
        <v/>
      </c>
      <c r="CT86" s="36" t="str">
        <f ca="1">IFERROR(+IF(CU$27=#REF!,Milestone_Marker,IF(AND(CU$27&gt;#REF!,CU$27&lt;=#REF!+#REF!),$G$5,"")),"")</f>
        <v/>
      </c>
    </row>
    <row r="87" spans="1:125" ht="15" x14ac:dyDescent="0.25">
      <c r="A87"/>
      <c r="B87"/>
      <c r="C87"/>
      <c r="D87"/>
      <c r="E87"/>
      <c r="F87"/>
      <c r="G87" s="14"/>
      <c r="H87" s="14"/>
      <c r="I87"/>
      <c r="J87"/>
      <c r="K87" s="246"/>
      <c r="L87"/>
      <c r="M87" s="14"/>
      <c r="N87" s="299"/>
      <c r="O87" s="281"/>
      <c r="P87" s="36" t="str">
        <f ca="1">IFERROR(+IF(Q$27=#REF!,Milestone_Marker,IF(AND(Q$27&gt;#REF!,Q$27&lt;=#REF!+#REF!),$G$5,"")),"")</f>
        <v/>
      </c>
      <c r="Q87" s="36" t="str">
        <f ca="1">IFERROR(+IF(R$27=#REF!,Milestone_Marker,IF(AND(R$27&gt;#REF!,R$27&lt;=#REF!+#REF!),$G$5,"")),"")</f>
        <v/>
      </c>
      <c r="R87" s="36" t="str">
        <f ca="1">IFERROR(+IF(S$27=#REF!,Milestone_Marker,IF(AND(S$27&gt;#REF!,S$27&lt;=#REF!+#REF!),$G$5,"")),"")</f>
        <v/>
      </c>
      <c r="S87" s="36" t="str">
        <f ca="1">IFERROR(+IF(T$27=#REF!,Milestone_Marker,IF(AND(T$27&gt;#REF!,T$27&lt;=#REF!+#REF!),$G$5,"")),"")</f>
        <v/>
      </c>
      <c r="T87" s="36" t="str">
        <f ca="1">IFERROR(+IF(U$27=#REF!,Milestone_Marker,IF(AND(U$27&gt;#REF!,U$27&lt;=#REF!+#REF!),$G$5,"")),"")</f>
        <v/>
      </c>
      <c r="U87" s="36" t="str">
        <f ca="1">IFERROR(+IF(V$27=#REF!,Milestone_Marker,IF(AND(V$27&gt;#REF!,V$27&lt;=#REF!+#REF!),$G$5,"")),"")</f>
        <v/>
      </c>
      <c r="V87" s="36" t="str">
        <f ca="1">IFERROR(+IF(W$27=#REF!,Milestone_Marker,IF(AND(W$27&gt;#REF!,W$27&lt;=#REF!+#REF!),$G$5,"")),"")</f>
        <v/>
      </c>
      <c r="W87" s="36" t="str">
        <f ca="1">IFERROR(+IF(X$27=#REF!,Milestone_Marker,IF(AND(X$27&gt;#REF!,X$27&lt;=#REF!+#REF!),$G$5,"")),"")</f>
        <v/>
      </c>
      <c r="X87" s="36" t="str">
        <f ca="1">IFERROR(+IF(Y$27=#REF!,Milestone_Marker,IF(AND(Y$27&gt;#REF!,Y$27&lt;=#REF!+#REF!),$G$5,"")),"")</f>
        <v/>
      </c>
      <c r="Y87" s="36" t="str">
        <f ca="1">IFERROR(+IF(Z$27=#REF!,Milestone_Marker,IF(AND(Z$27&gt;#REF!,Z$27&lt;=#REF!+#REF!),$G$5,"")),"")</f>
        <v/>
      </c>
      <c r="Z87" s="36" t="str">
        <f ca="1">IFERROR(+IF(AA$27=#REF!,Milestone_Marker,IF(AND(AA$27&gt;#REF!,AA$27&lt;=#REF!+#REF!),$G$5,"")),"")</f>
        <v/>
      </c>
      <c r="AA87" s="36" t="str">
        <f ca="1">IFERROR(+IF(AB$27=#REF!,Milestone_Marker,IF(AND(AB$27&gt;#REF!,AB$27&lt;=#REF!+#REF!),$G$5,"")),"")</f>
        <v/>
      </c>
      <c r="AB87" s="36" t="str">
        <f ca="1">IFERROR(+IF(AC$27=#REF!,Milestone_Marker,IF(AND(AC$27&gt;#REF!,AC$27&lt;=#REF!+#REF!),$G$5,"")),"")</f>
        <v/>
      </c>
      <c r="AC87" s="36" t="str">
        <f ca="1">IFERROR(+IF(AD$27=#REF!,Milestone_Marker,IF(AND(AD$27&gt;#REF!,AD$27&lt;=#REF!+#REF!),$G$5,"")),"")</f>
        <v/>
      </c>
      <c r="AD87" s="36" t="str">
        <f ca="1">IFERROR(+IF(AE$27=#REF!,Milestone_Marker,IF(AND(AE$27&gt;#REF!,AE$27&lt;=#REF!+#REF!),$G$5,"")),"")</f>
        <v/>
      </c>
      <c r="AE87" s="36" t="str">
        <f ca="1">IFERROR(+IF(AF$27=#REF!,Milestone_Marker,IF(AND(AF$27&gt;#REF!,AF$27&lt;=#REF!+#REF!),$G$5,"")),"")</f>
        <v/>
      </c>
      <c r="AF87" s="36" t="str">
        <f ca="1">IFERROR(+IF(AG$27=#REF!,Milestone_Marker,IF(AND(AG$27&gt;#REF!,AG$27&lt;=#REF!+#REF!),$G$5,"")),"")</f>
        <v/>
      </c>
      <c r="AG87" s="36" t="str">
        <f ca="1">IFERROR(+IF(AH$27=#REF!,Milestone_Marker,IF(AND(AH$27&gt;#REF!,AH$27&lt;=#REF!+#REF!),$G$5,"")),"")</f>
        <v/>
      </c>
      <c r="AH87" s="36" t="str">
        <f ca="1">IFERROR(+IF(AI$27=#REF!,Milestone_Marker,IF(AND(AI$27&gt;#REF!,AI$27&lt;=#REF!+#REF!),$G$5,"")),"")</f>
        <v/>
      </c>
      <c r="AI87" s="36" t="str">
        <f ca="1">IFERROR(+IF(AJ$27=#REF!,Milestone_Marker,IF(AND(AJ$27&gt;#REF!,AJ$27&lt;=#REF!+#REF!),$G$5,"")),"")</f>
        <v/>
      </c>
      <c r="AJ87" s="36" t="str">
        <f ca="1">IFERROR(+IF(AK$27=#REF!,Milestone_Marker,IF(AND(AK$27&gt;#REF!,AK$27&lt;=#REF!+#REF!),$G$5,"")),"")</f>
        <v/>
      </c>
      <c r="AK87" s="36" t="str">
        <f ca="1">IFERROR(+IF(AL$27=#REF!,Milestone_Marker,IF(AND(AL$27&gt;#REF!,AL$27&lt;=#REF!+#REF!),$G$5,"")),"")</f>
        <v/>
      </c>
      <c r="AL87" s="36" t="str">
        <f ca="1">IFERROR(+IF(AM$27=#REF!,Milestone_Marker,IF(AND(AM$27&gt;#REF!,AM$27&lt;=#REF!+#REF!),$G$5,"")),"")</f>
        <v/>
      </c>
      <c r="AM87" s="36" t="str">
        <f ca="1">IFERROR(+IF(AN$27=#REF!,Milestone_Marker,IF(AND(AN$27&gt;#REF!,AN$27&lt;=#REF!+#REF!),$G$5,"")),"")</f>
        <v/>
      </c>
      <c r="AN87" s="36" t="str">
        <f ca="1">IFERROR(+IF(AO$27=#REF!,Milestone_Marker,IF(AND(AO$27&gt;#REF!,AO$27&lt;=#REF!+#REF!),$G$5,"")),"")</f>
        <v/>
      </c>
      <c r="AO87" s="36" t="str">
        <f ca="1">IFERROR(+IF(AP$27=#REF!,Milestone_Marker,IF(AND(AP$27&gt;#REF!,AP$27&lt;=#REF!+#REF!),$G$5,"")),"")</f>
        <v/>
      </c>
      <c r="AP87" s="36" t="str">
        <f ca="1">IFERROR(+IF(AQ$27=#REF!,Milestone_Marker,IF(AND(AQ$27&gt;#REF!,AQ$27&lt;=#REF!+#REF!),$G$5,"")),"")</f>
        <v/>
      </c>
      <c r="AQ87" s="36" t="str">
        <f ca="1">IFERROR(+IF(AR$27=#REF!,Milestone_Marker,IF(AND(AR$27&gt;#REF!,AR$27&lt;=#REF!+#REF!),$G$5,"")),"")</f>
        <v/>
      </c>
      <c r="AR87" s="36" t="str">
        <f ca="1">IFERROR(+IF(AS$27=#REF!,Milestone_Marker,IF(AND(AS$27&gt;#REF!,AS$27&lt;=#REF!+#REF!),$G$5,"")),"")</f>
        <v/>
      </c>
      <c r="AS87" s="36" t="str">
        <f ca="1">IFERROR(+IF(AT$27=#REF!,Milestone_Marker,IF(AND(AT$27&gt;#REF!,AT$27&lt;=#REF!+#REF!),$G$5,"")),"")</f>
        <v/>
      </c>
      <c r="AT87" s="36" t="str">
        <f ca="1">IFERROR(+IF(AU$27=#REF!,Milestone_Marker,IF(AND(AU$27&gt;#REF!,AU$27&lt;=#REF!+#REF!),$G$5,"")),"")</f>
        <v/>
      </c>
      <c r="AU87" s="36" t="str">
        <f ca="1">IFERROR(+IF(AV$27=#REF!,Milestone_Marker,IF(AND(AV$27&gt;#REF!,AV$27&lt;=#REF!+#REF!),$G$5,"")),"")</f>
        <v/>
      </c>
      <c r="AV87" s="36" t="str">
        <f ca="1">IFERROR(+IF(AW$27=#REF!,Milestone_Marker,IF(AND(AW$27&gt;#REF!,AW$27&lt;=#REF!+#REF!),$G$5,"")),"")</f>
        <v/>
      </c>
      <c r="AW87" s="36" t="str">
        <f ca="1">IFERROR(+IF(AX$27=#REF!,Milestone_Marker,IF(AND(AX$27&gt;#REF!,AX$27&lt;=#REF!+#REF!),$G$5,"")),"")</f>
        <v/>
      </c>
      <c r="AX87" s="36" t="str">
        <f ca="1">IFERROR(+IF(AY$27=#REF!,Milestone_Marker,IF(AND(AY$27&gt;#REF!,AY$27&lt;=#REF!+#REF!),$G$5,"")),"")</f>
        <v/>
      </c>
      <c r="AY87" s="36" t="str">
        <f ca="1">IFERROR(+IF(AZ$27=#REF!,Milestone_Marker,IF(AND(AZ$27&gt;#REF!,AZ$27&lt;=#REF!+#REF!),$G$5,"")),"")</f>
        <v/>
      </c>
      <c r="AZ87" s="36" t="str">
        <f ca="1">IFERROR(+IF(BA$27=#REF!,Milestone_Marker,IF(AND(BA$27&gt;#REF!,BA$27&lt;=#REF!+#REF!),$G$5,"")),"")</f>
        <v/>
      </c>
      <c r="BA87" s="36" t="str">
        <f ca="1">IFERROR(+IF(BB$27=#REF!,Milestone_Marker,IF(AND(BB$27&gt;#REF!,BB$27&lt;=#REF!+#REF!),$G$5,"")),"")</f>
        <v/>
      </c>
      <c r="BB87" s="36" t="str">
        <f ca="1">IFERROR(+IF(BC$27=#REF!,Milestone_Marker,IF(AND(BC$27&gt;#REF!,BC$27&lt;=#REF!+#REF!),$G$5,"")),"")</f>
        <v/>
      </c>
      <c r="BC87" s="36" t="str">
        <f ca="1">IFERROR(+IF(BD$27=#REF!,Milestone_Marker,IF(AND(BD$27&gt;#REF!,BD$27&lt;=#REF!+#REF!),$G$5,"")),"")</f>
        <v/>
      </c>
      <c r="BD87" s="36" t="str">
        <f ca="1">IFERROR(+IF(BE$27=#REF!,Milestone_Marker,IF(AND(BE$27&gt;#REF!,BE$27&lt;=#REF!+#REF!),$G$5,"")),"")</f>
        <v/>
      </c>
      <c r="BE87" s="36" t="str">
        <f ca="1">IFERROR(+IF(BF$27=#REF!,Milestone_Marker,IF(AND(BF$27&gt;#REF!,BF$27&lt;=#REF!+#REF!),$G$5,"")),"")</f>
        <v/>
      </c>
      <c r="BF87" s="36" t="str">
        <f ca="1">IFERROR(+IF(BG$27=#REF!,Milestone_Marker,IF(AND(BG$27&gt;#REF!,BG$27&lt;=#REF!+#REF!),$G$5,"")),"")</f>
        <v/>
      </c>
      <c r="BG87" s="36" t="str">
        <f ca="1">IFERROR(+IF(BH$27=#REF!,Milestone_Marker,IF(AND(BH$27&gt;#REF!,BH$27&lt;=#REF!+#REF!),$G$5,"")),"")</f>
        <v/>
      </c>
      <c r="BH87" s="36" t="str">
        <f ca="1">IFERROR(+IF(BI$27=#REF!,Milestone_Marker,IF(AND(BI$27&gt;#REF!,BI$27&lt;=#REF!+#REF!),$G$5,"")),"")</f>
        <v/>
      </c>
      <c r="BI87" s="36" t="str">
        <f ca="1">IFERROR(+IF(BJ$27=#REF!,Milestone_Marker,IF(AND(BJ$27&gt;#REF!,BJ$27&lt;=#REF!+#REF!),$G$5,"")),"")</f>
        <v/>
      </c>
      <c r="BJ87" s="36" t="str">
        <f ca="1">IFERROR(+IF(BK$27=#REF!,Milestone_Marker,IF(AND(BK$27&gt;#REF!,BK$27&lt;=#REF!+#REF!),$G$5,"")),"")</f>
        <v/>
      </c>
      <c r="BK87" s="36" t="str">
        <f ca="1">IFERROR(+IF(BL$27=#REF!,Milestone_Marker,IF(AND(BL$27&gt;#REF!,BL$27&lt;=#REF!+#REF!),$G$5,"")),"")</f>
        <v/>
      </c>
      <c r="BL87" s="36" t="str">
        <f ca="1">IFERROR(+IF(BM$27=#REF!,Milestone_Marker,IF(AND(BM$27&gt;#REF!,BM$27&lt;=#REF!+#REF!),$G$5,"")),"")</f>
        <v/>
      </c>
      <c r="BM87" s="36" t="str">
        <f ca="1">IFERROR(+IF(BN$27=#REF!,Milestone_Marker,IF(AND(BN$27&gt;#REF!,BN$27&lt;=#REF!+#REF!),$G$5,"")),"")</f>
        <v/>
      </c>
      <c r="BN87" s="36" t="str">
        <f ca="1">IFERROR(+IF(BO$27=#REF!,Milestone_Marker,IF(AND(BO$27&gt;#REF!,BO$27&lt;=#REF!+#REF!),$G$5,"")),"")</f>
        <v/>
      </c>
      <c r="BO87" s="36" t="str">
        <f ca="1">IFERROR(+IF(BP$27=#REF!,Milestone_Marker,IF(AND(BP$27&gt;#REF!,BP$27&lt;=#REF!+#REF!),$G$5,"")),"")</f>
        <v/>
      </c>
      <c r="BP87" s="36" t="str">
        <f ca="1">IFERROR(+IF(BQ$27=#REF!,Milestone_Marker,IF(AND(BQ$27&gt;#REF!,BQ$27&lt;=#REF!+#REF!),$G$5,"")),"")</f>
        <v/>
      </c>
      <c r="BQ87" s="36" t="str">
        <f ca="1">IFERROR(+IF(BR$27=#REF!,Milestone_Marker,IF(AND(BR$27&gt;#REF!,BR$27&lt;=#REF!+#REF!),$G$5,"")),"")</f>
        <v/>
      </c>
      <c r="BR87" s="36" t="str">
        <f ca="1">IFERROR(+IF(BS$27=#REF!,Milestone_Marker,IF(AND(BS$27&gt;#REF!,BS$27&lt;=#REF!+#REF!),$G$5,"")),"")</f>
        <v/>
      </c>
      <c r="BS87" s="36" t="str">
        <f ca="1">IFERROR(+IF(BT$27=#REF!,Milestone_Marker,IF(AND(BT$27&gt;#REF!,BT$27&lt;=#REF!+#REF!),$G$5,"")),"")</f>
        <v/>
      </c>
      <c r="BT87" s="36" t="str">
        <f ca="1">IFERROR(+IF(BU$27=#REF!,Milestone_Marker,IF(AND(BU$27&gt;#REF!,BU$27&lt;=#REF!+#REF!),$G$5,"")),"")</f>
        <v/>
      </c>
      <c r="BU87" s="36" t="str">
        <f ca="1">IFERROR(+IF(BV$27=#REF!,Milestone_Marker,IF(AND(BV$27&gt;#REF!,BV$27&lt;=#REF!+#REF!),$G$5,"")),"")</f>
        <v/>
      </c>
      <c r="BV87" s="36" t="str">
        <f ca="1">IFERROR(+IF(BW$27=#REF!,Milestone_Marker,IF(AND(BW$27&gt;#REF!,BW$27&lt;=#REF!+#REF!),$G$5,"")),"")</f>
        <v/>
      </c>
      <c r="BW87" s="36" t="str">
        <f ca="1">IFERROR(+IF(BX$27=#REF!,Milestone_Marker,IF(AND(BX$27&gt;#REF!,BX$27&lt;=#REF!+#REF!),$G$5,"")),"")</f>
        <v/>
      </c>
      <c r="BX87" s="36" t="str">
        <f ca="1">IFERROR(+IF(BY$27=#REF!,Milestone_Marker,IF(AND(BY$27&gt;#REF!,BY$27&lt;=#REF!+#REF!),$G$5,"")),"")</f>
        <v/>
      </c>
      <c r="BY87" s="36" t="str">
        <f ca="1">IFERROR(+IF(BZ$27=#REF!,Milestone_Marker,IF(AND(BZ$27&gt;#REF!,BZ$27&lt;=#REF!+#REF!),$G$5,"")),"")</f>
        <v/>
      </c>
      <c r="BZ87" s="36" t="str">
        <f ca="1">IFERROR(+IF(CA$27=#REF!,Milestone_Marker,IF(AND(CA$27&gt;#REF!,CA$27&lt;=#REF!+#REF!),$G$5,"")),"")</f>
        <v/>
      </c>
      <c r="CA87" s="36" t="str">
        <f ca="1">IFERROR(+IF(CB$27=#REF!,Milestone_Marker,IF(AND(CB$27&gt;#REF!,CB$27&lt;=#REF!+#REF!),$G$5,"")),"")</f>
        <v/>
      </c>
      <c r="CB87" s="36" t="str">
        <f ca="1">IFERROR(+IF(CC$27=#REF!,Milestone_Marker,IF(AND(CC$27&gt;#REF!,CC$27&lt;=#REF!+#REF!),$G$5,"")),"")</f>
        <v/>
      </c>
      <c r="CC87" s="36" t="str">
        <f ca="1">IFERROR(+IF(CD$27=#REF!,Milestone_Marker,IF(AND(CD$27&gt;#REF!,CD$27&lt;=#REF!+#REF!),$G$5,"")),"")</f>
        <v/>
      </c>
      <c r="CD87" s="36" t="str">
        <f ca="1">IFERROR(+IF(CE$27=#REF!,Milestone_Marker,IF(AND(CE$27&gt;#REF!,CE$27&lt;=#REF!+#REF!),$G$5,"")),"")</f>
        <v/>
      </c>
      <c r="CE87" s="36" t="str">
        <f ca="1">IFERROR(+IF(CF$27=#REF!,Milestone_Marker,IF(AND(CF$27&gt;#REF!,CF$27&lt;=#REF!+#REF!),$G$5,"")),"")</f>
        <v/>
      </c>
      <c r="CF87" s="36" t="str">
        <f ca="1">IFERROR(+IF(CG$27=#REF!,Milestone_Marker,IF(AND(CG$27&gt;#REF!,CG$27&lt;=#REF!+#REF!),$G$5,"")),"")</f>
        <v/>
      </c>
      <c r="CG87" s="36" t="str">
        <f ca="1">IFERROR(+IF(CH$27=#REF!,Milestone_Marker,IF(AND(CH$27&gt;#REF!,CH$27&lt;=#REF!+#REF!),$G$5,"")),"")</f>
        <v/>
      </c>
      <c r="CH87" s="36" t="str">
        <f ca="1">IFERROR(+IF(CI$27=#REF!,Milestone_Marker,IF(AND(CI$27&gt;#REF!,CI$27&lt;=#REF!+#REF!),$G$5,"")),"")</f>
        <v/>
      </c>
      <c r="CI87" s="36" t="str">
        <f ca="1">IFERROR(+IF(CJ$27=#REF!,Milestone_Marker,IF(AND(CJ$27&gt;#REF!,CJ$27&lt;=#REF!+#REF!),$G$5,"")),"")</f>
        <v/>
      </c>
      <c r="CJ87" s="36" t="str">
        <f ca="1">IFERROR(+IF(CK$27=#REF!,Milestone_Marker,IF(AND(CK$27&gt;#REF!,CK$27&lt;=#REF!+#REF!),$G$5,"")),"")</f>
        <v/>
      </c>
      <c r="CK87" s="36" t="str">
        <f ca="1">IFERROR(+IF(CL$27=#REF!,Milestone_Marker,IF(AND(CL$27&gt;#REF!,CL$27&lt;=#REF!+#REF!),$G$5,"")),"")</f>
        <v/>
      </c>
      <c r="CL87" s="36" t="str">
        <f ca="1">IFERROR(+IF(CM$27=#REF!,Milestone_Marker,IF(AND(CM$27&gt;#REF!,CM$27&lt;=#REF!+#REF!),$G$5,"")),"")</f>
        <v/>
      </c>
      <c r="CM87" s="36" t="str">
        <f ca="1">IFERROR(+IF(CN$27=#REF!,Milestone_Marker,IF(AND(CN$27&gt;#REF!,CN$27&lt;=#REF!+#REF!),$G$5,"")),"")</f>
        <v/>
      </c>
      <c r="CN87" s="36" t="str">
        <f ca="1">IFERROR(+IF(CO$27=#REF!,Milestone_Marker,IF(AND(CO$27&gt;#REF!,CO$27&lt;=#REF!+#REF!),$G$5,"")),"")</f>
        <v/>
      </c>
      <c r="CO87" s="36" t="str">
        <f ca="1">IFERROR(+IF(CP$27=#REF!,Milestone_Marker,IF(AND(CP$27&gt;#REF!,CP$27&lt;=#REF!+#REF!),$G$5,"")),"")</f>
        <v/>
      </c>
      <c r="CP87" s="36" t="str">
        <f ca="1">IFERROR(+IF(CQ$27=#REF!,Milestone_Marker,IF(AND(CQ$27&gt;#REF!,CQ$27&lt;=#REF!+#REF!),$G$5,"")),"")</f>
        <v/>
      </c>
      <c r="CQ87" s="36" t="str">
        <f ca="1">IFERROR(+IF(CR$27=#REF!,Milestone_Marker,IF(AND(CR$27&gt;#REF!,CR$27&lt;=#REF!+#REF!),$G$5,"")),"")</f>
        <v/>
      </c>
      <c r="CR87" s="36" t="str">
        <f ca="1">IFERROR(+IF(CS$27=#REF!,Milestone_Marker,IF(AND(CS$27&gt;#REF!,CS$27&lt;=#REF!+#REF!),$G$5,"")),"")</f>
        <v/>
      </c>
      <c r="CS87" s="36" t="str">
        <f ca="1">IFERROR(+IF(CT$27=#REF!,Milestone_Marker,IF(AND(CT$27&gt;#REF!,CT$27&lt;=#REF!+#REF!),$G$5,"")),"")</f>
        <v/>
      </c>
      <c r="CT87" s="36" t="str">
        <f ca="1">IFERROR(+IF(CU$27=#REF!,Milestone_Marker,IF(AND(CU$27&gt;#REF!,CU$27&lt;=#REF!+#REF!),$G$5,"")),"")</f>
        <v/>
      </c>
    </row>
    <row r="88" spans="1:125" ht="18" customHeight="1" x14ac:dyDescent="0.25">
      <c r="P88" s="36" t="str">
        <f ca="1">IFERROR(+IF(Q$27=#REF!,Milestone_Marker,IF(AND(Q$27&gt;#REF!,Q$27&lt;=#REF!+#REF!),$G$5,"")),"")</f>
        <v/>
      </c>
      <c r="Q88" s="36" t="str">
        <f ca="1">IFERROR(+IF(R$27=#REF!,Milestone_Marker,IF(AND(R$27&gt;#REF!,R$27&lt;=#REF!+#REF!),$G$5,"")),"")</f>
        <v/>
      </c>
      <c r="R88" s="36" t="str">
        <f ca="1">IFERROR(+IF(S$27=#REF!,Milestone_Marker,IF(AND(S$27&gt;#REF!,S$27&lt;=#REF!+#REF!),$G$5,"")),"")</f>
        <v/>
      </c>
      <c r="S88" s="36" t="str">
        <f ca="1">IFERROR(+IF(T$27=#REF!,Milestone_Marker,IF(AND(T$27&gt;#REF!,T$27&lt;=#REF!+#REF!),$G$5,"")),"")</f>
        <v/>
      </c>
      <c r="T88" s="36" t="str">
        <f ca="1">IFERROR(+IF(U$27=#REF!,Milestone_Marker,IF(AND(U$27&gt;#REF!,U$27&lt;=#REF!+#REF!),$G$5,"")),"")</f>
        <v/>
      </c>
      <c r="U88" s="36" t="str">
        <f ca="1">IFERROR(+IF(V$27=#REF!,Milestone_Marker,IF(AND(V$27&gt;#REF!,V$27&lt;=#REF!+#REF!),$G$5,"")),"")</f>
        <v/>
      </c>
      <c r="V88" s="36" t="str">
        <f ca="1">IFERROR(+IF(W$27=#REF!,Milestone_Marker,IF(AND(W$27&gt;#REF!,W$27&lt;=#REF!+#REF!),$G$5,"")),"")</f>
        <v/>
      </c>
      <c r="W88" s="36" t="str">
        <f ca="1">IFERROR(+IF(X$27=#REF!,Milestone_Marker,IF(AND(X$27&gt;#REF!,X$27&lt;=#REF!+#REF!),$G$5,"")),"")</f>
        <v/>
      </c>
      <c r="X88" s="36" t="str">
        <f ca="1">IFERROR(+IF(Y$27=#REF!,Milestone_Marker,IF(AND(Y$27&gt;#REF!,Y$27&lt;=#REF!+#REF!),$G$5,"")),"")</f>
        <v/>
      </c>
      <c r="Y88" s="36" t="str">
        <f ca="1">IFERROR(+IF(Z$27=#REF!,Milestone_Marker,IF(AND(Z$27&gt;#REF!,Z$27&lt;=#REF!+#REF!),$G$5,"")),"")</f>
        <v/>
      </c>
      <c r="Z88" s="36" t="str">
        <f ca="1">IFERROR(+IF(AA$27=#REF!,Milestone_Marker,IF(AND(AA$27&gt;#REF!,AA$27&lt;=#REF!+#REF!),$G$5,"")),"")</f>
        <v/>
      </c>
      <c r="AA88" s="36" t="str">
        <f ca="1">IFERROR(+IF(AB$27=#REF!,Milestone_Marker,IF(AND(AB$27&gt;#REF!,AB$27&lt;=#REF!+#REF!),$G$5,"")),"")</f>
        <v/>
      </c>
      <c r="AB88" s="36" t="str">
        <f ca="1">IFERROR(+IF(AC$27=#REF!,Milestone_Marker,IF(AND(AC$27&gt;#REF!,AC$27&lt;=#REF!+#REF!),$G$5,"")),"")</f>
        <v/>
      </c>
      <c r="AC88" s="36" t="str">
        <f ca="1">IFERROR(+IF(AD$27=#REF!,Milestone_Marker,IF(AND(AD$27&gt;#REF!,AD$27&lt;=#REF!+#REF!),$G$5,"")),"")</f>
        <v/>
      </c>
      <c r="AD88" s="36" t="str">
        <f ca="1">IFERROR(+IF(AE$27=#REF!,Milestone_Marker,IF(AND(AE$27&gt;#REF!,AE$27&lt;=#REF!+#REF!),$G$5,"")),"")</f>
        <v/>
      </c>
      <c r="AE88" s="36" t="str">
        <f ca="1">IFERROR(+IF(AF$27=#REF!,Milestone_Marker,IF(AND(AF$27&gt;#REF!,AF$27&lt;=#REF!+#REF!),$G$5,"")),"")</f>
        <v/>
      </c>
      <c r="AF88" s="36" t="str">
        <f ca="1">IFERROR(+IF(AG$27=#REF!,Milestone_Marker,IF(AND(AG$27&gt;#REF!,AG$27&lt;=#REF!+#REF!),$G$5,"")),"")</f>
        <v/>
      </c>
      <c r="AG88" s="36" t="str">
        <f ca="1">IFERROR(+IF(AH$27=#REF!,Milestone_Marker,IF(AND(AH$27&gt;#REF!,AH$27&lt;=#REF!+#REF!),$G$5,"")),"")</f>
        <v/>
      </c>
      <c r="AH88" s="36" t="str">
        <f ca="1">IFERROR(+IF(AI$27=#REF!,Milestone_Marker,IF(AND(AI$27&gt;#REF!,AI$27&lt;=#REF!+#REF!),$G$5,"")),"")</f>
        <v/>
      </c>
      <c r="AI88" s="36" t="str">
        <f ca="1">IFERROR(+IF(AJ$27=#REF!,Milestone_Marker,IF(AND(AJ$27&gt;#REF!,AJ$27&lt;=#REF!+#REF!),$G$5,"")),"")</f>
        <v/>
      </c>
      <c r="AJ88" s="36" t="str">
        <f ca="1">IFERROR(+IF(AK$27=#REF!,Milestone_Marker,IF(AND(AK$27&gt;#REF!,AK$27&lt;=#REF!+#REF!),$G$5,"")),"")</f>
        <v/>
      </c>
      <c r="AK88" s="36" t="str">
        <f ca="1">IFERROR(+IF(AL$27=#REF!,Milestone_Marker,IF(AND(AL$27&gt;#REF!,AL$27&lt;=#REF!+#REF!),$G$5,"")),"")</f>
        <v/>
      </c>
      <c r="AL88" s="36" t="str">
        <f ca="1">IFERROR(+IF(AM$27=#REF!,Milestone_Marker,IF(AND(AM$27&gt;#REF!,AM$27&lt;=#REF!+#REF!),$G$5,"")),"")</f>
        <v/>
      </c>
      <c r="AM88" s="36" t="str">
        <f ca="1">IFERROR(+IF(AN$27=#REF!,Milestone_Marker,IF(AND(AN$27&gt;#REF!,AN$27&lt;=#REF!+#REF!),$G$5,"")),"")</f>
        <v/>
      </c>
      <c r="AN88" s="36" t="str">
        <f ca="1">IFERROR(+IF(AO$27=#REF!,Milestone_Marker,IF(AND(AO$27&gt;#REF!,AO$27&lt;=#REF!+#REF!),$G$5,"")),"")</f>
        <v/>
      </c>
      <c r="AO88" s="36" t="str">
        <f ca="1">IFERROR(+IF(AP$27=#REF!,Milestone_Marker,IF(AND(AP$27&gt;#REF!,AP$27&lt;=#REF!+#REF!),$G$5,"")),"")</f>
        <v/>
      </c>
      <c r="AP88" s="36" t="str">
        <f ca="1">IFERROR(+IF(AQ$27=#REF!,Milestone_Marker,IF(AND(AQ$27&gt;#REF!,AQ$27&lt;=#REF!+#REF!),$G$5,"")),"")</f>
        <v/>
      </c>
      <c r="AQ88" s="36" t="str">
        <f ca="1">IFERROR(+IF(AR$27=#REF!,Milestone_Marker,IF(AND(AR$27&gt;#REF!,AR$27&lt;=#REF!+#REF!),$G$5,"")),"")</f>
        <v/>
      </c>
      <c r="AR88" s="36" t="str">
        <f ca="1">IFERROR(+IF(AS$27=#REF!,Milestone_Marker,IF(AND(AS$27&gt;#REF!,AS$27&lt;=#REF!+#REF!),$G$5,"")),"")</f>
        <v/>
      </c>
      <c r="AS88" s="36" t="str">
        <f ca="1">IFERROR(+IF(AT$27=#REF!,Milestone_Marker,IF(AND(AT$27&gt;#REF!,AT$27&lt;=#REF!+#REF!),$G$5,"")),"")</f>
        <v/>
      </c>
      <c r="AT88" s="36" t="str">
        <f ca="1">IFERROR(+IF(AU$27=#REF!,Milestone_Marker,IF(AND(AU$27&gt;#REF!,AU$27&lt;=#REF!+#REF!),$G$5,"")),"")</f>
        <v/>
      </c>
      <c r="AU88" s="36" t="str">
        <f ca="1">IFERROR(+IF(AV$27=#REF!,Milestone_Marker,IF(AND(AV$27&gt;#REF!,AV$27&lt;=#REF!+#REF!),$G$5,"")),"")</f>
        <v/>
      </c>
      <c r="AV88" s="36" t="str">
        <f ca="1">IFERROR(+IF(AW$27=#REF!,Milestone_Marker,IF(AND(AW$27&gt;#REF!,AW$27&lt;=#REF!+#REF!),$G$5,"")),"")</f>
        <v/>
      </c>
      <c r="AW88" s="36" t="str">
        <f ca="1">IFERROR(+IF(AX$27=#REF!,Milestone_Marker,IF(AND(AX$27&gt;#REF!,AX$27&lt;=#REF!+#REF!),$G$5,"")),"")</f>
        <v/>
      </c>
      <c r="AX88" s="36" t="str">
        <f ca="1">IFERROR(+IF(AY$27=#REF!,Milestone_Marker,IF(AND(AY$27&gt;#REF!,AY$27&lt;=#REF!+#REF!),$G$5,"")),"")</f>
        <v/>
      </c>
      <c r="AY88" s="36" t="str">
        <f ca="1">IFERROR(+IF(AZ$27=#REF!,Milestone_Marker,IF(AND(AZ$27&gt;#REF!,AZ$27&lt;=#REF!+#REF!),$G$5,"")),"")</f>
        <v/>
      </c>
      <c r="AZ88" s="36" t="str">
        <f ca="1">IFERROR(+IF(BA$27=#REF!,Milestone_Marker,IF(AND(BA$27&gt;#REF!,BA$27&lt;=#REF!+#REF!),$G$5,"")),"")</f>
        <v/>
      </c>
      <c r="BA88" s="36" t="str">
        <f ca="1">IFERROR(+IF(BB$27=#REF!,Milestone_Marker,IF(AND(BB$27&gt;#REF!,BB$27&lt;=#REF!+#REF!),$G$5,"")),"")</f>
        <v/>
      </c>
      <c r="BB88" s="36" t="str">
        <f ca="1">IFERROR(+IF(BC$27=#REF!,Milestone_Marker,IF(AND(BC$27&gt;#REF!,BC$27&lt;=#REF!+#REF!),$G$5,"")),"")</f>
        <v/>
      </c>
      <c r="BC88" s="36" t="str">
        <f ca="1">IFERROR(+IF(BD$27=#REF!,Milestone_Marker,IF(AND(BD$27&gt;#REF!,BD$27&lt;=#REF!+#REF!),$G$5,"")),"")</f>
        <v/>
      </c>
      <c r="BD88" s="36" t="str">
        <f ca="1">IFERROR(+IF(BE$27=#REF!,Milestone_Marker,IF(AND(BE$27&gt;#REF!,BE$27&lt;=#REF!+#REF!),$G$5,"")),"")</f>
        <v/>
      </c>
      <c r="BE88" s="36" t="str">
        <f ca="1">IFERROR(+IF(BF$27=#REF!,Milestone_Marker,IF(AND(BF$27&gt;#REF!,BF$27&lt;=#REF!+#REF!),$G$5,"")),"")</f>
        <v/>
      </c>
      <c r="BF88" s="36" t="str">
        <f ca="1">IFERROR(+IF(BG$27=#REF!,Milestone_Marker,IF(AND(BG$27&gt;#REF!,BG$27&lt;=#REF!+#REF!),$G$5,"")),"")</f>
        <v/>
      </c>
      <c r="BG88" s="36" t="str">
        <f ca="1">IFERROR(+IF(BH$27=#REF!,Milestone_Marker,IF(AND(BH$27&gt;#REF!,BH$27&lt;=#REF!+#REF!),$G$5,"")),"")</f>
        <v/>
      </c>
      <c r="BH88" s="36" t="str">
        <f ca="1">IFERROR(+IF(BI$27=#REF!,Milestone_Marker,IF(AND(BI$27&gt;#REF!,BI$27&lt;=#REF!+#REF!),$G$5,"")),"")</f>
        <v/>
      </c>
      <c r="BI88" s="36" t="str">
        <f ca="1">IFERROR(+IF(BJ$27=#REF!,Milestone_Marker,IF(AND(BJ$27&gt;#REF!,BJ$27&lt;=#REF!+#REF!),$G$5,"")),"")</f>
        <v/>
      </c>
      <c r="BJ88" s="36" t="str">
        <f ca="1">IFERROR(+IF(BK$27=#REF!,Milestone_Marker,IF(AND(BK$27&gt;#REF!,BK$27&lt;=#REF!+#REF!),$G$5,"")),"")</f>
        <v/>
      </c>
      <c r="BK88" s="36" t="str">
        <f ca="1">IFERROR(+IF(BL$27=#REF!,Milestone_Marker,IF(AND(BL$27&gt;#REF!,BL$27&lt;=#REF!+#REF!),$G$5,"")),"")</f>
        <v/>
      </c>
      <c r="BL88" s="36" t="str">
        <f ca="1">IFERROR(+IF(BM$27=#REF!,Milestone_Marker,IF(AND(BM$27&gt;#REF!,BM$27&lt;=#REF!+#REF!),$G$5,"")),"")</f>
        <v/>
      </c>
      <c r="BM88" s="36" t="str">
        <f ca="1">IFERROR(+IF(BN$27=#REF!,Milestone_Marker,IF(AND(BN$27&gt;#REF!,BN$27&lt;=#REF!+#REF!),$G$5,"")),"")</f>
        <v/>
      </c>
      <c r="BN88" s="36" t="str">
        <f ca="1">IFERROR(+IF(BO$27=#REF!,Milestone_Marker,IF(AND(BO$27&gt;#REF!,BO$27&lt;=#REF!+#REF!),$G$5,"")),"")</f>
        <v/>
      </c>
      <c r="BO88" s="36" t="str">
        <f ca="1">IFERROR(+IF(BP$27=#REF!,Milestone_Marker,IF(AND(BP$27&gt;#REF!,BP$27&lt;=#REF!+#REF!),$G$5,"")),"")</f>
        <v/>
      </c>
      <c r="BP88" s="36" t="str">
        <f ca="1">IFERROR(+IF(BQ$27=#REF!,Milestone_Marker,IF(AND(BQ$27&gt;#REF!,BQ$27&lt;=#REF!+#REF!),$G$5,"")),"")</f>
        <v/>
      </c>
      <c r="BQ88" s="36" t="str">
        <f ca="1">IFERROR(+IF(BR$27=#REF!,Milestone_Marker,IF(AND(BR$27&gt;#REF!,BR$27&lt;=#REF!+#REF!),$G$5,"")),"")</f>
        <v/>
      </c>
      <c r="BR88" s="36" t="str">
        <f ca="1">IFERROR(+IF(BS$27=#REF!,Milestone_Marker,IF(AND(BS$27&gt;#REF!,BS$27&lt;=#REF!+#REF!),$G$5,"")),"")</f>
        <v/>
      </c>
      <c r="BS88" s="36" t="str">
        <f ca="1">IFERROR(+IF(BT$27=#REF!,Milestone_Marker,IF(AND(BT$27&gt;#REF!,BT$27&lt;=#REF!+#REF!),$G$5,"")),"")</f>
        <v/>
      </c>
      <c r="BT88" s="36" t="str">
        <f ca="1">IFERROR(+IF(BU$27=#REF!,Milestone_Marker,IF(AND(BU$27&gt;#REF!,BU$27&lt;=#REF!+#REF!),$G$5,"")),"")</f>
        <v/>
      </c>
      <c r="BU88" s="36" t="str">
        <f ca="1">IFERROR(+IF(BV$27=#REF!,Milestone_Marker,IF(AND(BV$27&gt;#REF!,BV$27&lt;=#REF!+#REF!),$G$5,"")),"")</f>
        <v/>
      </c>
      <c r="BV88" s="36" t="str">
        <f ca="1">IFERROR(+IF(BW$27=#REF!,Milestone_Marker,IF(AND(BW$27&gt;#REF!,BW$27&lt;=#REF!+#REF!),$G$5,"")),"")</f>
        <v/>
      </c>
      <c r="BW88" s="36" t="str">
        <f ca="1">IFERROR(+IF(BX$27=#REF!,Milestone_Marker,IF(AND(BX$27&gt;#REF!,BX$27&lt;=#REF!+#REF!),$G$5,"")),"")</f>
        <v/>
      </c>
      <c r="BX88" s="36" t="str">
        <f ca="1">IFERROR(+IF(BY$27=#REF!,Milestone_Marker,IF(AND(BY$27&gt;#REF!,BY$27&lt;=#REF!+#REF!),$G$5,"")),"")</f>
        <v/>
      </c>
      <c r="BY88" s="36" t="str">
        <f ca="1">IFERROR(+IF(BZ$27=#REF!,Milestone_Marker,IF(AND(BZ$27&gt;#REF!,BZ$27&lt;=#REF!+#REF!),$G$5,"")),"")</f>
        <v/>
      </c>
      <c r="BZ88" s="36" t="str">
        <f ca="1">IFERROR(+IF(CA$27=#REF!,Milestone_Marker,IF(AND(CA$27&gt;#REF!,CA$27&lt;=#REF!+#REF!),$G$5,"")),"")</f>
        <v/>
      </c>
      <c r="CA88" s="36" t="str">
        <f ca="1">IFERROR(+IF(CB$27=#REF!,Milestone_Marker,IF(AND(CB$27&gt;#REF!,CB$27&lt;=#REF!+#REF!),$G$5,"")),"")</f>
        <v/>
      </c>
      <c r="CB88" s="36" t="str">
        <f ca="1">IFERROR(+IF(CC$27=#REF!,Milestone_Marker,IF(AND(CC$27&gt;#REF!,CC$27&lt;=#REF!+#REF!),$G$5,"")),"")</f>
        <v/>
      </c>
      <c r="CC88" s="36" t="str">
        <f ca="1">IFERROR(+IF(CD$27=#REF!,Milestone_Marker,IF(AND(CD$27&gt;#REF!,CD$27&lt;=#REF!+#REF!),$G$5,"")),"")</f>
        <v/>
      </c>
      <c r="CD88" s="36" t="str">
        <f ca="1">IFERROR(+IF(CE$27=#REF!,Milestone_Marker,IF(AND(CE$27&gt;#REF!,CE$27&lt;=#REF!+#REF!),$G$5,"")),"")</f>
        <v/>
      </c>
      <c r="CE88" s="36" t="str">
        <f ca="1">IFERROR(+IF(CF$27=#REF!,Milestone_Marker,IF(AND(CF$27&gt;#REF!,CF$27&lt;=#REF!+#REF!),$G$5,"")),"")</f>
        <v/>
      </c>
      <c r="CF88" s="36" t="str">
        <f ca="1">IFERROR(+IF(CG$27=#REF!,Milestone_Marker,IF(AND(CG$27&gt;#REF!,CG$27&lt;=#REF!+#REF!),$G$5,"")),"")</f>
        <v/>
      </c>
      <c r="CG88" s="36" t="str">
        <f ca="1">IFERROR(+IF(CH$27=#REF!,Milestone_Marker,IF(AND(CH$27&gt;#REF!,CH$27&lt;=#REF!+#REF!),$G$5,"")),"")</f>
        <v/>
      </c>
      <c r="CH88" s="36" t="str">
        <f ca="1">IFERROR(+IF(CI$27=#REF!,Milestone_Marker,IF(AND(CI$27&gt;#REF!,CI$27&lt;=#REF!+#REF!),$G$5,"")),"")</f>
        <v/>
      </c>
      <c r="CI88" s="36" t="str">
        <f ca="1">IFERROR(+IF(CJ$27=#REF!,Milestone_Marker,IF(AND(CJ$27&gt;#REF!,CJ$27&lt;=#REF!+#REF!),$G$5,"")),"")</f>
        <v/>
      </c>
      <c r="CJ88" s="36" t="str">
        <f ca="1">IFERROR(+IF(CK$27=#REF!,Milestone_Marker,IF(AND(CK$27&gt;#REF!,CK$27&lt;=#REF!+#REF!),$G$5,"")),"")</f>
        <v/>
      </c>
      <c r="CK88" s="36" t="str">
        <f ca="1">IFERROR(+IF(CL$27=#REF!,Milestone_Marker,IF(AND(CL$27&gt;#REF!,CL$27&lt;=#REF!+#REF!),$G$5,"")),"")</f>
        <v/>
      </c>
      <c r="CL88" s="36" t="str">
        <f ca="1">IFERROR(+IF(CM$27=#REF!,Milestone_Marker,IF(AND(CM$27&gt;#REF!,CM$27&lt;=#REF!+#REF!),$G$5,"")),"")</f>
        <v/>
      </c>
      <c r="CM88" s="36" t="str">
        <f ca="1">IFERROR(+IF(CN$27=#REF!,Milestone_Marker,IF(AND(CN$27&gt;#REF!,CN$27&lt;=#REF!+#REF!),$G$5,"")),"")</f>
        <v/>
      </c>
      <c r="CN88" s="36" t="str">
        <f ca="1">IFERROR(+IF(CO$27=#REF!,Milestone_Marker,IF(AND(CO$27&gt;#REF!,CO$27&lt;=#REF!+#REF!),$G$5,"")),"")</f>
        <v/>
      </c>
      <c r="CO88" s="36" t="str">
        <f ca="1">IFERROR(+IF(CP$27=#REF!,Milestone_Marker,IF(AND(CP$27&gt;#REF!,CP$27&lt;=#REF!+#REF!),$G$5,"")),"")</f>
        <v/>
      </c>
      <c r="CP88" s="36" t="str">
        <f ca="1">IFERROR(+IF(CQ$27=#REF!,Milestone_Marker,IF(AND(CQ$27&gt;#REF!,CQ$27&lt;=#REF!+#REF!),$G$5,"")),"")</f>
        <v/>
      </c>
      <c r="CQ88" s="36" t="str">
        <f ca="1">IFERROR(+IF(CR$27=#REF!,Milestone_Marker,IF(AND(CR$27&gt;#REF!,CR$27&lt;=#REF!+#REF!),$G$5,"")),"")</f>
        <v/>
      </c>
      <c r="CR88" s="36" t="str">
        <f ca="1">IFERROR(+IF(CS$27=#REF!,Milestone_Marker,IF(AND(CS$27&gt;#REF!,CS$27&lt;=#REF!+#REF!),$G$5,"")),"")</f>
        <v/>
      </c>
      <c r="CS88" s="36" t="str">
        <f ca="1">IFERROR(+IF(CT$27=#REF!,Milestone_Marker,IF(AND(CT$27&gt;#REF!,CT$27&lt;=#REF!+#REF!),$G$5,"")),"")</f>
        <v/>
      </c>
      <c r="CT88" s="36" t="str">
        <f ca="1">IFERROR(+IF(CU$27=#REF!,Milestone_Marker,IF(AND(CU$27&gt;#REF!,CU$27&lt;=#REF!+#REF!),$G$5,"")),"")</f>
        <v/>
      </c>
    </row>
    <row r="89" spans="1:125" ht="18" customHeight="1" x14ac:dyDescent="0.25">
      <c r="P89" s="36" t="str">
        <f ca="1">IFERROR(+IF(Q$27=#REF!,Milestone_Marker,IF(AND(Q$27&gt;#REF!,Q$27&lt;=#REF!+#REF!),$G$5,"")),"")</f>
        <v/>
      </c>
      <c r="Q89" s="36" t="str">
        <f ca="1">IFERROR(+IF(R$27=#REF!,Milestone_Marker,IF(AND(R$27&gt;#REF!,R$27&lt;=#REF!+#REF!),$G$5,"")),"")</f>
        <v/>
      </c>
      <c r="R89" s="36" t="str">
        <f ca="1">IFERROR(+IF(S$27=#REF!,Milestone_Marker,IF(AND(S$27&gt;#REF!,S$27&lt;=#REF!+#REF!),$G$5,"")),"")</f>
        <v/>
      </c>
      <c r="S89" s="36" t="str">
        <f ca="1">IFERROR(+IF(T$27=#REF!,Milestone_Marker,IF(AND(T$27&gt;#REF!,T$27&lt;=#REF!+#REF!),$G$5,"")),"")</f>
        <v/>
      </c>
      <c r="T89" s="36" t="str">
        <f ca="1">IFERROR(+IF(U$27=#REF!,Milestone_Marker,IF(AND(U$27&gt;#REF!,U$27&lt;=#REF!+#REF!),$G$5,"")),"")</f>
        <v/>
      </c>
      <c r="U89" s="36" t="str">
        <f ca="1">IFERROR(+IF(V$27=#REF!,Milestone_Marker,IF(AND(V$27&gt;#REF!,V$27&lt;=#REF!+#REF!),$G$5,"")),"")</f>
        <v/>
      </c>
      <c r="V89" s="36" t="str">
        <f ca="1">IFERROR(+IF(W$27=#REF!,Milestone_Marker,IF(AND(W$27&gt;#REF!,W$27&lt;=#REF!+#REF!),$G$5,"")),"")</f>
        <v/>
      </c>
      <c r="W89" s="36" t="str">
        <f ca="1">IFERROR(+IF(X$27=#REF!,Milestone_Marker,IF(AND(X$27&gt;#REF!,X$27&lt;=#REF!+#REF!),$G$5,"")),"")</f>
        <v/>
      </c>
      <c r="X89" s="36" t="str">
        <f ca="1">IFERROR(+IF(Y$27=#REF!,Milestone_Marker,IF(AND(Y$27&gt;#REF!,Y$27&lt;=#REF!+#REF!),$G$5,"")),"")</f>
        <v/>
      </c>
      <c r="Y89" s="36" t="str">
        <f ca="1">IFERROR(+IF(Z$27=#REF!,Milestone_Marker,IF(AND(Z$27&gt;#REF!,Z$27&lt;=#REF!+#REF!),$G$5,"")),"")</f>
        <v/>
      </c>
      <c r="Z89" s="36" t="str">
        <f ca="1">IFERROR(+IF(AA$27=#REF!,Milestone_Marker,IF(AND(AA$27&gt;#REF!,AA$27&lt;=#REF!+#REF!),$G$5,"")),"")</f>
        <v/>
      </c>
      <c r="AA89" s="36" t="str">
        <f ca="1">IFERROR(+IF(AB$27=#REF!,Milestone_Marker,IF(AND(AB$27&gt;#REF!,AB$27&lt;=#REF!+#REF!),$G$5,"")),"")</f>
        <v/>
      </c>
      <c r="AB89" s="36" t="str">
        <f ca="1">IFERROR(+IF(AC$27=#REF!,Milestone_Marker,IF(AND(AC$27&gt;#REF!,AC$27&lt;=#REF!+#REF!),$G$5,"")),"")</f>
        <v/>
      </c>
      <c r="AC89" s="36" t="str">
        <f ca="1">IFERROR(+IF(AD$27=#REF!,Milestone_Marker,IF(AND(AD$27&gt;#REF!,AD$27&lt;=#REF!+#REF!),$G$5,"")),"")</f>
        <v/>
      </c>
      <c r="AD89" s="36" t="str">
        <f ca="1">IFERROR(+IF(AE$27=#REF!,Milestone_Marker,IF(AND(AE$27&gt;#REF!,AE$27&lt;=#REF!+#REF!),$G$5,"")),"")</f>
        <v/>
      </c>
      <c r="AE89" s="36" t="str">
        <f ca="1">IFERROR(+IF(AF$27=#REF!,Milestone_Marker,IF(AND(AF$27&gt;#REF!,AF$27&lt;=#REF!+#REF!),$G$5,"")),"")</f>
        <v/>
      </c>
      <c r="AF89" s="36" t="str">
        <f ca="1">IFERROR(+IF(AG$27=#REF!,Milestone_Marker,IF(AND(AG$27&gt;#REF!,AG$27&lt;=#REF!+#REF!),$G$5,"")),"")</f>
        <v/>
      </c>
      <c r="AG89" s="36" t="str">
        <f ca="1">IFERROR(+IF(AH$27=#REF!,Milestone_Marker,IF(AND(AH$27&gt;#REF!,AH$27&lt;=#REF!+#REF!),$G$5,"")),"")</f>
        <v/>
      </c>
      <c r="AH89" s="36" t="str">
        <f ca="1">IFERROR(+IF(AI$27=#REF!,Milestone_Marker,IF(AND(AI$27&gt;#REF!,AI$27&lt;=#REF!+#REF!),$G$5,"")),"")</f>
        <v/>
      </c>
      <c r="AI89" s="36" t="str">
        <f ca="1">IFERROR(+IF(AJ$27=#REF!,Milestone_Marker,IF(AND(AJ$27&gt;#REF!,AJ$27&lt;=#REF!+#REF!),$G$5,"")),"")</f>
        <v/>
      </c>
      <c r="AJ89" s="36" t="str">
        <f ca="1">IFERROR(+IF(AK$27=#REF!,Milestone_Marker,IF(AND(AK$27&gt;#REF!,AK$27&lt;=#REF!+#REF!),$G$5,"")),"")</f>
        <v/>
      </c>
      <c r="AK89" s="36" t="str">
        <f ca="1">IFERROR(+IF(AL$27=#REF!,Milestone_Marker,IF(AND(AL$27&gt;#REF!,AL$27&lt;=#REF!+#REF!),$G$5,"")),"")</f>
        <v/>
      </c>
      <c r="AL89" s="36" t="str">
        <f ca="1">IFERROR(+IF(AM$27=#REF!,Milestone_Marker,IF(AND(AM$27&gt;#REF!,AM$27&lt;=#REF!+#REF!),$G$5,"")),"")</f>
        <v/>
      </c>
      <c r="AM89" s="36" t="str">
        <f ca="1">IFERROR(+IF(AN$27=#REF!,Milestone_Marker,IF(AND(AN$27&gt;#REF!,AN$27&lt;=#REF!+#REF!),$G$5,"")),"")</f>
        <v/>
      </c>
      <c r="AN89" s="36" t="str">
        <f ca="1">IFERROR(+IF(AO$27=#REF!,Milestone_Marker,IF(AND(AO$27&gt;#REF!,AO$27&lt;=#REF!+#REF!),$G$5,"")),"")</f>
        <v/>
      </c>
      <c r="AO89" s="36" t="str">
        <f ca="1">IFERROR(+IF(AP$27=#REF!,Milestone_Marker,IF(AND(AP$27&gt;#REF!,AP$27&lt;=#REF!+#REF!),$G$5,"")),"")</f>
        <v/>
      </c>
      <c r="AP89" s="36" t="str">
        <f ca="1">IFERROR(+IF(AQ$27=#REF!,Milestone_Marker,IF(AND(AQ$27&gt;#REF!,AQ$27&lt;=#REF!+#REF!),$G$5,"")),"")</f>
        <v/>
      </c>
      <c r="AQ89" s="36" t="str">
        <f ca="1">IFERROR(+IF(AR$27=#REF!,Milestone_Marker,IF(AND(AR$27&gt;#REF!,AR$27&lt;=#REF!+#REF!),$G$5,"")),"")</f>
        <v/>
      </c>
      <c r="AR89" s="36" t="str">
        <f ca="1">IFERROR(+IF(AS$27=#REF!,Milestone_Marker,IF(AND(AS$27&gt;#REF!,AS$27&lt;=#REF!+#REF!),$G$5,"")),"")</f>
        <v/>
      </c>
      <c r="AS89" s="36" t="str">
        <f ca="1">IFERROR(+IF(AT$27=#REF!,Milestone_Marker,IF(AND(AT$27&gt;#REF!,AT$27&lt;=#REF!+#REF!),$G$5,"")),"")</f>
        <v/>
      </c>
      <c r="AT89" s="36" t="str">
        <f ca="1">IFERROR(+IF(AU$27=#REF!,Milestone_Marker,IF(AND(AU$27&gt;#REF!,AU$27&lt;=#REF!+#REF!),$G$5,"")),"")</f>
        <v/>
      </c>
      <c r="AU89" s="36" t="str">
        <f ca="1">IFERROR(+IF(AV$27=#REF!,Milestone_Marker,IF(AND(AV$27&gt;#REF!,AV$27&lt;=#REF!+#REF!),$G$5,"")),"")</f>
        <v/>
      </c>
      <c r="AV89" s="36" t="str">
        <f ca="1">IFERROR(+IF(AW$27=#REF!,Milestone_Marker,IF(AND(AW$27&gt;#REF!,AW$27&lt;=#REF!+#REF!),$G$5,"")),"")</f>
        <v/>
      </c>
      <c r="AW89" s="36" t="str">
        <f ca="1">IFERROR(+IF(AX$27=#REF!,Milestone_Marker,IF(AND(AX$27&gt;#REF!,AX$27&lt;=#REF!+#REF!),$G$5,"")),"")</f>
        <v/>
      </c>
      <c r="AX89" s="36" t="str">
        <f ca="1">IFERROR(+IF(AY$27=#REF!,Milestone_Marker,IF(AND(AY$27&gt;#REF!,AY$27&lt;=#REF!+#REF!),$G$5,"")),"")</f>
        <v/>
      </c>
      <c r="AY89" s="36" t="str">
        <f ca="1">IFERROR(+IF(AZ$27=#REF!,Milestone_Marker,IF(AND(AZ$27&gt;#REF!,AZ$27&lt;=#REF!+#REF!),$G$5,"")),"")</f>
        <v/>
      </c>
      <c r="AZ89" s="36" t="str">
        <f ca="1">IFERROR(+IF(BA$27=#REF!,Milestone_Marker,IF(AND(BA$27&gt;#REF!,BA$27&lt;=#REF!+#REF!),$G$5,"")),"")</f>
        <v/>
      </c>
      <c r="BA89" s="36" t="str">
        <f ca="1">IFERROR(+IF(BB$27=#REF!,Milestone_Marker,IF(AND(BB$27&gt;#REF!,BB$27&lt;=#REF!+#REF!),$G$5,"")),"")</f>
        <v/>
      </c>
      <c r="BB89" s="36" t="str">
        <f ca="1">IFERROR(+IF(BC$27=#REF!,Milestone_Marker,IF(AND(BC$27&gt;#REF!,BC$27&lt;=#REF!+#REF!),$G$5,"")),"")</f>
        <v/>
      </c>
      <c r="BC89" s="36" t="str">
        <f ca="1">IFERROR(+IF(BD$27=#REF!,Milestone_Marker,IF(AND(BD$27&gt;#REF!,BD$27&lt;=#REF!+#REF!),$G$5,"")),"")</f>
        <v/>
      </c>
      <c r="BD89" s="36" t="str">
        <f ca="1">IFERROR(+IF(BE$27=#REF!,Milestone_Marker,IF(AND(BE$27&gt;#REF!,BE$27&lt;=#REF!+#REF!),$G$5,"")),"")</f>
        <v/>
      </c>
      <c r="BE89" s="36" t="str">
        <f ca="1">IFERROR(+IF(BF$27=#REF!,Milestone_Marker,IF(AND(BF$27&gt;#REF!,BF$27&lt;=#REF!+#REF!),$G$5,"")),"")</f>
        <v/>
      </c>
      <c r="BF89" s="36" t="str">
        <f ca="1">IFERROR(+IF(BG$27=#REF!,Milestone_Marker,IF(AND(BG$27&gt;#REF!,BG$27&lt;=#REF!+#REF!),$G$5,"")),"")</f>
        <v/>
      </c>
      <c r="BG89" s="36" t="str">
        <f ca="1">IFERROR(+IF(BH$27=#REF!,Milestone_Marker,IF(AND(BH$27&gt;#REF!,BH$27&lt;=#REF!+#REF!),$G$5,"")),"")</f>
        <v/>
      </c>
      <c r="BH89" s="36" t="str">
        <f ca="1">IFERROR(+IF(BI$27=#REF!,Milestone_Marker,IF(AND(BI$27&gt;#REF!,BI$27&lt;=#REF!+#REF!),$G$5,"")),"")</f>
        <v/>
      </c>
      <c r="BI89" s="36" t="str">
        <f ca="1">IFERROR(+IF(BJ$27=#REF!,Milestone_Marker,IF(AND(BJ$27&gt;#REF!,BJ$27&lt;=#REF!+#REF!),$G$5,"")),"")</f>
        <v/>
      </c>
      <c r="BJ89" s="36" t="str">
        <f ca="1">IFERROR(+IF(BK$27=#REF!,Milestone_Marker,IF(AND(BK$27&gt;#REF!,BK$27&lt;=#REF!+#REF!),$G$5,"")),"")</f>
        <v/>
      </c>
      <c r="BK89" s="36" t="str">
        <f ca="1">IFERROR(+IF(BL$27=#REF!,Milestone_Marker,IF(AND(BL$27&gt;#REF!,BL$27&lt;=#REF!+#REF!),$G$5,"")),"")</f>
        <v/>
      </c>
      <c r="BL89" s="36" t="str">
        <f ca="1">IFERROR(+IF(BM$27=#REF!,Milestone_Marker,IF(AND(BM$27&gt;#REF!,BM$27&lt;=#REF!+#REF!),$G$5,"")),"")</f>
        <v/>
      </c>
      <c r="BM89" s="36" t="str">
        <f ca="1">IFERROR(+IF(BN$27=#REF!,Milestone_Marker,IF(AND(BN$27&gt;#REF!,BN$27&lt;=#REF!+#REF!),$G$5,"")),"")</f>
        <v/>
      </c>
      <c r="BN89" s="36" t="str">
        <f ca="1">IFERROR(+IF(BO$27=#REF!,Milestone_Marker,IF(AND(BO$27&gt;#REF!,BO$27&lt;=#REF!+#REF!),$G$5,"")),"")</f>
        <v/>
      </c>
      <c r="BO89" s="36" t="str">
        <f ca="1">IFERROR(+IF(BP$27=#REF!,Milestone_Marker,IF(AND(BP$27&gt;#REF!,BP$27&lt;=#REF!+#REF!),$G$5,"")),"")</f>
        <v/>
      </c>
      <c r="BP89" s="36" t="str">
        <f ca="1">IFERROR(+IF(BQ$27=#REF!,Milestone_Marker,IF(AND(BQ$27&gt;#REF!,BQ$27&lt;=#REF!+#REF!),$G$5,"")),"")</f>
        <v/>
      </c>
      <c r="BQ89" s="36" t="str">
        <f ca="1">IFERROR(+IF(BR$27=#REF!,Milestone_Marker,IF(AND(BR$27&gt;#REF!,BR$27&lt;=#REF!+#REF!),$G$5,"")),"")</f>
        <v/>
      </c>
      <c r="BR89" s="36" t="str">
        <f ca="1">IFERROR(+IF(BS$27=#REF!,Milestone_Marker,IF(AND(BS$27&gt;#REF!,BS$27&lt;=#REF!+#REF!),$G$5,"")),"")</f>
        <v/>
      </c>
      <c r="BS89" s="36" t="str">
        <f ca="1">IFERROR(+IF(BT$27=#REF!,Milestone_Marker,IF(AND(BT$27&gt;#REF!,BT$27&lt;=#REF!+#REF!),$G$5,"")),"")</f>
        <v/>
      </c>
      <c r="BT89" s="36" t="str">
        <f ca="1">IFERROR(+IF(BU$27=#REF!,Milestone_Marker,IF(AND(BU$27&gt;#REF!,BU$27&lt;=#REF!+#REF!),$G$5,"")),"")</f>
        <v/>
      </c>
      <c r="BU89" s="36" t="str">
        <f ca="1">IFERROR(+IF(BV$27=#REF!,Milestone_Marker,IF(AND(BV$27&gt;#REF!,BV$27&lt;=#REF!+#REF!),$G$5,"")),"")</f>
        <v/>
      </c>
      <c r="BV89" s="36" t="str">
        <f ca="1">IFERROR(+IF(BW$27=#REF!,Milestone_Marker,IF(AND(BW$27&gt;#REF!,BW$27&lt;=#REF!+#REF!),$G$5,"")),"")</f>
        <v/>
      </c>
      <c r="BW89" s="36" t="str">
        <f ca="1">IFERROR(+IF(BX$27=#REF!,Milestone_Marker,IF(AND(BX$27&gt;#REF!,BX$27&lt;=#REF!+#REF!),$G$5,"")),"")</f>
        <v/>
      </c>
      <c r="BX89" s="36" t="str">
        <f ca="1">IFERROR(+IF(BY$27=#REF!,Milestone_Marker,IF(AND(BY$27&gt;#REF!,BY$27&lt;=#REF!+#REF!),$G$5,"")),"")</f>
        <v/>
      </c>
      <c r="BY89" s="36" t="str">
        <f ca="1">IFERROR(+IF(BZ$27=#REF!,Milestone_Marker,IF(AND(BZ$27&gt;#REF!,BZ$27&lt;=#REF!+#REF!),$G$5,"")),"")</f>
        <v/>
      </c>
      <c r="BZ89" s="36" t="str">
        <f ca="1">IFERROR(+IF(CA$27=#REF!,Milestone_Marker,IF(AND(CA$27&gt;#REF!,CA$27&lt;=#REF!+#REF!),$G$5,"")),"")</f>
        <v/>
      </c>
      <c r="CA89" s="36" t="str">
        <f ca="1">IFERROR(+IF(CB$27=#REF!,Milestone_Marker,IF(AND(CB$27&gt;#REF!,CB$27&lt;=#REF!+#REF!),$G$5,"")),"")</f>
        <v/>
      </c>
      <c r="CB89" s="36" t="str">
        <f ca="1">IFERROR(+IF(CC$27=#REF!,Milestone_Marker,IF(AND(CC$27&gt;#REF!,CC$27&lt;=#REF!+#REF!),$G$5,"")),"")</f>
        <v/>
      </c>
      <c r="CC89" s="36" t="str">
        <f ca="1">IFERROR(+IF(CD$27=#REF!,Milestone_Marker,IF(AND(CD$27&gt;#REF!,CD$27&lt;=#REF!+#REF!),$G$5,"")),"")</f>
        <v/>
      </c>
      <c r="CD89" s="36" t="str">
        <f ca="1">IFERROR(+IF(CE$27=#REF!,Milestone_Marker,IF(AND(CE$27&gt;#REF!,CE$27&lt;=#REF!+#REF!),$G$5,"")),"")</f>
        <v/>
      </c>
      <c r="CE89" s="36" t="str">
        <f ca="1">IFERROR(+IF(CF$27=#REF!,Milestone_Marker,IF(AND(CF$27&gt;#REF!,CF$27&lt;=#REF!+#REF!),$G$5,"")),"")</f>
        <v/>
      </c>
      <c r="CF89" s="36" t="str">
        <f ca="1">IFERROR(+IF(CG$27=#REF!,Milestone_Marker,IF(AND(CG$27&gt;#REF!,CG$27&lt;=#REF!+#REF!),$G$5,"")),"")</f>
        <v/>
      </c>
      <c r="CG89" s="36" t="str">
        <f ca="1">IFERROR(+IF(CH$27=#REF!,Milestone_Marker,IF(AND(CH$27&gt;#REF!,CH$27&lt;=#REF!+#REF!),$G$5,"")),"")</f>
        <v/>
      </c>
      <c r="CH89" s="36" t="str">
        <f ca="1">IFERROR(+IF(CI$27=#REF!,Milestone_Marker,IF(AND(CI$27&gt;#REF!,CI$27&lt;=#REF!+#REF!),$G$5,"")),"")</f>
        <v/>
      </c>
      <c r="CI89" s="36" t="str">
        <f ca="1">IFERROR(+IF(CJ$27=#REF!,Milestone_Marker,IF(AND(CJ$27&gt;#REF!,CJ$27&lt;=#REF!+#REF!),$G$5,"")),"")</f>
        <v/>
      </c>
      <c r="CJ89" s="36" t="str">
        <f ca="1">IFERROR(+IF(CK$27=#REF!,Milestone_Marker,IF(AND(CK$27&gt;#REF!,CK$27&lt;=#REF!+#REF!),$G$5,"")),"")</f>
        <v/>
      </c>
      <c r="CK89" s="36" t="str">
        <f ca="1">IFERROR(+IF(CL$27=#REF!,Milestone_Marker,IF(AND(CL$27&gt;#REF!,CL$27&lt;=#REF!+#REF!),$G$5,"")),"")</f>
        <v/>
      </c>
      <c r="CL89" s="36" t="str">
        <f ca="1">IFERROR(+IF(CM$27=#REF!,Milestone_Marker,IF(AND(CM$27&gt;#REF!,CM$27&lt;=#REF!+#REF!),$G$5,"")),"")</f>
        <v/>
      </c>
      <c r="CM89" s="36" t="str">
        <f ca="1">IFERROR(+IF(CN$27=#REF!,Milestone_Marker,IF(AND(CN$27&gt;#REF!,CN$27&lt;=#REF!+#REF!),$G$5,"")),"")</f>
        <v/>
      </c>
      <c r="CN89" s="36" t="str">
        <f ca="1">IFERROR(+IF(CO$27=#REF!,Milestone_Marker,IF(AND(CO$27&gt;#REF!,CO$27&lt;=#REF!+#REF!),$G$5,"")),"")</f>
        <v/>
      </c>
      <c r="CO89" s="36" t="str">
        <f ca="1">IFERROR(+IF(CP$27=#REF!,Milestone_Marker,IF(AND(CP$27&gt;#REF!,CP$27&lt;=#REF!+#REF!),$G$5,"")),"")</f>
        <v/>
      </c>
      <c r="CP89" s="36" t="str">
        <f ca="1">IFERROR(+IF(CQ$27=#REF!,Milestone_Marker,IF(AND(CQ$27&gt;#REF!,CQ$27&lt;=#REF!+#REF!),$G$5,"")),"")</f>
        <v/>
      </c>
      <c r="CQ89" s="36" t="str">
        <f ca="1">IFERROR(+IF(CR$27=#REF!,Milestone_Marker,IF(AND(CR$27&gt;#REF!,CR$27&lt;=#REF!+#REF!),$G$5,"")),"")</f>
        <v/>
      </c>
      <c r="CR89" s="36" t="str">
        <f ca="1">IFERROR(+IF(CS$27=#REF!,Milestone_Marker,IF(AND(CS$27&gt;#REF!,CS$27&lt;=#REF!+#REF!),$G$5,"")),"")</f>
        <v/>
      </c>
      <c r="CS89" s="36" t="str">
        <f ca="1">IFERROR(+IF(CT$27=#REF!,Milestone_Marker,IF(AND(CT$27&gt;#REF!,CT$27&lt;=#REF!+#REF!),$G$5,"")),"")</f>
        <v/>
      </c>
      <c r="CT89" s="36" t="str">
        <f ca="1">IFERROR(+IF(CU$27=#REF!,Milestone_Marker,IF(AND(CU$27&gt;#REF!,CU$27&lt;=#REF!+#REF!),$G$5,"")),"")</f>
        <v/>
      </c>
    </row>
    <row r="90" spans="1:125" ht="18" customHeight="1" x14ac:dyDescent="0.25">
      <c r="P90" s="36" t="str">
        <f ca="1">IFERROR(+IF(Q$27=#REF!,Milestone_Marker,IF(AND(Q$27&gt;#REF!,Q$27&lt;=#REF!+#REF!),$G$5,"")),"")</f>
        <v/>
      </c>
      <c r="Q90" s="36" t="str">
        <f ca="1">IFERROR(+IF(R$27=#REF!,Milestone_Marker,IF(AND(R$27&gt;#REF!,R$27&lt;=#REF!+#REF!),$G$5,"")),"")</f>
        <v/>
      </c>
      <c r="R90" s="36" t="str">
        <f ca="1">IFERROR(+IF(S$27=#REF!,Milestone_Marker,IF(AND(S$27&gt;#REF!,S$27&lt;=#REF!+#REF!),$G$5,"")),"")</f>
        <v/>
      </c>
      <c r="S90" s="36" t="str">
        <f ca="1">IFERROR(+IF(T$27=#REF!,Milestone_Marker,IF(AND(T$27&gt;#REF!,T$27&lt;=#REF!+#REF!),$G$5,"")),"")</f>
        <v/>
      </c>
      <c r="T90" s="36" t="str">
        <f ca="1">IFERROR(+IF(U$27=#REF!,Milestone_Marker,IF(AND(U$27&gt;#REF!,U$27&lt;=#REF!+#REF!),$G$5,"")),"")</f>
        <v/>
      </c>
      <c r="U90" s="36" t="str">
        <f ca="1">IFERROR(+IF(V$27=#REF!,Milestone_Marker,IF(AND(V$27&gt;#REF!,V$27&lt;=#REF!+#REF!),$G$5,"")),"")</f>
        <v/>
      </c>
      <c r="V90" s="36" t="str">
        <f ca="1">IFERROR(+IF(W$27=#REF!,Milestone_Marker,IF(AND(W$27&gt;#REF!,W$27&lt;=#REF!+#REF!),$G$5,"")),"")</f>
        <v/>
      </c>
      <c r="W90" s="36" t="str">
        <f ca="1">IFERROR(+IF(X$27=#REF!,Milestone_Marker,IF(AND(X$27&gt;#REF!,X$27&lt;=#REF!+#REF!),$G$5,"")),"")</f>
        <v/>
      </c>
      <c r="X90" s="36" t="str">
        <f ca="1">IFERROR(+IF(Y$27=#REF!,Milestone_Marker,IF(AND(Y$27&gt;#REF!,Y$27&lt;=#REF!+#REF!),$G$5,"")),"")</f>
        <v/>
      </c>
      <c r="Y90" s="36" t="str">
        <f ca="1">IFERROR(+IF(Z$27=#REF!,Milestone_Marker,IF(AND(Z$27&gt;#REF!,Z$27&lt;=#REF!+#REF!),$G$5,"")),"")</f>
        <v/>
      </c>
      <c r="Z90" s="36" t="str">
        <f ca="1">IFERROR(+IF(AA$27=#REF!,Milestone_Marker,IF(AND(AA$27&gt;#REF!,AA$27&lt;=#REF!+#REF!),$G$5,"")),"")</f>
        <v/>
      </c>
      <c r="AA90" s="36" t="str">
        <f ca="1">IFERROR(+IF(AB$27=#REF!,Milestone_Marker,IF(AND(AB$27&gt;#REF!,AB$27&lt;=#REF!+#REF!),$G$5,"")),"")</f>
        <v/>
      </c>
      <c r="AB90" s="36" t="str">
        <f ca="1">IFERROR(+IF(AC$27=#REF!,Milestone_Marker,IF(AND(AC$27&gt;#REF!,AC$27&lt;=#REF!+#REF!),$G$5,"")),"")</f>
        <v/>
      </c>
      <c r="AC90" s="36" t="str">
        <f ca="1">IFERROR(+IF(AD$27=#REF!,Milestone_Marker,IF(AND(AD$27&gt;#REF!,AD$27&lt;=#REF!+#REF!),$G$5,"")),"")</f>
        <v/>
      </c>
      <c r="AD90" s="36" t="str">
        <f ca="1">IFERROR(+IF(AE$27=#REF!,Milestone_Marker,IF(AND(AE$27&gt;#REF!,AE$27&lt;=#REF!+#REF!),$G$5,"")),"")</f>
        <v/>
      </c>
      <c r="AE90" s="36" t="str">
        <f ca="1">IFERROR(+IF(AF$27=#REF!,Milestone_Marker,IF(AND(AF$27&gt;#REF!,AF$27&lt;=#REF!+#REF!),$G$5,"")),"")</f>
        <v/>
      </c>
      <c r="AF90" s="36" t="str">
        <f ca="1">IFERROR(+IF(AG$27=#REF!,Milestone_Marker,IF(AND(AG$27&gt;#REF!,AG$27&lt;=#REF!+#REF!),$G$5,"")),"")</f>
        <v/>
      </c>
      <c r="AG90" s="36" t="str">
        <f ca="1">IFERROR(+IF(AH$27=#REF!,Milestone_Marker,IF(AND(AH$27&gt;#REF!,AH$27&lt;=#REF!+#REF!),$G$5,"")),"")</f>
        <v/>
      </c>
      <c r="AH90" s="36" t="str">
        <f ca="1">IFERROR(+IF(AI$27=#REF!,Milestone_Marker,IF(AND(AI$27&gt;#REF!,AI$27&lt;=#REF!+#REF!),$G$5,"")),"")</f>
        <v/>
      </c>
      <c r="AI90" s="36" t="str">
        <f ca="1">IFERROR(+IF(AJ$27=#REF!,Milestone_Marker,IF(AND(AJ$27&gt;#REF!,AJ$27&lt;=#REF!+#REF!),$G$5,"")),"")</f>
        <v/>
      </c>
      <c r="AJ90" s="36" t="str">
        <f ca="1">IFERROR(+IF(AK$27=#REF!,Milestone_Marker,IF(AND(AK$27&gt;#REF!,AK$27&lt;=#REF!+#REF!),$G$5,"")),"")</f>
        <v/>
      </c>
      <c r="AK90" s="36" t="str">
        <f ca="1">IFERROR(+IF(AL$27=#REF!,Milestone_Marker,IF(AND(AL$27&gt;#REF!,AL$27&lt;=#REF!+#REF!),$G$5,"")),"")</f>
        <v/>
      </c>
      <c r="AL90" s="36" t="str">
        <f ca="1">IFERROR(+IF(AM$27=#REF!,Milestone_Marker,IF(AND(AM$27&gt;#REF!,AM$27&lt;=#REF!+#REF!),$G$5,"")),"")</f>
        <v/>
      </c>
      <c r="AM90" s="36" t="str">
        <f ca="1">IFERROR(+IF(AN$27=#REF!,Milestone_Marker,IF(AND(AN$27&gt;#REF!,AN$27&lt;=#REF!+#REF!),$G$5,"")),"")</f>
        <v/>
      </c>
      <c r="AN90" s="36" t="str">
        <f ca="1">IFERROR(+IF(AO$27=#REF!,Milestone_Marker,IF(AND(AO$27&gt;#REF!,AO$27&lt;=#REF!+#REF!),$G$5,"")),"")</f>
        <v/>
      </c>
      <c r="AO90" s="36" t="str">
        <f ca="1">IFERROR(+IF(AP$27=#REF!,Milestone_Marker,IF(AND(AP$27&gt;#REF!,AP$27&lt;=#REF!+#REF!),$G$5,"")),"")</f>
        <v/>
      </c>
      <c r="AP90" s="36" t="str">
        <f ca="1">IFERROR(+IF(AQ$27=#REF!,Milestone_Marker,IF(AND(AQ$27&gt;#REF!,AQ$27&lt;=#REF!+#REF!),$G$5,"")),"")</f>
        <v/>
      </c>
      <c r="AQ90" s="36" t="str">
        <f ca="1">IFERROR(+IF(AR$27=#REF!,Milestone_Marker,IF(AND(AR$27&gt;#REF!,AR$27&lt;=#REF!+#REF!),$G$5,"")),"")</f>
        <v/>
      </c>
      <c r="AR90" s="36" t="str">
        <f ca="1">IFERROR(+IF(AS$27=#REF!,Milestone_Marker,IF(AND(AS$27&gt;#REF!,AS$27&lt;=#REF!+#REF!),$G$5,"")),"")</f>
        <v/>
      </c>
      <c r="AS90" s="36" t="str">
        <f ca="1">IFERROR(+IF(AT$27=#REF!,Milestone_Marker,IF(AND(AT$27&gt;#REF!,AT$27&lt;=#REF!+#REF!),$G$5,"")),"")</f>
        <v/>
      </c>
      <c r="AT90" s="36" t="str">
        <f ca="1">IFERROR(+IF(AU$27=#REF!,Milestone_Marker,IF(AND(AU$27&gt;#REF!,AU$27&lt;=#REF!+#REF!),$G$5,"")),"")</f>
        <v/>
      </c>
      <c r="AU90" s="36" t="str">
        <f ca="1">IFERROR(+IF(AV$27=#REF!,Milestone_Marker,IF(AND(AV$27&gt;#REF!,AV$27&lt;=#REF!+#REF!),$G$5,"")),"")</f>
        <v/>
      </c>
      <c r="AV90" s="36" t="str">
        <f ca="1">IFERROR(+IF(AW$27=#REF!,Milestone_Marker,IF(AND(AW$27&gt;#REF!,AW$27&lt;=#REF!+#REF!),$G$5,"")),"")</f>
        <v/>
      </c>
      <c r="AW90" s="36" t="str">
        <f ca="1">IFERROR(+IF(AX$27=#REF!,Milestone_Marker,IF(AND(AX$27&gt;#REF!,AX$27&lt;=#REF!+#REF!),$G$5,"")),"")</f>
        <v/>
      </c>
      <c r="AX90" s="36" t="str">
        <f ca="1">IFERROR(+IF(AY$27=#REF!,Milestone_Marker,IF(AND(AY$27&gt;#REF!,AY$27&lt;=#REF!+#REF!),$G$5,"")),"")</f>
        <v/>
      </c>
      <c r="AY90" s="36" t="str">
        <f ca="1">IFERROR(+IF(AZ$27=#REF!,Milestone_Marker,IF(AND(AZ$27&gt;#REF!,AZ$27&lt;=#REF!+#REF!),$G$5,"")),"")</f>
        <v/>
      </c>
      <c r="AZ90" s="36" t="str">
        <f ca="1">IFERROR(+IF(BA$27=#REF!,Milestone_Marker,IF(AND(BA$27&gt;#REF!,BA$27&lt;=#REF!+#REF!),$G$5,"")),"")</f>
        <v/>
      </c>
      <c r="BA90" s="36" t="str">
        <f ca="1">IFERROR(+IF(BB$27=#REF!,Milestone_Marker,IF(AND(BB$27&gt;#REF!,BB$27&lt;=#REF!+#REF!),$G$5,"")),"")</f>
        <v/>
      </c>
      <c r="BB90" s="36" t="str">
        <f ca="1">IFERROR(+IF(BC$27=#REF!,Milestone_Marker,IF(AND(BC$27&gt;#REF!,BC$27&lt;=#REF!+#REF!),$G$5,"")),"")</f>
        <v/>
      </c>
      <c r="BC90" s="36" t="str">
        <f ca="1">IFERROR(+IF(BD$27=#REF!,Milestone_Marker,IF(AND(BD$27&gt;#REF!,BD$27&lt;=#REF!+#REF!),$G$5,"")),"")</f>
        <v/>
      </c>
      <c r="BD90" s="36" t="str">
        <f ca="1">IFERROR(+IF(BE$27=#REF!,Milestone_Marker,IF(AND(BE$27&gt;#REF!,BE$27&lt;=#REF!+#REF!),$G$5,"")),"")</f>
        <v/>
      </c>
      <c r="BE90" s="36" t="str">
        <f ca="1">IFERROR(+IF(BF$27=#REF!,Milestone_Marker,IF(AND(BF$27&gt;#REF!,BF$27&lt;=#REF!+#REF!),$G$5,"")),"")</f>
        <v/>
      </c>
      <c r="BF90" s="36" t="str">
        <f ca="1">IFERROR(+IF(BG$27=#REF!,Milestone_Marker,IF(AND(BG$27&gt;#REF!,BG$27&lt;=#REF!+#REF!),$G$5,"")),"")</f>
        <v/>
      </c>
      <c r="BG90" s="36" t="str">
        <f ca="1">IFERROR(+IF(BH$27=#REF!,Milestone_Marker,IF(AND(BH$27&gt;#REF!,BH$27&lt;=#REF!+#REF!),$G$5,"")),"")</f>
        <v/>
      </c>
      <c r="BH90" s="36" t="str">
        <f ca="1">IFERROR(+IF(BI$27=#REF!,Milestone_Marker,IF(AND(BI$27&gt;#REF!,BI$27&lt;=#REF!+#REF!),$G$5,"")),"")</f>
        <v/>
      </c>
      <c r="BI90" s="36" t="str">
        <f ca="1">IFERROR(+IF(BJ$27=#REF!,Milestone_Marker,IF(AND(BJ$27&gt;#REF!,BJ$27&lt;=#REF!+#REF!),$G$5,"")),"")</f>
        <v/>
      </c>
      <c r="BJ90" s="36" t="str">
        <f ca="1">IFERROR(+IF(BK$27=#REF!,Milestone_Marker,IF(AND(BK$27&gt;#REF!,BK$27&lt;=#REF!+#REF!),$G$5,"")),"")</f>
        <v/>
      </c>
      <c r="BK90" s="36" t="str">
        <f ca="1">IFERROR(+IF(BL$27=#REF!,Milestone_Marker,IF(AND(BL$27&gt;#REF!,BL$27&lt;=#REF!+#REF!),$G$5,"")),"")</f>
        <v/>
      </c>
      <c r="BL90" s="36" t="str">
        <f ca="1">IFERROR(+IF(BM$27=#REF!,Milestone_Marker,IF(AND(BM$27&gt;#REF!,BM$27&lt;=#REF!+#REF!),$G$5,"")),"")</f>
        <v/>
      </c>
      <c r="BM90" s="36" t="str">
        <f ca="1">IFERROR(+IF(BN$27=#REF!,Milestone_Marker,IF(AND(BN$27&gt;#REF!,BN$27&lt;=#REF!+#REF!),$G$5,"")),"")</f>
        <v/>
      </c>
      <c r="BN90" s="36" t="str">
        <f ca="1">IFERROR(+IF(BO$27=#REF!,Milestone_Marker,IF(AND(BO$27&gt;#REF!,BO$27&lt;=#REF!+#REF!),$G$5,"")),"")</f>
        <v/>
      </c>
      <c r="BO90" s="36" t="str">
        <f ca="1">IFERROR(+IF(BP$27=#REF!,Milestone_Marker,IF(AND(BP$27&gt;#REF!,BP$27&lt;=#REF!+#REF!),$G$5,"")),"")</f>
        <v/>
      </c>
      <c r="BP90" s="36" t="str">
        <f ca="1">IFERROR(+IF(BQ$27=#REF!,Milestone_Marker,IF(AND(BQ$27&gt;#REF!,BQ$27&lt;=#REF!+#REF!),$G$5,"")),"")</f>
        <v/>
      </c>
      <c r="BQ90" s="36" t="str">
        <f ca="1">IFERROR(+IF(BR$27=#REF!,Milestone_Marker,IF(AND(BR$27&gt;#REF!,BR$27&lt;=#REF!+#REF!),$G$5,"")),"")</f>
        <v/>
      </c>
      <c r="BR90" s="36" t="str">
        <f ca="1">IFERROR(+IF(BS$27=#REF!,Milestone_Marker,IF(AND(BS$27&gt;#REF!,BS$27&lt;=#REF!+#REF!),$G$5,"")),"")</f>
        <v/>
      </c>
      <c r="BS90" s="36" t="str">
        <f ca="1">IFERROR(+IF(BT$27=#REF!,Milestone_Marker,IF(AND(BT$27&gt;#REF!,BT$27&lt;=#REF!+#REF!),$G$5,"")),"")</f>
        <v/>
      </c>
      <c r="BT90" s="36" t="str">
        <f ca="1">IFERROR(+IF(BU$27=#REF!,Milestone_Marker,IF(AND(BU$27&gt;#REF!,BU$27&lt;=#REF!+#REF!),$G$5,"")),"")</f>
        <v/>
      </c>
      <c r="BU90" s="36" t="str">
        <f ca="1">IFERROR(+IF(BV$27=#REF!,Milestone_Marker,IF(AND(BV$27&gt;#REF!,BV$27&lt;=#REF!+#REF!),$G$5,"")),"")</f>
        <v/>
      </c>
      <c r="BV90" s="36" t="str">
        <f ca="1">IFERROR(+IF(BW$27=#REF!,Milestone_Marker,IF(AND(BW$27&gt;#REF!,BW$27&lt;=#REF!+#REF!),$G$5,"")),"")</f>
        <v/>
      </c>
      <c r="BW90" s="36" t="str">
        <f ca="1">IFERROR(+IF(BX$27=#REF!,Milestone_Marker,IF(AND(BX$27&gt;#REF!,BX$27&lt;=#REF!+#REF!),$G$5,"")),"")</f>
        <v/>
      </c>
      <c r="BX90" s="36" t="str">
        <f ca="1">IFERROR(+IF(BY$27=#REF!,Milestone_Marker,IF(AND(BY$27&gt;#REF!,BY$27&lt;=#REF!+#REF!),$G$5,"")),"")</f>
        <v/>
      </c>
      <c r="BY90" s="36" t="str">
        <f ca="1">IFERROR(+IF(BZ$27=#REF!,Milestone_Marker,IF(AND(BZ$27&gt;#REF!,BZ$27&lt;=#REF!+#REF!),$G$5,"")),"")</f>
        <v/>
      </c>
      <c r="BZ90" s="36" t="str">
        <f ca="1">IFERROR(+IF(CA$27=#REF!,Milestone_Marker,IF(AND(CA$27&gt;#REF!,CA$27&lt;=#REF!+#REF!),$G$5,"")),"")</f>
        <v/>
      </c>
      <c r="CA90" s="36" t="str">
        <f ca="1">IFERROR(+IF(CB$27=#REF!,Milestone_Marker,IF(AND(CB$27&gt;#REF!,CB$27&lt;=#REF!+#REF!),$G$5,"")),"")</f>
        <v/>
      </c>
      <c r="CB90" s="36" t="str">
        <f ca="1">IFERROR(+IF(CC$27=#REF!,Milestone_Marker,IF(AND(CC$27&gt;#REF!,CC$27&lt;=#REF!+#REF!),$G$5,"")),"")</f>
        <v/>
      </c>
      <c r="CC90" s="36" t="str">
        <f ca="1">IFERROR(+IF(CD$27=#REF!,Milestone_Marker,IF(AND(CD$27&gt;#REF!,CD$27&lt;=#REF!+#REF!),$G$5,"")),"")</f>
        <v/>
      </c>
      <c r="CD90" s="36" t="str">
        <f ca="1">IFERROR(+IF(CE$27=#REF!,Milestone_Marker,IF(AND(CE$27&gt;#REF!,CE$27&lt;=#REF!+#REF!),$G$5,"")),"")</f>
        <v/>
      </c>
      <c r="CE90" s="36" t="str">
        <f ca="1">IFERROR(+IF(CF$27=#REF!,Milestone_Marker,IF(AND(CF$27&gt;#REF!,CF$27&lt;=#REF!+#REF!),$G$5,"")),"")</f>
        <v/>
      </c>
      <c r="CF90" s="36" t="str">
        <f ca="1">IFERROR(+IF(CG$27=#REF!,Milestone_Marker,IF(AND(CG$27&gt;#REF!,CG$27&lt;=#REF!+#REF!),$G$5,"")),"")</f>
        <v/>
      </c>
      <c r="CG90" s="36" t="str">
        <f ca="1">IFERROR(+IF(CH$27=#REF!,Milestone_Marker,IF(AND(CH$27&gt;#REF!,CH$27&lt;=#REF!+#REF!),$G$5,"")),"")</f>
        <v/>
      </c>
      <c r="CH90" s="36" t="str">
        <f ca="1">IFERROR(+IF(CI$27=#REF!,Milestone_Marker,IF(AND(CI$27&gt;#REF!,CI$27&lt;=#REF!+#REF!),$G$5,"")),"")</f>
        <v/>
      </c>
      <c r="CI90" s="36" t="str">
        <f ca="1">IFERROR(+IF(CJ$27=#REF!,Milestone_Marker,IF(AND(CJ$27&gt;#REF!,CJ$27&lt;=#REF!+#REF!),$G$5,"")),"")</f>
        <v/>
      </c>
      <c r="CJ90" s="36" t="str">
        <f ca="1">IFERROR(+IF(CK$27=#REF!,Milestone_Marker,IF(AND(CK$27&gt;#REF!,CK$27&lt;=#REF!+#REF!),$G$5,"")),"")</f>
        <v/>
      </c>
      <c r="CK90" s="36" t="str">
        <f ca="1">IFERROR(+IF(CL$27=#REF!,Milestone_Marker,IF(AND(CL$27&gt;#REF!,CL$27&lt;=#REF!+#REF!),$G$5,"")),"")</f>
        <v/>
      </c>
      <c r="CL90" s="36" t="str">
        <f ca="1">IFERROR(+IF(CM$27=#REF!,Milestone_Marker,IF(AND(CM$27&gt;#REF!,CM$27&lt;=#REF!+#REF!),$G$5,"")),"")</f>
        <v/>
      </c>
      <c r="CM90" s="36" t="str">
        <f ca="1">IFERROR(+IF(CN$27=#REF!,Milestone_Marker,IF(AND(CN$27&gt;#REF!,CN$27&lt;=#REF!+#REF!),$G$5,"")),"")</f>
        <v/>
      </c>
      <c r="CN90" s="36" t="str">
        <f ca="1">IFERROR(+IF(CO$27=#REF!,Milestone_Marker,IF(AND(CO$27&gt;#REF!,CO$27&lt;=#REF!+#REF!),$G$5,"")),"")</f>
        <v/>
      </c>
      <c r="CO90" s="36" t="str">
        <f ca="1">IFERROR(+IF(CP$27=#REF!,Milestone_Marker,IF(AND(CP$27&gt;#REF!,CP$27&lt;=#REF!+#REF!),$G$5,"")),"")</f>
        <v/>
      </c>
      <c r="CP90" s="36" t="str">
        <f ca="1">IFERROR(+IF(CQ$27=#REF!,Milestone_Marker,IF(AND(CQ$27&gt;#REF!,CQ$27&lt;=#REF!+#REF!),$G$5,"")),"")</f>
        <v/>
      </c>
      <c r="CQ90" s="36" t="str">
        <f ca="1">IFERROR(+IF(CR$27=#REF!,Milestone_Marker,IF(AND(CR$27&gt;#REF!,CR$27&lt;=#REF!+#REF!),$G$5,"")),"")</f>
        <v/>
      </c>
      <c r="CR90" s="36" t="str">
        <f ca="1">IFERROR(+IF(CS$27=#REF!,Milestone_Marker,IF(AND(CS$27&gt;#REF!,CS$27&lt;=#REF!+#REF!),$G$5,"")),"")</f>
        <v/>
      </c>
      <c r="CS90" s="36" t="str">
        <f ca="1">IFERROR(+IF(CT$27=#REF!,Milestone_Marker,IF(AND(CT$27&gt;#REF!,CT$27&lt;=#REF!+#REF!),$G$5,"")),"")</f>
        <v/>
      </c>
      <c r="CT90" s="36" t="str">
        <f ca="1">IFERROR(+IF(CU$27=#REF!,Milestone_Marker,IF(AND(CU$27&gt;#REF!,CU$27&lt;=#REF!+#REF!),$G$5,"")),"")</f>
        <v/>
      </c>
    </row>
    <row r="91" spans="1:125" ht="18" customHeight="1" x14ac:dyDescent="0.25">
      <c r="P91" s="36" t="str">
        <f ca="1">IFERROR(+IF(Q$27=#REF!,Milestone_Marker,IF(AND(Q$27&gt;#REF!,Q$27&lt;=#REF!+#REF!),$G$5,"")),"")</f>
        <v/>
      </c>
      <c r="Q91" s="36" t="str">
        <f ca="1">IFERROR(+IF(R$27=#REF!,Milestone_Marker,IF(AND(R$27&gt;#REF!,R$27&lt;=#REF!+#REF!),$G$5,"")),"")</f>
        <v/>
      </c>
      <c r="R91" s="36" t="str">
        <f ca="1">IFERROR(+IF(S$27=#REF!,Milestone_Marker,IF(AND(S$27&gt;#REF!,S$27&lt;=#REF!+#REF!),$G$5,"")),"")</f>
        <v/>
      </c>
      <c r="S91" s="36" t="str">
        <f ca="1">IFERROR(+IF(T$27=#REF!,Milestone_Marker,IF(AND(T$27&gt;#REF!,T$27&lt;=#REF!+#REF!),$G$5,"")),"")</f>
        <v/>
      </c>
      <c r="T91" s="36" t="str">
        <f ca="1">IFERROR(+IF(U$27=#REF!,Milestone_Marker,IF(AND(U$27&gt;#REF!,U$27&lt;=#REF!+#REF!),$G$5,"")),"")</f>
        <v/>
      </c>
      <c r="U91" s="36" t="str">
        <f ca="1">IFERROR(+IF(V$27=#REF!,Milestone_Marker,IF(AND(V$27&gt;#REF!,V$27&lt;=#REF!+#REF!),$G$5,"")),"")</f>
        <v/>
      </c>
      <c r="V91" s="36" t="str">
        <f ca="1">IFERROR(+IF(W$27=#REF!,Milestone_Marker,IF(AND(W$27&gt;#REF!,W$27&lt;=#REF!+#REF!),$G$5,"")),"")</f>
        <v/>
      </c>
      <c r="W91" s="36" t="str">
        <f ca="1">IFERROR(+IF(X$27=#REF!,Milestone_Marker,IF(AND(X$27&gt;#REF!,X$27&lt;=#REF!+#REF!),$G$5,"")),"")</f>
        <v/>
      </c>
      <c r="X91" s="36" t="str">
        <f ca="1">IFERROR(+IF(Y$27=#REF!,Milestone_Marker,IF(AND(Y$27&gt;#REF!,Y$27&lt;=#REF!+#REF!),$G$5,"")),"")</f>
        <v/>
      </c>
      <c r="Y91" s="36" t="str">
        <f ca="1">IFERROR(+IF(Z$27=#REF!,Milestone_Marker,IF(AND(Z$27&gt;#REF!,Z$27&lt;=#REF!+#REF!),$G$5,"")),"")</f>
        <v/>
      </c>
      <c r="Z91" s="36" t="str">
        <f ca="1">IFERROR(+IF(AA$27=#REF!,Milestone_Marker,IF(AND(AA$27&gt;#REF!,AA$27&lt;=#REF!+#REF!),$G$5,"")),"")</f>
        <v/>
      </c>
      <c r="AA91" s="36" t="str">
        <f ca="1">IFERROR(+IF(AB$27=#REF!,Milestone_Marker,IF(AND(AB$27&gt;#REF!,AB$27&lt;=#REF!+#REF!),$G$5,"")),"")</f>
        <v/>
      </c>
      <c r="AB91" s="36" t="str">
        <f ca="1">IFERROR(+IF(AC$27=#REF!,Milestone_Marker,IF(AND(AC$27&gt;#REF!,AC$27&lt;=#REF!+#REF!),$G$5,"")),"")</f>
        <v/>
      </c>
      <c r="AC91" s="36" t="str">
        <f ca="1">IFERROR(+IF(AD$27=#REF!,Milestone_Marker,IF(AND(AD$27&gt;#REF!,AD$27&lt;=#REF!+#REF!),$G$5,"")),"")</f>
        <v/>
      </c>
      <c r="AD91" s="36" t="str">
        <f ca="1">IFERROR(+IF(AE$27=#REF!,Milestone_Marker,IF(AND(AE$27&gt;#REF!,AE$27&lt;=#REF!+#REF!),$G$5,"")),"")</f>
        <v/>
      </c>
      <c r="AE91" s="36" t="str">
        <f ca="1">IFERROR(+IF(AF$27=#REF!,Milestone_Marker,IF(AND(AF$27&gt;#REF!,AF$27&lt;=#REF!+#REF!),$G$5,"")),"")</f>
        <v/>
      </c>
      <c r="AF91" s="36" t="str">
        <f ca="1">IFERROR(+IF(AG$27=#REF!,Milestone_Marker,IF(AND(AG$27&gt;#REF!,AG$27&lt;=#REF!+#REF!),$G$5,"")),"")</f>
        <v/>
      </c>
      <c r="AG91" s="36" t="str">
        <f ca="1">IFERROR(+IF(AH$27=#REF!,Milestone_Marker,IF(AND(AH$27&gt;#REF!,AH$27&lt;=#REF!+#REF!),$G$5,"")),"")</f>
        <v/>
      </c>
      <c r="AH91" s="36" t="str">
        <f ca="1">IFERROR(+IF(AI$27=#REF!,Milestone_Marker,IF(AND(AI$27&gt;#REF!,AI$27&lt;=#REF!+#REF!),$G$5,"")),"")</f>
        <v/>
      </c>
      <c r="AI91" s="36" t="str">
        <f ca="1">IFERROR(+IF(AJ$27=#REF!,Milestone_Marker,IF(AND(AJ$27&gt;#REF!,AJ$27&lt;=#REF!+#REF!),$G$5,"")),"")</f>
        <v/>
      </c>
      <c r="AJ91" s="36" t="str">
        <f ca="1">IFERROR(+IF(AK$27=#REF!,Milestone_Marker,IF(AND(AK$27&gt;#REF!,AK$27&lt;=#REF!+#REF!),$G$5,"")),"")</f>
        <v/>
      </c>
      <c r="AK91" s="36" t="str">
        <f ca="1">IFERROR(+IF(AL$27=#REF!,Milestone_Marker,IF(AND(AL$27&gt;#REF!,AL$27&lt;=#REF!+#REF!),$G$5,"")),"")</f>
        <v/>
      </c>
      <c r="AL91" s="36" t="str">
        <f ca="1">IFERROR(+IF(AM$27=#REF!,Milestone_Marker,IF(AND(AM$27&gt;#REF!,AM$27&lt;=#REF!+#REF!),$G$5,"")),"")</f>
        <v/>
      </c>
      <c r="AM91" s="36" t="str">
        <f ca="1">IFERROR(+IF(AN$27=#REF!,Milestone_Marker,IF(AND(AN$27&gt;#REF!,AN$27&lt;=#REF!+#REF!),$G$5,"")),"")</f>
        <v/>
      </c>
      <c r="AN91" s="36" t="str">
        <f ca="1">IFERROR(+IF(AO$27=#REF!,Milestone_Marker,IF(AND(AO$27&gt;#REF!,AO$27&lt;=#REF!+#REF!),$G$5,"")),"")</f>
        <v/>
      </c>
      <c r="AO91" s="36" t="str">
        <f ca="1">IFERROR(+IF(AP$27=#REF!,Milestone_Marker,IF(AND(AP$27&gt;#REF!,AP$27&lt;=#REF!+#REF!),$G$5,"")),"")</f>
        <v/>
      </c>
      <c r="AP91" s="36" t="str">
        <f ca="1">IFERROR(+IF(AQ$27=#REF!,Milestone_Marker,IF(AND(AQ$27&gt;#REF!,AQ$27&lt;=#REF!+#REF!),$G$5,"")),"")</f>
        <v/>
      </c>
      <c r="AQ91" s="36" t="str">
        <f ca="1">IFERROR(+IF(AR$27=#REF!,Milestone_Marker,IF(AND(AR$27&gt;#REF!,AR$27&lt;=#REF!+#REF!),$G$5,"")),"")</f>
        <v/>
      </c>
      <c r="AR91" s="36" t="str">
        <f ca="1">IFERROR(+IF(AS$27=#REF!,Milestone_Marker,IF(AND(AS$27&gt;#REF!,AS$27&lt;=#REF!+#REF!),$G$5,"")),"")</f>
        <v/>
      </c>
      <c r="AS91" s="36" t="str">
        <f ca="1">IFERROR(+IF(AT$27=#REF!,Milestone_Marker,IF(AND(AT$27&gt;#REF!,AT$27&lt;=#REF!+#REF!),$G$5,"")),"")</f>
        <v/>
      </c>
      <c r="AT91" s="36" t="str">
        <f ca="1">IFERROR(+IF(AU$27=#REF!,Milestone_Marker,IF(AND(AU$27&gt;#REF!,AU$27&lt;=#REF!+#REF!),$G$5,"")),"")</f>
        <v/>
      </c>
      <c r="AU91" s="36" t="str">
        <f ca="1">IFERROR(+IF(AV$27=#REF!,Milestone_Marker,IF(AND(AV$27&gt;#REF!,AV$27&lt;=#REF!+#REF!),$G$5,"")),"")</f>
        <v/>
      </c>
      <c r="AV91" s="36" t="str">
        <f ca="1">IFERROR(+IF(AW$27=#REF!,Milestone_Marker,IF(AND(AW$27&gt;#REF!,AW$27&lt;=#REF!+#REF!),$G$5,"")),"")</f>
        <v/>
      </c>
      <c r="AW91" s="36" t="str">
        <f ca="1">IFERROR(+IF(AX$27=#REF!,Milestone_Marker,IF(AND(AX$27&gt;#REF!,AX$27&lt;=#REF!+#REF!),$G$5,"")),"")</f>
        <v/>
      </c>
      <c r="AX91" s="36" t="str">
        <f ca="1">IFERROR(+IF(AY$27=#REF!,Milestone_Marker,IF(AND(AY$27&gt;#REF!,AY$27&lt;=#REF!+#REF!),$G$5,"")),"")</f>
        <v/>
      </c>
      <c r="AY91" s="36" t="str">
        <f ca="1">IFERROR(+IF(AZ$27=#REF!,Milestone_Marker,IF(AND(AZ$27&gt;#REF!,AZ$27&lt;=#REF!+#REF!),$G$5,"")),"")</f>
        <v/>
      </c>
      <c r="AZ91" s="36" t="str">
        <f ca="1">IFERROR(+IF(BA$27=#REF!,Milestone_Marker,IF(AND(BA$27&gt;#REF!,BA$27&lt;=#REF!+#REF!),$G$5,"")),"")</f>
        <v/>
      </c>
      <c r="BA91" s="36" t="str">
        <f ca="1">IFERROR(+IF(BB$27=#REF!,Milestone_Marker,IF(AND(BB$27&gt;#REF!,BB$27&lt;=#REF!+#REF!),$G$5,"")),"")</f>
        <v/>
      </c>
      <c r="BB91" s="36" t="str">
        <f ca="1">IFERROR(+IF(BC$27=#REF!,Milestone_Marker,IF(AND(BC$27&gt;#REF!,BC$27&lt;=#REF!+#REF!),$G$5,"")),"")</f>
        <v/>
      </c>
      <c r="BC91" s="36" t="str">
        <f ca="1">IFERROR(+IF(BD$27=#REF!,Milestone_Marker,IF(AND(BD$27&gt;#REF!,BD$27&lt;=#REF!+#REF!),$G$5,"")),"")</f>
        <v/>
      </c>
      <c r="BD91" s="36" t="str">
        <f ca="1">IFERROR(+IF(BE$27=#REF!,Milestone_Marker,IF(AND(BE$27&gt;#REF!,BE$27&lt;=#REF!+#REF!),$G$5,"")),"")</f>
        <v/>
      </c>
      <c r="BE91" s="36" t="str">
        <f ca="1">IFERROR(+IF(BF$27=#REF!,Milestone_Marker,IF(AND(BF$27&gt;#REF!,BF$27&lt;=#REF!+#REF!),$G$5,"")),"")</f>
        <v/>
      </c>
      <c r="BF91" s="36" t="str">
        <f ca="1">IFERROR(+IF(BG$27=#REF!,Milestone_Marker,IF(AND(BG$27&gt;#REF!,BG$27&lt;=#REF!+#REF!),$G$5,"")),"")</f>
        <v/>
      </c>
      <c r="BG91" s="36" t="str">
        <f ca="1">IFERROR(+IF(BH$27=#REF!,Milestone_Marker,IF(AND(BH$27&gt;#REF!,BH$27&lt;=#REF!+#REF!),$G$5,"")),"")</f>
        <v/>
      </c>
      <c r="BH91" s="36" t="str">
        <f ca="1">IFERROR(+IF(BI$27=#REF!,Milestone_Marker,IF(AND(BI$27&gt;#REF!,BI$27&lt;=#REF!+#REF!),$G$5,"")),"")</f>
        <v/>
      </c>
      <c r="BI91" s="36" t="str">
        <f ca="1">IFERROR(+IF(BJ$27=#REF!,Milestone_Marker,IF(AND(BJ$27&gt;#REF!,BJ$27&lt;=#REF!+#REF!),$G$5,"")),"")</f>
        <v/>
      </c>
      <c r="BJ91" s="36" t="str">
        <f ca="1">IFERROR(+IF(BK$27=#REF!,Milestone_Marker,IF(AND(BK$27&gt;#REF!,BK$27&lt;=#REF!+#REF!),$G$5,"")),"")</f>
        <v/>
      </c>
      <c r="BK91" s="36" t="str">
        <f ca="1">IFERROR(+IF(BL$27=#REF!,Milestone_Marker,IF(AND(BL$27&gt;#REF!,BL$27&lt;=#REF!+#REF!),$G$5,"")),"")</f>
        <v/>
      </c>
      <c r="BL91" s="36" t="str">
        <f ca="1">IFERROR(+IF(BM$27=#REF!,Milestone_Marker,IF(AND(BM$27&gt;#REF!,BM$27&lt;=#REF!+#REF!),$G$5,"")),"")</f>
        <v/>
      </c>
      <c r="BM91" s="36" t="str">
        <f ca="1">IFERROR(+IF(BN$27=#REF!,Milestone_Marker,IF(AND(BN$27&gt;#REF!,BN$27&lt;=#REF!+#REF!),$G$5,"")),"")</f>
        <v/>
      </c>
      <c r="BN91" s="36" t="str">
        <f ca="1">IFERROR(+IF(BO$27=#REF!,Milestone_Marker,IF(AND(BO$27&gt;#REF!,BO$27&lt;=#REF!+#REF!),$G$5,"")),"")</f>
        <v/>
      </c>
      <c r="BO91" s="36" t="str">
        <f ca="1">IFERROR(+IF(BP$27=#REF!,Milestone_Marker,IF(AND(BP$27&gt;#REF!,BP$27&lt;=#REF!+#REF!),$G$5,"")),"")</f>
        <v/>
      </c>
      <c r="BP91" s="36" t="str">
        <f ca="1">IFERROR(+IF(BQ$27=#REF!,Milestone_Marker,IF(AND(BQ$27&gt;#REF!,BQ$27&lt;=#REF!+#REF!),$G$5,"")),"")</f>
        <v/>
      </c>
      <c r="BQ91" s="36" t="str">
        <f ca="1">IFERROR(+IF(BR$27=#REF!,Milestone_Marker,IF(AND(BR$27&gt;#REF!,BR$27&lt;=#REF!+#REF!),$G$5,"")),"")</f>
        <v/>
      </c>
      <c r="BR91" s="36" t="str">
        <f ca="1">IFERROR(+IF(BS$27=#REF!,Milestone_Marker,IF(AND(BS$27&gt;#REF!,BS$27&lt;=#REF!+#REF!),$G$5,"")),"")</f>
        <v/>
      </c>
      <c r="BS91" s="36" t="str">
        <f ca="1">IFERROR(+IF(BT$27=#REF!,Milestone_Marker,IF(AND(BT$27&gt;#REF!,BT$27&lt;=#REF!+#REF!),$G$5,"")),"")</f>
        <v/>
      </c>
      <c r="BT91" s="36" t="str">
        <f ca="1">IFERROR(+IF(BU$27=#REF!,Milestone_Marker,IF(AND(BU$27&gt;#REF!,BU$27&lt;=#REF!+#REF!),$G$5,"")),"")</f>
        <v/>
      </c>
      <c r="BU91" s="36" t="str">
        <f ca="1">IFERROR(+IF(BV$27=#REF!,Milestone_Marker,IF(AND(BV$27&gt;#REF!,BV$27&lt;=#REF!+#REF!),$G$5,"")),"")</f>
        <v/>
      </c>
      <c r="BV91" s="36" t="str">
        <f ca="1">IFERROR(+IF(BW$27=#REF!,Milestone_Marker,IF(AND(BW$27&gt;#REF!,BW$27&lt;=#REF!+#REF!),$G$5,"")),"")</f>
        <v/>
      </c>
      <c r="BW91" s="36" t="str">
        <f ca="1">IFERROR(+IF(BX$27=#REF!,Milestone_Marker,IF(AND(BX$27&gt;#REF!,BX$27&lt;=#REF!+#REF!),$G$5,"")),"")</f>
        <v/>
      </c>
      <c r="BX91" s="36" t="str">
        <f ca="1">IFERROR(+IF(BY$27=#REF!,Milestone_Marker,IF(AND(BY$27&gt;#REF!,BY$27&lt;=#REF!+#REF!),$G$5,"")),"")</f>
        <v/>
      </c>
      <c r="BY91" s="36" t="str">
        <f ca="1">IFERROR(+IF(BZ$27=#REF!,Milestone_Marker,IF(AND(BZ$27&gt;#REF!,BZ$27&lt;=#REF!+#REF!),$G$5,"")),"")</f>
        <v/>
      </c>
      <c r="BZ91" s="36" t="str">
        <f ca="1">IFERROR(+IF(CA$27=#REF!,Milestone_Marker,IF(AND(CA$27&gt;#REF!,CA$27&lt;=#REF!+#REF!),$G$5,"")),"")</f>
        <v/>
      </c>
      <c r="CA91" s="36" t="str">
        <f ca="1">IFERROR(+IF(CB$27=#REF!,Milestone_Marker,IF(AND(CB$27&gt;#REF!,CB$27&lt;=#REF!+#REF!),$G$5,"")),"")</f>
        <v/>
      </c>
      <c r="CB91" s="36" t="str">
        <f ca="1">IFERROR(+IF(CC$27=#REF!,Milestone_Marker,IF(AND(CC$27&gt;#REF!,CC$27&lt;=#REF!+#REF!),$G$5,"")),"")</f>
        <v/>
      </c>
      <c r="CC91" s="36" t="str">
        <f ca="1">IFERROR(+IF(CD$27=#REF!,Milestone_Marker,IF(AND(CD$27&gt;#REF!,CD$27&lt;=#REF!+#REF!),$G$5,"")),"")</f>
        <v/>
      </c>
      <c r="CD91" s="36" t="str">
        <f ca="1">IFERROR(+IF(CE$27=#REF!,Milestone_Marker,IF(AND(CE$27&gt;#REF!,CE$27&lt;=#REF!+#REF!),$G$5,"")),"")</f>
        <v/>
      </c>
      <c r="CE91" s="36" t="str">
        <f ca="1">IFERROR(+IF(CF$27=#REF!,Milestone_Marker,IF(AND(CF$27&gt;#REF!,CF$27&lt;=#REF!+#REF!),$G$5,"")),"")</f>
        <v/>
      </c>
      <c r="CF91" s="36" t="str">
        <f ca="1">IFERROR(+IF(CG$27=#REF!,Milestone_Marker,IF(AND(CG$27&gt;#REF!,CG$27&lt;=#REF!+#REF!),$G$5,"")),"")</f>
        <v/>
      </c>
      <c r="CG91" s="36" t="str">
        <f ca="1">IFERROR(+IF(CH$27=#REF!,Milestone_Marker,IF(AND(CH$27&gt;#REF!,CH$27&lt;=#REF!+#REF!),$G$5,"")),"")</f>
        <v/>
      </c>
      <c r="CH91" s="36" t="str">
        <f ca="1">IFERROR(+IF(CI$27=#REF!,Milestone_Marker,IF(AND(CI$27&gt;#REF!,CI$27&lt;=#REF!+#REF!),$G$5,"")),"")</f>
        <v/>
      </c>
      <c r="CI91" s="36" t="str">
        <f ca="1">IFERROR(+IF(CJ$27=#REF!,Milestone_Marker,IF(AND(CJ$27&gt;#REF!,CJ$27&lt;=#REF!+#REF!),$G$5,"")),"")</f>
        <v/>
      </c>
      <c r="CJ91" s="36" t="str">
        <f ca="1">IFERROR(+IF(CK$27=#REF!,Milestone_Marker,IF(AND(CK$27&gt;#REF!,CK$27&lt;=#REF!+#REF!),$G$5,"")),"")</f>
        <v/>
      </c>
      <c r="CK91" s="36" t="str">
        <f ca="1">IFERROR(+IF(CL$27=#REF!,Milestone_Marker,IF(AND(CL$27&gt;#REF!,CL$27&lt;=#REF!+#REF!),$G$5,"")),"")</f>
        <v/>
      </c>
      <c r="CL91" s="36" t="str">
        <f ca="1">IFERROR(+IF(CM$27=#REF!,Milestone_Marker,IF(AND(CM$27&gt;#REF!,CM$27&lt;=#REF!+#REF!),$G$5,"")),"")</f>
        <v/>
      </c>
      <c r="CM91" s="36" t="str">
        <f ca="1">IFERROR(+IF(CN$27=#REF!,Milestone_Marker,IF(AND(CN$27&gt;#REF!,CN$27&lt;=#REF!+#REF!),$G$5,"")),"")</f>
        <v/>
      </c>
      <c r="CN91" s="36" t="str">
        <f ca="1">IFERROR(+IF(CO$27=#REF!,Milestone_Marker,IF(AND(CO$27&gt;#REF!,CO$27&lt;=#REF!+#REF!),$G$5,"")),"")</f>
        <v/>
      </c>
      <c r="CO91" s="36" t="str">
        <f ca="1">IFERROR(+IF(CP$27=#REF!,Milestone_Marker,IF(AND(CP$27&gt;#REF!,CP$27&lt;=#REF!+#REF!),$G$5,"")),"")</f>
        <v/>
      </c>
      <c r="CP91" s="36" t="str">
        <f ca="1">IFERROR(+IF(CQ$27=#REF!,Milestone_Marker,IF(AND(CQ$27&gt;#REF!,CQ$27&lt;=#REF!+#REF!),$G$5,"")),"")</f>
        <v/>
      </c>
      <c r="CQ91" s="36" t="str">
        <f ca="1">IFERROR(+IF(CR$27=#REF!,Milestone_Marker,IF(AND(CR$27&gt;#REF!,CR$27&lt;=#REF!+#REF!),$G$5,"")),"")</f>
        <v/>
      </c>
      <c r="CR91" s="36" t="str">
        <f ca="1">IFERROR(+IF(CS$27=#REF!,Milestone_Marker,IF(AND(CS$27&gt;#REF!,CS$27&lt;=#REF!+#REF!),$G$5,"")),"")</f>
        <v/>
      </c>
      <c r="CS91" s="36" t="str">
        <f ca="1">IFERROR(+IF(CT$27=#REF!,Milestone_Marker,IF(AND(CT$27&gt;#REF!,CT$27&lt;=#REF!+#REF!),$G$5,"")),"")</f>
        <v/>
      </c>
      <c r="CT91" s="36" t="str">
        <f ca="1">IFERROR(+IF(CU$27=#REF!,Milestone_Marker,IF(AND(CU$27&gt;#REF!,CU$27&lt;=#REF!+#REF!),$G$5,"")),"")</f>
        <v/>
      </c>
    </row>
    <row r="92" spans="1:125" ht="18" customHeight="1" x14ac:dyDescent="0.25">
      <c r="P92" s="36" t="str">
        <f ca="1">IFERROR(+IF(Q$27=#REF!,Milestone_Marker,IF(AND(Q$27&gt;#REF!,Q$27&lt;=#REF!+#REF!),$G$5,"")),"")</f>
        <v/>
      </c>
      <c r="Q92" s="36" t="str">
        <f ca="1">IFERROR(+IF(R$27=#REF!,Milestone_Marker,IF(AND(R$27&gt;#REF!,R$27&lt;=#REF!+#REF!),$G$5,"")),"")</f>
        <v/>
      </c>
      <c r="R92" s="36" t="str">
        <f ca="1">IFERROR(+IF(S$27=#REF!,Milestone_Marker,IF(AND(S$27&gt;#REF!,S$27&lt;=#REF!+#REF!),$G$5,"")),"")</f>
        <v/>
      </c>
      <c r="S92" s="36" t="str">
        <f ca="1">IFERROR(+IF(T$27=#REF!,Milestone_Marker,IF(AND(T$27&gt;#REF!,T$27&lt;=#REF!+#REF!),$G$5,"")),"")</f>
        <v/>
      </c>
      <c r="T92" s="36" t="str">
        <f ca="1">IFERROR(+IF(U$27=#REF!,Milestone_Marker,IF(AND(U$27&gt;#REF!,U$27&lt;=#REF!+#REF!),$G$5,"")),"")</f>
        <v/>
      </c>
      <c r="U92" s="36" t="str">
        <f ca="1">IFERROR(+IF(V$27=#REF!,Milestone_Marker,IF(AND(V$27&gt;#REF!,V$27&lt;=#REF!+#REF!),$G$5,"")),"")</f>
        <v/>
      </c>
      <c r="V92" s="36" t="str">
        <f ca="1">IFERROR(+IF(W$27=#REF!,Milestone_Marker,IF(AND(W$27&gt;#REF!,W$27&lt;=#REF!+#REF!),$G$5,"")),"")</f>
        <v/>
      </c>
      <c r="W92" s="36" t="str">
        <f ca="1">IFERROR(+IF(X$27=#REF!,Milestone_Marker,IF(AND(X$27&gt;#REF!,X$27&lt;=#REF!+#REF!),$G$5,"")),"")</f>
        <v/>
      </c>
      <c r="X92" s="36" t="str">
        <f ca="1">IFERROR(+IF(Y$27=#REF!,Milestone_Marker,IF(AND(Y$27&gt;#REF!,Y$27&lt;=#REF!+#REF!),$G$5,"")),"")</f>
        <v/>
      </c>
      <c r="Y92" s="36" t="str">
        <f ca="1">IFERROR(+IF(Z$27=#REF!,Milestone_Marker,IF(AND(Z$27&gt;#REF!,Z$27&lt;=#REF!+#REF!),$G$5,"")),"")</f>
        <v/>
      </c>
      <c r="Z92" s="36" t="str">
        <f ca="1">IFERROR(+IF(AA$27=#REF!,Milestone_Marker,IF(AND(AA$27&gt;#REF!,AA$27&lt;=#REF!+#REF!),$G$5,"")),"")</f>
        <v/>
      </c>
      <c r="AA92" s="36" t="str">
        <f ca="1">IFERROR(+IF(AB$27=#REF!,Milestone_Marker,IF(AND(AB$27&gt;#REF!,AB$27&lt;=#REF!+#REF!),$G$5,"")),"")</f>
        <v/>
      </c>
      <c r="AB92" s="36" t="str">
        <f ca="1">IFERROR(+IF(AC$27=#REF!,Milestone_Marker,IF(AND(AC$27&gt;#REF!,AC$27&lt;=#REF!+#REF!),$G$5,"")),"")</f>
        <v/>
      </c>
      <c r="AC92" s="36" t="str">
        <f ca="1">IFERROR(+IF(AD$27=#REF!,Milestone_Marker,IF(AND(AD$27&gt;#REF!,AD$27&lt;=#REF!+#REF!),$G$5,"")),"")</f>
        <v/>
      </c>
      <c r="AD92" s="36" t="str">
        <f ca="1">IFERROR(+IF(AE$27=#REF!,Milestone_Marker,IF(AND(AE$27&gt;#REF!,AE$27&lt;=#REF!+#REF!),$G$5,"")),"")</f>
        <v/>
      </c>
      <c r="AE92" s="36" t="str">
        <f ca="1">IFERROR(+IF(AF$27=#REF!,Milestone_Marker,IF(AND(AF$27&gt;#REF!,AF$27&lt;=#REF!+#REF!),$G$5,"")),"")</f>
        <v/>
      </c>
      <c r="AF92" s="36" t="str">
        <f ca="1">IFERROR(+IF(AG$27=#REF!,Milestone_Marker,IF(AND(AG$27&gt;#REF!,AG$27&lt;=#REF!+#REF!),$G$5,"")),"")</f>
        <v/>
      </c>
      <c r="AG92" s="36" t="str">
        <f ca="1">IFERROR(+IF(AH$27=#REF!,Milestone_Marker,IF(AND(AH$27&gt;#REF!,AH$27&lt;=#REF!+#REF!),$G$5,"")),"")</f>
        <v/>
      </c>
      <c r="AH92" s="36" t="str">
        <f ca="1">IFERROR(+IF(AI$27=#REF!,Milestone_Marker,IF(AND(AI$27&gt;#REF!,AI$27&lt;=#REF!+#REF!),$G$5,"")),"")</f>
        <v/>
      </c>
      <c r="AI92" s="36" t="str">
        <f ca="1">IFERROR(+IF(AJ$27=#REF!,Milestone_Marker,IF(AND(AJ$27&gt;#REF!,AJ$27&lt;=#REF!+#REF!),$G$5,"")),"")</f>
        <v/>
      </c>
      <c r="AJ92" s="36" t="str">
        <f ca="1">IFERROR(+IF(AK$27=#REF!,Milestone_Marker,IF(AND(AK$27&gt;#REF!,AK$27&lt;=#REF!+#REF!),$G$5,"")),"")</f>
        <v/>
      </c>
      <c r="AK92" s="36" t="str">
        <f ca="1">IFERROR(+IF(AL$27=#REF!,Milestone_Marker,IF(AND(AL$27&gt;#REF!,AL$27&lt;=#REF!+#REF!),$G$5,"")),"")</f>
        <v/>
      </c>
      <c r="AL92" s="36" t="str">
        <f ca="1">IFERROR(+IF(AM$27=#REF!,Milestone_Marker,IF(AND(AM$27&gt;#REF!,AM$27&lt;=#REF!+#REF!),$G$5,"")),"")</f>
        <v/>
      </c>
      <c r="AM92" s="36" t="str">
        <f ca="1">IFERROR(+IF(AN$27=#REF!,Milestone_Marker,IF(AND(AN$27&gt;#REF!,AN$27&lt;=#REF!+#REF!),$G$5,"")),"")</f>
        <v/>
      </c>
      <c r="AN92" s="36" t="str">
        <f ca="1">IFERROR(+IF(AO$27=#REF!,Milestone_Marker,IF(AND(AO$27&gt;#REF!,AO$27&lt;=#REF!+#REF!),$G$5,"")),"")</f>
        <v/>
      </c>
      <c r="AO92" s="36" t="str">
        <f ca="1">IFERROR(+IF(AP$27=#REF!,Milestone_Marker,IF(AND(AP$27&gt;#REF!,AP$27&lt;=#REF!+#REF!),$G$5,"")),"")</f>
        <v/>
      </c>
      <c r="AP92" s="36" t="str">
        <f ca="1">IFERROR(+IF(AQ$27=#REF!,Milestone_Marker,IF(AND(AQ$27&gt;#REF!,AQ$27&lt;=#REF!+#REF!),$G$5,"")),"")</f>
        <v/>
      </c>
      <c r="AQ92" s="36" t="str">
        <f ca="1">IFERROR(+IF(AR$27=#REF!,Milestone_Marker,IF(AND(AR$27&gt;#REF!,AR$27&lt;=#REF!+#REF!),$G$5,"")),"")</f>
        <v/>
      </c>
      <c r="AR92" s="36" t="str">
        <f ca="1">IFERROR(+IF(AS$27=#REF!,Milestone_Marker,IF(AND(AS$27&gt;#REF!,AS$27&lt;=#REF!+#REF!),$G$5,"")),"")</f>
        <v/>
      </c>
      <c r="AS92" s="36" t="str">
        <f ca="1">IFERROR(+IF(AT$27=#REF!,Milestone_Marker,IF(AND(AT$27&gt;#REF!,AT$27&lt;=#REF!+#REF!),$G$5,"")),"")</f>
        <v/>
      </c>
      <c r="AT92" s="36" t="str">
        <f ca="1">IFERROR(+IF(AU$27=#REF!,Milestone_Marker,IF(AND(AU$27&gt;#REF!,AU$27&lt;=#REF!+#REF!),$G$5,"")),"")</f>
        <v/>
      </c>
      <c r="AU92" s="36" t="str">
        <f ca="1">IFERROR(+IF(AV$27=#REF!,Milestone_Marker,IF(AND(AV$27&gt;#REF!,AV$27&lt;=#REF!+#REF!),$G$5,"")),"")</f>
        <v/>
      </c>
      <c r="AV92" s="36" t="str">
        <f ca="1">IFERROR(+IF(AW$27=#REF!,Milestone_Marker,IF(AND(AW$27&gt;#REF!,AW$27&lt;=#REF!+#REF!),$G$5,"")),"")</f>
        <v/>
      </c>
      <c r="AW92" s="36" t="str">
        <f ca="1">IFERROR(+IF(AX$27=#REF!,Milestone_Marker,IF(AND(AX$27&gt;#REF!,AX$27&lt;=#REF!+#REF!),$G$5,"")),"")</f>
        <v/>
      </c>
      <c r="AX92" s="36" t="str">
        <f ca="1">IFERROR(+IF(AY$27=#REF!,Milestone_Marker,IF(AND(AY$27&gt;#REF!,AY$27&lt;=#REF!+#REF!),$G$5,"")),"")</f>
        <v/>
      </c>
      <c r="AY92" s="36" t="str">
        <f ca="1">IFERROR(+IF(AZ$27=#REF!,Milestone_Marker,IF(AND(AZ$27&gt;#REF!,AZ$27&lt;=#REF!+#REF!),$G$5,"")),"")</f>
        <v/>
      </c>
      <c r="AZ92" s="36" t="str">
        <f ca="1">IFERROR(+IF(BA$27=#REF!,Milestone_Marker,IF(AND(BA$27&gt;#REF!,BA$27&lt;=#REF!+#REF!),$G$5,"")),"")</f>
        <v/>
      </c>
      <c r="BA92" s="36" t="str">
        <f ca="1">IFERROR(+IF(BB$27=#REF!,Milestone_Marker,IF(AND(BB$27&gt;#REF!,BB$27&lt;=#REF!+#REF!),$G$5,"")),"")</f>
        <v/>
      </c>
      <c r="BB92" s="36" t="str">
        <f ca="1">IFERROR(+IF(BC$27=#REF!,Milestone_Marker,IF(AND(BC$27&gt;#REF!,BC$27&lt;=#REF!+#REF!),$G$5,"")),"")</f>
        <v/>
      </c>
      <c r="BC92" s="36" t="str">
        <f ca="1">IFERROR(+IF(BD$27=#REF!,Milestone_Marker,IF(AND(BD$27&gt;#REF!,BD$27&lt;=#REF!+#REF!),$G$5,"")),"")</f>
        <v/>
      </c>
      <c r="BD92" s="36" t="str">
        <f ca="1">IFERROR(+IF(BE$27=#REF!,Milestone_Marker,IF(AND(BE$27&gt;#REF!,BE$27&lt;=#REF!+#REF!),$G$5,"")),"")</f>
        <v/>
      </c>
      <c r="BE92" s="36" t="str">
        <f ca="1">IFERROR(+IF(BF$27=#REF!,Milestone_Marker,IF(AND(BF$27&gt;#REF!,BF$27&lt;=#REF!+#REF!),$G$5,"")),"")</f>
        <v/>
      </c>
      <c r="BF92" s="36" t="str">
        <f ca="1">IFERROR(+IF(BG$27=#REF!,Milestone_Marker,IF(AND(BG$27&gt;#REF!,BG$27&lt;=#REF!+#REF!),$G$5,"")),"")</f>
        <v/>
      </c>
      <c r="BG92" s="36" t="str">
        <f ca="1">IFERROR(+IF(BH$27=#REF!,Milestone_Marker,IF(AND(BH$27&gt;#REF!,BH$27&lt;=#REF!+#REF!),$G$5,"")),"")</f>
        <v/>
      </c>
      <c r="BH92" s="36" t="str">
        <f ca="1">IFERROR(+IF(BI$27=#REF!,Milestone_Marker,IF(AND(BI$27&gt;#REF!,BI$27&lt;=#REF!+#REF!),$G$5,"")),"")</f>
        <v/>
      </c>
      <c r="BI92" s="36" t="str">
        <f ca="1">IFERROR(+IF(BJ$27=#REF!,Milestone_Marker,IF(AND(BJ$27&gt;#REF!,BJ$27&lt;=#REF!+#REF!),$G$5,"")),"")</f>
        <v/>
      </c>
      <c r="BJ92" s="36" t="str">
        <f ca="1">IFERROR(+IF(BK$27=#REF!,Milestone_Marker,IF(AND(BK$27&gt;#REF!,BK$27&lt;=#REF!+#REF!),$G$5,"")),"")</f>
        <v/>
      </c>
      <c r="BK92" s="36" t="str">
        <f ca="1">IFERROR(+IF(BL$27=#REF!,Milestone_Marker,IF(AND(BL$27&gt;#REF!,BL$27&lt;=#REF!+#REF!),$G$5,"")),"")</f>
        <v/>
      </c>
      <c r="BL92" s="36" t="str">
        <f ca="1">IFERROR(+IF(BM$27=#REF!,Milestone_Marker,IF(AND(BM$27&gt;#REF!,BM$27&lt;=#REF!+#REF!),$G$5,"")),"")</f>
        <v/>
      </c>
      <c r="BM92" s="36" t="str">
        <f ca="1">IFERROR(+IF(BN$27=#REF!,Milestone_Marker,IF(AND(BN$27&gt;#REF!,BN$27&lt;=#REF!+#REF!),$G$5,"")),"")</f>
        <v/>
      </c>
      <c r="BN92" s="36" t="str">
        <f ca="1">IFERROR(+IF(BO$27=#REF!,Milestone_Marker,IF(AND(BO$27&gt;#REF!,BO$27&lt;=#REF!+#REF!),$G$5,"")),"")</f>
        <v/>
      </c>
      <c r="BO92" s="36" t="str">
        <f ca="1">IFERROR(+IF(BP$27=#REF!,Milestone_Marker,IF(AND(BP$27&gt;#REF!,BP$27&lt;=#REF!+#REF!),$G$5,"")),"")</f>
        <v/>
      </c>
      <c r="BP92" s="36" t="str">
        <f ca="1">IFERROR(+IF(BQ$27=#REF!,Milestone_Marker,IF(AND(BQ$27&gt;#REF!,BQ$27&lt;=#REF!+#REF!),$G$5,"")),"")</f>
        <v/>
      </c>
      <c r="BQ92" s="36" t="str">
        <f ca="1">IFERROR(+IF(BR$27=#REF!,Milestone_Marker,IF(AND(BR$27&gt;#REF!,BR$27&lt;=#REF!+#REF!),$G$5,"")),"")</f>
        <v/>
      </c>
      <c r="BR92" s="36" t="str">
        <f ca="1">IFERROR(+IF(BS$27=#REF!,Milestone_Marker,IF(AND(BS$27&gt;#REF!,BS$27&lt;=#REF!+#REF!),$G$5,"")),"")</f>
        <v/>
      </c>
      <c r="BS92" s="36" t="str">
        <f ca="1">IFERROR(+IF(BT$27=#REF!,Milestone_Marker,IF(AND(BT$27&gt;#REF!,BT$27&lt;=#REF!+#REF!),$G$5,"")),"")</f>
        <v/>
      </c>
      <c r="BT92" s="36" t="str">
        <f ca="1">IFERROR(+IF(BU$27=#REF!,Milestone_Marker,IF(AND(BU$27&gt;#REF!,BU$27&lt;=#REF!+#REF!),$G$5,"")),"")</f>
        <v/>
      </c>
      <c r="BU92" s="36" t="str">
        <f ca="1">IFERROR(+IF(BV$27=#REF!,Milestone_Marker,IF(AND(BV$27&gt;#REF!,BV$27&lt;=#REF!+#REF!),$G$5,"")),"")</f>
        <v/>
      </c>
      <c r="BV92" s="36" t="str">
        <f ca="1">IFERROR(+IF(BW$27=#REF!,Milestone_Marker,IF(AND(BW$27&gt;#REF!,BW$27&lt;=#REF!+#REF!),$G$5,"")),"")</f>
        <v/>
      </c>
      <c r="BW92" s="36" t="str">
        <f ca="1">IFERROR(+IF(BX$27=#REF!,Milestone_Marker,IF(AND(BX$27&gt;#REF!,BX$27&lt;=#REF!+#REF!),$G$5,"")),"")</f>
        <v/>
      </c>
      <c r="BX92" s="36" t="str">
        <f ca="1">IFERROR(+IF(BY$27=#REF!,Milestone_Marker,IF(AND(BY$27&gt;#REF!,BY$27&lt;=#REF!+#REF!),$G$5,"")),"")</f>
        <v/>
      </c>
      <c r="BY92" s="36" t="str">
        <f ca="1">IFERROR(+IF(BZ$27=#REF!,Milestone_Marker,IF(AND(BZ$27&gt;#REF!,BZ$27&lt;=#REF!+#REF!),$G$5,"")),"")</f>
        <v/>
      </c>
      <c r="BZ92" s="36" t="str">
        <f ca="1">IFERROR(+IF(CA$27=#REF!,Milestone_Marker,IF(AND(CA$27&gt;#REF!,CA$27&lt;=#REF!+#REF!),$G$5,"")),"")</f>
        <v/>
      </c>
      <c r="CA92" s="36" t="str">
        <f ca="1">IFERROR(+IF(CB$27=#REF!,Milestone_Marker,IF(AND(CB$27&gt;#REF!,CB$27&lt;=#REF!+#REF!),$G$5,"")),"")</f>
        <v/>
      </c>
      <c r="CB92" s="36" t="str">
        <f ca="1">IFERROR(+IF(CC$27=#REF!,Milestone_Marker,IF(AND(CC$27&gt;#REF!,CC$27&lt;=#REF!+#REF!),$G$5,"")),"")</f>
        <v/>
      </c>
      <c r="CC92" s="36" t="str">
        <f ca="1">IFERROR(+IF(CD$27=#REF!,Milestone_Marker,IF(AND(CD$27&gt;#REF!,CD$27&lt;=#REF!+#REF!),$G$5,"")),"")</f>
        <v/>
      </c>
      <c r="CD92" s="36" t="str">
        <f ca="1">IFERROR(+IF(CE$27=#REF!,Milestone_Marker,IF(AND(CE$27&gt;#REF!,CE$27&lt;=#REF!+#REF!),$G$5,"")),"")</f>
        <v/>
      </c>
      <c r="CE92" s="36" t="str">
        <f ca="1">IFERROR(+IF(CF$27=#REF!,Milestone_Marker,IF(AND(CF$27&gt;#REF!,CF$27&lt;=#REF!+#REF!),$G$5,"")),"")</f>
        <v/>
      </c>
      <c r="CF92" s="36" t="str">
        <f ca="1">IFERROR(+IF(CG$27=#REF!,Milestone_Marker,IF(AND(CG$27&gt;#REF!,CG$27&lt;=#REF!+#REF!),$G$5,"")),"")</f>
        <v/>
      </c>
      <c r="CG92" s="36" t="str">
        <f ca="1">IFERROR(+IF(CH$27=#REF!,Milestone_Marker,IF(AND(CH$27&gt;#REF!,CH$27&lt;=#REF!+#REF!),$G$5,"")),"")</f>
        <v/>
      </c>
      <c r="CH92" s="36" t="str">
        <f ca="1">IFERROR(+IF(CI$27=#REF!,Milestone_Marker,IF(AND(CI$27&gt;#REF!,CI$27&lt;=#REF!+#REF!),$G$5,"")),"")</f>
        <v/>
      </c>
      <c r="CI92" s="36" t="str">
        <f ca="1">IFERROR(+IF(CJ$27=#REF!,Milestone_Marker,IF(AND(CJ$27&gt;#REF!,CJ$27&lt;=#REF!+#REF!),$G$5,"")),"")</f>
        <v/>
      </c>
      <c r="CJ92" s="36" t="str">
        <f ca="1">IFERROR(+IF(CK$27=#REF!,Milestone_Marker,IF(AND(CK$27&gt;#REF!,CK$27&lt;=#REF!+#REF!),$G$5,"")),"")</f>
        <v/>
      </c>
      <c r="CK92" s="36" t="str">
        <f ca="1">IFERROR(+IF(CL$27=#REF!,Milestone_Marker,IF(AND(CL$27&gt;#REF!,CL$27&lt;=#REF!+#REF!),$G$5,"")),"")</f>
        <v/>
      </c>
      <c r="CL92" s="36" t="str">
        <f ca="1">IFERROR(+IF(CM$27=#REF!,Milestone_Marker,IF(AND(CM$27&gt;#REF!,CM$27&lt;=#REF!+#REF!),$G$5,"")),"")</f>
        <v/>
      </c>
      <c r="CM92" s="36" t="str">
        <f ca="1">IFERROR(+IF(CN$27=#REF!,Milestone_Marker,IF(AND(CN$27&gt;#REF!,CN$27&lt;=#REF!+#REF!),$G$5,"")),"")</f>
        <v/>
      </c>
      <c r="CN92" s="36" t="str">
        <f ca="1">IFERROR(+IF(CO$27=#REF!,Milestone_Marker,IF(AND(CO$27&gt;#REF!,CO$27&lt;=#REF!+#REF!),$G$5,"")),"")</f>
        <v/>
      </c>
      <c r="CO92" s="36" t="str">
        <f ca="1">IFERROR(+IF(CP$27=#REF!,Milestone_Marker,IF(AND(CP$27&gt;#REF!,CP$27&lt;=#REF!+#REF!),$G$5,"")),"")</f>
        <v/>
      </c>
      <c r="CP92" s="36" t="str">
        <f ca="1">IFERROR(+IF(CQ$27=#REF!,Milestone_Marker,IF(AND(CQ$27&gt;#REF!,CQ$27&lt;=#REF!+#REF!),$G$5,"")),"")</f>
        <v/>
      </c>
      <c r="CQ92" s="36" t="str">
        <f ca="1">IFERROR(+IF(CR$27=#REF!,Milestone_Marker,IF(AND(CR$27&gt;#REF!,CR$27&lt;=#REF!+#REF!),$G$5,"")),"")</f>
        <v/>
      </c>
      <c r="CR92" s="36" t="str">
        <f ca="1">IFERROR(+IF(CS$27=#REF!,Milestone_Marker,IF(AND(CS$27&gt;#REF!,CS$27&lt;=#REF!+#REF!),$G$5,"")),"")</f>
        <v/>
      </c>
      <c r="CS92" s="36" t="str">
        <f ca="1">IFERROR(+IF(CT$27=#REF!,Milestone_Marker,IF(AND(CT$27&gt;#REF!,CT$27&lt;=#REF!+#REF!),$G$5,"")),"")</f>
        <v/>
      </c>
      <c r="CT92" s="36" t="str">
        <f ca="1">IFERROR(+IF(CU$27=#REF!,Milestone_Marker,IF(AND(CU$27&gt;#REF!,CU$27&lt;=#REF!+#REF!),$G$5,"")),"")</f>
        <v/>
      </c>
    </row>
    <row r="93" spans="1:125" ht="18" customHeight="1" x14ac:dyDescent="0.25">
      <c r="P93" s="36" t="str">
        <f ca="1">IFERROR(+IF(Q$27=#REF!,Milestone_Marker,IF(AND(Q$27&gt;#REF!,Q$27&lt;=#REF!+#REF!),$G$5,"")),"")</f>
        <v/>
      </c>
      <c r="Q93" s="36" t="str">
        <f ca="1">IFERROR(+IF(R$27=#REF!,Milestone_Marker,IF(AND(R$27&gt;#REF!,R$27&lt;=#REF!+#REF!),$G$5,"")),"")</f>
        <v/>
      </c>
      <c r="R93" s="36" t="str">
        <f ca="1">IFERROR(+IF(S$27=#REF!,Milestone_Marker,IF(AND(S$27&gt;#REF!,S$27&lt;=#REF!+#REF!),$G$5,"")),"")</f>
        <v/>
      </c>
      <c r="S93" s="36" t="str">
        <f ca="1">IFERROR(+IF(T$27=#REF!,Milestone_Marker,IF(AND(T$27&gt;#REF!,T$27&lt;=#REF!+#REF!),$G$5,"")),"")</f>
        <v/>
      </c>
      <c r="T93" s="36" t="str">
        <f ca="1">IFERROR(+IF(U$27=#REF!,Milestone_Marker,IF(AND(U$27&gt;#REF!,U$27&lt;=#REF!+#REF!),$G$5,"")),"")</f>
        <v/>
      </c>
      <c r="U93" s="36" t="str">
        <f ca="1">IFERROR(+IF(V$27=#REF!,Milestone_Marker,IF(AND(V$27&gt;#REF!,V$27&lt;=#REF!+#REF!),$G$5,"")),"")</f>
        <v/>
      </c>
      <c r="V93" s="36" t="str">
        <f ca="1">IFERROR(+IF(W$27=#REF!,Milestone_Marker,IF(AND(W$27&gt;#REF!,W$27&lt;=#REF!+#REF!),$G$5,"")),"")</f>
        <v/>
      </c>
      <c r="W93" s="36" t="str">
        <f ca="1">IFERROR(+IF(X$27=#REF!,Milestone_Marker,IF(AND(X$27&gt;#REF!,X$27&lt;=#REF!+#REF!),$G$5,"")),"")</f>
        <v/>
      </c>
      <c r="X93" s="36" t="str">
        <f ca="1">IFERROR(+IF(Y$27=#REF!,Milestone_Marker,IF(AND(Y$27&gt;#REF!,Y$27&lt;=#REF!+#REF!),$G$5,"")),"")</f>
        <v/>
      </c>
      <c r="Y93" s="36" t="str">
        <f ca="1">IFERROR(+IF(Z$27=#REF!,Milestone_Marker,IF(AND(Z$27&gt;#REF!,Z$27&lt;=#REF!+#REF!),$G$5,"")),"")</f>
        <v/>
      </c>
      <c r="Z93" s="36" t="str">
        <f ca="1">IFERROR(+IF(AA$27=#REF!,Milestone_Marker,IF(AND(AA$27&gt;#REF!,AA$27&lt;=#REF!+#REF!),$G$5,"")),"")</f>
        <v/>
      </c>
      <c r="AA93" s="36" t="str">
        <f ca="1">IFERROR(+IF(AB$27=#REF!,Milestone_Marker,IF(AND(AB$27&gt;#REF!,AB$27&lt;=#REF!+#REF!),$G$5,"")),"")</f>
        <v/>
      </c>
      <c r="AB93" s="36" t="str">
        <f ca="1">IFERROR(+IF(AC$27=#REF!,Milestone_Marker,IF(AND(AC$27&gt;#REF!,AC$27&lt;=#REF!+#REF!),$G$5,"")),"")</f>
        <v/>
      </c>
      <c r="AC93" s="36" t="str">
        <f ca="1">IFERROR(+IF(AD$27=#REF!,Milestone_Marker,IF(AND(AD$27&gt;#REF!,AD$27&lt;=#REF!+#REF!),$G$5,"")),"")</f>
        <v/>
      </c>
      <c r="AD93" s="36" t="str">
        <f ca="1">IFERROR(+IF(AE$27=#REF!,Milestone_Marker,IF(AND(AE$27&gt;#REF!,AE$27&lt;=#REF!+#REF!),$G$5,"")),"")</f>
        <v/>
      </c>
      <c r="AE93" s="36" t="str">
        <f ca="1">IFERROR(+IF(AF$27=#REF!,Milestone_Marker,IF(AND(AF$27&gt;#REF!,AF$27&lt;=#REF!+#REF!),$G$5,"")),"")</f>
        <v/>
      </c>
      <c r="AF93" s="36" t="str">
        <f ca="1">IFERROR(+IF(AG$27=#REF!,Milestone_Marker,IF(AND(AG$27&gt;#REF!,AG$27&lt;=#REF!+#REF!),$G$5,"")),"")</f>
        <v/>
      </c>
      <c r="AG93" s="36" t="str">
        <f ca="1">IFERROR(+IF(AH$27=#REF!,Milestone_Marker,IF(AND(AH$27&gt;#REF!,AH$27&lt;=#REF!+#REF!),$G$5,"")),"")</f>
        <v/>
      </c>
      <c r="AH93" s="36" t="str">
        <f ca="1">IFERROR(+IF(AI$27=#REF!,Milestone_Marker,IF(AND(AI$27&gt;#REF!,AI$27&lt;=#REF!+#REF!),$G$5,"")),"")</f>
        <v/>
      </c>
      <c r="AI93" s="36" t="str">
        <f ca="1">IFERROR(+IF(AJ$27=#REF!,Milestone_Marker,IF(AND(AJ$27&gt;#REF!,AJ$27&lt;=#REF!+#REF!),$G$5,"")),"")</f>
        <v/>
      </c>
      <c r="AJ93" s="36" t="str">
        <f ca="1">IFERROR(+IF(AK$27=#REF!,Milestone_Marker,IF(AND(AK$27&gt;#REF!,AK$27&lt;=#REF!+#REF!),$G$5,"")),"")</f>
        <v/>
      </c>
      <c r="AK93" s="36" t="str">
        <f ca="1">IFERROR(+IF(AL$27=#REF!,Milestone_Marker,IF(AND(AL$27&gt;#REF!,AL$27&lt;=#REF!+#REF!),$G$5,"")),"")</f>
        <v/>
      </c>
      <c r="AL93" s="36" t="str">
        <f ca="1">IFERROR(+IF(AM$27=#REF!,Milestone_Marker,IF(AND(AM$27&gt;#REF!,AM$27&lt;=#REF!+#REF!),$G$5,"")),"")</f>
        <v/>
      </c>
      <c r="AM93" s="36" t="str">
        <f ca="1">IFERROR(+IF(AN$27=#REF!,Milestone_Marker,IF(AND(AN$27&gt;#REF!,AN$27&lt;=#REF!+#REF!),$G$5,"")),"")</f>
        <v/>
      </c>
      <c r="AN93" s="36" t="str">
        <f ca="1">IFERROR(+IF(AO$27=#REF!,Milestone_Marker,IF(AND(AO$27&gt;#REF!,AO$27&lt;=#REF!+#REF!),$G$5,"")),"")</f>
        <v/>
      </c>
      <c r="AO93" s="36" t="str">
        <f ca="1">IFERROR(+IF(AP$27=#REF!,Milestone_Marker,IF(AND(AP$27&gt;#REF!,AP$27&lt;=#REF!+#REF!),$G$5,"")),"")</f>
        <v/>
      </c>
      <c r="AP93" s="36" t="str">
        <f ca="1">IFERROR(+IF(AQ$27=#REF!,Milestone_Marker,IF(AND(AQ$27&gt;#REF!,AQ$27&lt;=#REF!+#REF!),$G$5,"")),"")</f>
        <v/>
      </c>
      <c r="AQ93" s="36" t="str">
        <f ca="1">IFERROR(+IF(AR$27=#REF!,Milestone_Marker,IF(AND(AR$27&gt;#REF!,AR$27&lt;=#REF!+#REF!),$G$5,"")),"")</f>
        <v/>
      </c>
      <c r="AR93" s="36" t="str">
        <f ca="1">IFERROR(+IF(AS$27=#REF!,Milestone_Marker,IF(AND(AS$27&gt;#REF!,AS$27&lt;=#REF!+#REF!),$G$5,"")),"")</f>
        <v/>
      </c>
      <c r="AS93" s="36" t="str">
        <f ca="1">IFERROR(+IF(AT$27=#REF!,Milestone_Marker,IF(AND(AT$27&gt;#REF!,AT$27&lt;=#REF!+#REF!),$G$5,"")),"")</f>
        <v/>
      </c>
      <c r="AT93" s="36" t="str">
        <f ca="1">IFERROR(+IF(AU$27=#REF!,Milestone_Marker,IF(AND(AU$27&gt;#REF!,AU$27&lt;=#REF!+#REF!),$G$5,"")),"")</f>
        <v/>
      </c>
      <c r="AU93" s="36" t="str">
        <f ca="1">IFERROR(+IF(AV$27=#REF!,Milestone_Marker,IF(AND(AV$27&gt;#REF!,AV$27&lt;=#REF!+#REF!),$G$5,"")),"")</f>
        <v/>
      </c>
      <c r="AV93" s="36" t="str">
        <f ca="1">IFERROR(+IF(AW$27=#REF!,Milestone_Marker,IF(AND(AW$27&gt;#REF!,AW$27&lt;=#REF!+#REF!),$G$5,"")),"")</f>
        <v/>
      </c>
      <c r="AW93" s="36" t="str">
        <f ca="1">IFERROR(+IF(AX$27=#REF!,Milestone_Marker,IF(AND(AX$27&gt;#REF!,AX$27&lt;=#REF!+#REF!),$G$5,"")),"")</f>
        <v/>
      </c>
      <c r="AX93" s="36" t="str">
        <f ca="1">IFERROR(+IF(AY$27=#REF!,Milestone_Marker,IF(AND(AY$27&gt;#REF!,AY$27&lt;=#REF!+#REF!),$G$5,"")),"")</f>
        <v/>
      </c>
      <c r="AY93" s="36" t="str">
        <f ca="1">IFERROR(+IF(AZ$27=#REF!,Milestone_Marker,IF(AND(AZ$27&gt;#REF!,AZ$27&lt;=#REF!+#REF!),$G$5,"")),"")</f>
        <v/>
      </c>
      <c r="AZ93" s="36" t="str">
        <f ca="1">IFERROR(+IF(BA$27=#REF!,Milestone_Marker,IF(AND(BA$27&gt;#REF!,BA$27&lt;=#REF!+#REF!),$G$5,"")),"")</f>
        <v/>
      </c>
      <c r="BA93" s="36" t="str">
        <f ca="1">IFERROR(+IF(BB$27=#REF!,Milestone_Marker,IF(AND(BB$27&gt;#REF!,BB$27&lt;=#REF!+#REF!),$G$5,"")),"")</f>
        <v/>
      </c>
      <c r="BB93" s="36" t="str">
        <f ca="1">IFERROR(+IF(BC$27=#REF!,Milestone_Marker,IF(AND(BC$27&gt;#REF!,BC$27&lt;=#REF!+#REF!),$G$5,"")),"")</f>
        <v/>
      </c>
      <c r="BC93" s="36" t="str">
        <f ca="1">IFERROR(+IF(BD$27=#REF!,Milestone_Marker,IF(AND(BD$27&gt;#REF!,BD$27&lt;=#REF!+#REF!),$G$5,"")),"")</f>
        <v/>
      </c>
      <c r="BD93" s="36" t="str">
        <f ca="1">IFERROR(+IF(BE$27=#REF!,Milestone_Marker,IF(AND(BE$27&gt;#REF!,BE$27&lt;=#REF!+#REF!),$G$5,"")),"")</f>
        <v/>
      </c>
      <c r="BE93" s="36" t="str">
        <f ca="1">IFERROR(+IF(BF$27=#REF!,Milestone_Marker,IF(AND(BF$27&gt;#REF!,BF$27&lt;=#REF!+#REF!),$G$5,"")),"")</f>
        <v/>
      </c>
      <c r="BF93" s="36" t="str">
        <f ca="1">IFERROR(+IF(BG$27=#REF!,Milestone_Marker,IF(AND(BG$27&gt;#REF!,BG$27&lt;=#REF!+#REF!),$G$5,"")),"")</f>
        <v/>
      </c>
      <c r="BG93" s="36" t="str">
        <f ca="1">IFERROR(+IF(BH$27=#REF!,Milestone_Marker,IF(AND(BH$27&gt;#REF!,BH$27&lt;=#REF!+#REF!),$G$5,"")),"")</f>
        <v/>
      </c>
      <c r="BH93" s="36" t="str">
        <f ca="1">IFERROR(+IF(BI$27=#REF!,Milestone_Marker,IF(AND(BI$27&gt;#REF!,BI$27&lt;=#REF!+#REF!),$G$5,"")),"")</f>
        <v/>
      </c>
      <c r="BI93" s="36" t="str">
        <f ca="1">IFERROR(+IF(BJ$27=#REF!,Milestone_Marker,IF(AND(BJ$27&gt;#REF!,BJ$27&lt;=#REF!+#REF!),$G$5,"")),"")</f>
        <v/>
      </c>
      <c r="BJ93" s="36" t="str">
        <f ca="1">IFERROR(+IF(BK$27=#REF!,Milestone_Marker,IF(AND(BK$27&gt;#REF!,BK$27&lt;=#REF!+#REF!),$G$5,"")),"")</f>
        <v/>
      </c>
      <c r="BK93" s="36" t="str">
        <f ca="1">IFERROR(+IF(BL$27=#REF!,Milestone_Marker,IF(AND(BL$27&gt;#REF!,BL$27&lt;=#REF!+#REF!),$G$5,"")),"")</f>
        <v/>
      </c>
      <c r="BL93" s="36" t="str">
        <f ca="1">IFERROR(+IF(BM$27=#REF!,Milestone_Marker,IF(AND(BM$27&gt;#REF!,BM$27&lt;=#REF!+#REF!),$G$5,"")),"")</f>
        <v/>
      </c>
      <c r="BM93" s="36" t="str">
        <f ca="1">IFERROR(+IF(BN$27=#REF!,Milestone_Marker,IF(AND(BN$27&gt;#REF!,BN$27&lt;=#REF!+#REF!),$G$5,"")),"")</f>
        <v/>
      </c>
      <c r="BN93" s="36" t="str">
        <f ca="1">IFERROR(+IF(BO$27=#REF!,Milestone_Marker,IF(AND(BO$27&gt;#REF!,BO$27&lt;=#REF!+#REF!),$G$5,"")),"")</f>
        <v/>
      </c>
      <c r="BO93" s="36" t="str">
        <f ca="1">IFERROR(+IF(BP$27=#REF!,Milestone_Marker,IF(AND(BP$27&gt;#REF!,BP$27&lt;=#REF!+#REF!),$G$5,"")),"")</f>
        <v/>
      </c>
      <c r="BP93" s="36" t="str">
        <f ca="1">IFERROR(+IF(BQ$27=#REF!,Milestone_Marker,IF(AND(BQ$27&gt;#REF!,BQ$27&lt;=#REF!+#REF!),$G$5,"")),"")</f>
        <v/>
      </c>
      <c r="BQ93" s="36" t="str">
        <f ca="1">IFERROR(+IF(BR$27=#REF!,Milestone_Marker,IF(AND(BR$27&gt;#REF!,BR$27&lt;=#REF!+#REF!),$G$5,"")),"")</f>
        <v/>
      </c>
      <c r="BR93" s="36" t="str">
        <f ca="1">IFERROR(+IF(BS$27=#REF!,Milestone_Marker,IF(AND(BS$27&gt;#REF!,BS$27&lt;=#REF!+#REF!),$G$5,"")),"")</f>
        <v/>
      </c>
      <c r="BS93" s="36" t="str">
        <f ca="1">IFERROR(+IF(BT$27=#REF!,Milestone_Marker,IF(AND(BT$27&gt;#REF!,BT$27&lt;=#REF!+#REF!),$G$5,"")),"")</f>
        <v/>
      </c>
      <c r="BT93" s="36" t="str">
        <f ca="1">IFERROR(+IF(BU$27=#REF!,Milestone_Marker,IF(AND(BU$27&gt;#REF!,BU$27&lt;=#REF!+#REF!),$G$5,"")),"")</f>
        <v/>
      </c>
      <c r="BU93" s="36" t="str">
        <f ca="1">IFERROR(+IF(BV$27=#REF!,Milestone_Marker,IF(AND(BV$27&gt;#REF!,BV$27&lt;=#REF!+#REF!),$G$5,"")),"")</f>
        <v/>
      </c>
      <c r="BV93" s="36" t="str">
        <f ca="1">IFERROR(+IF(BW$27=#REF!,Milestone_Marker,IF(AND(BW$27&gt;#REF!,BW$27&lt;=#REF!+#REF!),$G$5,"")),"")</f>
        <v/>
      </c>
      <c r="BW93" s="36" t="str">
        <f ca="1">IFERROR(+IF(BX$27=#REF!,Milestone_Marker,IF(AND(BX$27&gt;#REF!,BX$27&lt;=#REF!+#REF!),$G$5,"")),"")</f>
        <v/>
      </c>
      <c r="BX93" s="36" t="str">
        <f ca="1">IFERROR(+IF(BY$27=#REF!,Milestone_Marker,IF(AND(BY$27&gt;#REF!,BY$27&lt;=#REF!+#REF!),$G$5,"")),"")</f>
        <v/>
      </c>
      <c r="BY93" s="36" t="str">
        <f ca="1">IFERROR(+IF(BZ$27=#REF!,Milestone_Marker,IF(AND(BZ$27&gt;#REF!,BZ$27&lt;=#REF!+#REF!),$G$5,"")),"")</f>
        <v/>
      </c>
      <c r="BZ93" s="36" t="str">
        <f ca="1">IFERROR(+IF(CA$27=#REF!,Milestone_Marker,IF(AND(CA$27&gt;#REF!,CA$27&lt;=#REF!+#REF!),$G$5,"")),"")</f>
        <v/>
      </c>
      <c r="CA93" s="36" t="str">
        <f ca="1">IFERROR(+IF(CB$27=#REF!,Milestone_Marker,IF(AND(CB$27&gt;#REF!,CB$27&lt;=#REF!+#REF!),$G$5,"")),"")</f>
        <v/>
      </c>
      <c r="CB93" s="36" t="str">
        <f ca="1">IFERROR(+IF(CC$27=#REF!,Milestone_Marker,IF(AND(CC$27&gt;#REF!,CC$27&lt;=#REF!+#REF!),$G$5,"")),"")</f>
        <v/>
      </c>
      <c r="CC93" s="36" t="str">
        <f ca="1">IFERROR(+IF(CD$27=#REF!,Milestone_Marker,IF(AND(CD$27&gt;#REF!,CD$27&lt;=#REF!+#REF!),$G$5,"")),"")</f>
        <v/>
      </c>
      <c r="CD93" s="36" t="str">
        <f ca="1">IFERROR(+IF(CE$27=#REF!,Milestone_Marker,IF(AND(CE$27&gt;#REF!,CE$27&lt;=#REF!+#REF!),$G$5,"")),"")</f>
        <v/>
      </c>
      <c r="CE93" s="36" t="str">
        <f ca="1">IFERROR(+IF(CF$27=#REF!,Milestone_Marker,IF(AND(CF$27&gt;#REF!,CF$27&lt;=#REF!+#REF!),$G$5,"")),"")</f>
        <v/>
      </c>
      <c r="CF93" s="36" t="str">
        <f ca="1">IFERROR(+IF(CG$27=#REF!,Milestone_Marker,IF(AND(CG$27&gt;#REF!,CG$27&lt;=#REF!+#REF!),$G$5,"")),"")</f>
        <v/>
      </c>
      <c r="CG93" s="36" t="str">
        <f ca="1">IFERROR(+IF(CH$27=#REF!,Milestone_Marker,IF(AND(CH$27&gt;#REF!,CH$27&lt;=#REF!+#REF!),$G$5,"")),"")</f>
        <v/>
      </c>
      <c r="CH93" s="36" t="str">
        <f ca="1">IFERROR(+IF(CI$27=#REF!,Milestone_Marker,IF(AND(CI$27&gt;#REF!,CI$27&lt;=#REF!+#REF!),$G$5,"")),"")</f>
        <v/>
      </c>
      <c r="CI93" s="36" t="str">
        <f ca="1">IFERROR(+IF(CJ$27=#REF!,Milestone_Marker,IF(AND(CJ$27&gt;#REF!,CJ$27&lt;=#REF!+#REF!),$G$5,"")),"")</f>
        <v/>
      </c>
      <c r="CJ93" s="36" t="str">
        <f ca="1">IFERROR(+IF(CK$27=#REF!,Milestone_Marker,IF(AND(CK$27&gt;#REF!,CK$27&lt;=#REF!+#REF!),$G$5,"")),"")</f>
        <v/>
      </c>
      <c r="CK93" s="36" t="str">
        <f ca="1">IFERROR(+IF(CL$27=#REF!,Milestone_Marker,IF(AND(CL$27&gt;#REF!,CL$27&lt;=#REF!+#REF!),$G$5,"")),"")</f>
        <v/>
      </c>
      <c r="CL93" s="36" t="str">
        <f ca="1">IFERROR(+IF(CM$27=#REF!,Milestone_Marker,IF(AND(CM$27&gt;#REF!,CM$27&lt;=#REF!+#REF!),$G$5,"")),"")</f>
        <v/>
      </c>
      <c r="CM93" s="36" t="str">
        <f ca="1">IFERROR(+IF(CN$27=#REF!,Milestone_Marker,IF(AND(CN$27&gt;#REF!,CN$27&lt;=#REF!+#REF!),$G$5,"")),"")</f>
        <v/>
      </c>
      <c r="CN93" s="36" t="str">
        <f ca="1">IFERROR(+IF(CO$27=#REF!,Milestone_Marker,IF(AND(CO$27&gt;#REF!,CO$27&lt;=#REF!+#REF!),$G$5,"")),"")</f>
        <v/>
      </c>
      <c r="CO93" s="36" t="str">
        <f ca="1">IFERROR(+IF(CP$27=#REF!,Milestone_Marker,IF(AND(CP$27&gt;#REF!,CP$27&lt;=#REF!+#REF!),$G$5,"")),"")</f>
        <v/>
      </c>
      <c r="CP93" s="36" t="str">
        <f ca="1">IFERROR(+IF(CQ$27=#REF!,Milestone_Marker,IF(AND(CQ$27&gt;#REF!,CQ$27&lt;=#REF!+#REF!),$G$5,"")),"")</f>
        <v/>
      </c>
      <c r="CQ93" s="36" t="str">
        <f ca="1">IFERROR(+IF(CR$27=#REF!,Milestone_Marker,IF(AND(CR$27&gt;#REF!,CR$27&lt;=#REF!+#REF!),$G$5,"")),"")</f>
        <v/>
      </c>
      <c r="CR93" s="36" t="str">
        <f ca="1">IFERROR(+IF(CS$27=#REF!,Milestone_Marker,IF(AND(CS$27&gt;#REF!,CS$27&lt;=#REF!+#REF!),$G$5,"")),"")</f>
        <v/>
      </c>
      <c r="CS93" s="36" t="str">
        <f ca="1">IFERROR(+IF(CT$27=#REF!,Milestone_Marker,IF(AND(CT$27&gt;#REF!,CT$27&lt;=#REF!+#REF!),$G$5,"")),"")</f>
        <v/>
      </c>
      <c r="CT93" s="36" t="str">
        <f ca="1">IFERROR(+IF(CU$27=#REF!,Milestone_Marker,IF(AND(CU$27&gt;#REF!,CU$27&lt;=#REF!+#REF!),$G$5,"")),"")</f>
        <v/>
      </c>
    </row>
    <row r="94" spans="1:125" ht="18" customHeight="1" x14ac:dyDescent="0.25">
      <c r="P94" s="36" t="str">
        <f ca="1">IFERROR(+IF(Q$27=#REF!,Milestone_Marker,IF(AND(Q$27&gt;#REF!,Q$27&lt;=#REF!+#REF!),$G$5,"")),"")</f>
        <v/>
      </c>
      <c r="Q94" s="36" t="str">
        <f ca="1">IFERROR(+IF(R$27=#REF!,Milestone_Marker,IF(AND(R$27&gt;#REF!,R$27&lt;=#REF!+#REF!),$G$5,"")),"")</f>
        <v/>
      </c>
      <c r="R94" s="36" t="str">
        <f ca="1">IFERROR(+IF(S$27=#REF!,Milestone_Marker,IF(AND(S$27&gt;#REF!,S$27&lt;=#REF!+#REF!),$G$5,"")),"")</f>
        <v/>
      </c>
      <c r="S94" s="36" t="str">
        <f ca="1">IFERROR(+IF(T$27=#REF!,Milestone_Marker,IF(AND(T$27&gt;#REF!,T$27&lt;=#REF!+#REF!),$G$5,"")),"")</f>
        <v/>
      </c>
      <c r="T94" s="36" t="str">
        <f ca="1">IFERROR(+IF(U$27=#REF!,Milestone_Marker,IF(AND(U$27&gt;#REF!,U$27&lt;=#REF!+#REF!),$G$5,"")),"")</f>
        <v/>
      </c>
      <c r="U94" s="36" t="str">
        <f ca="1">IFERROR(+IF(V$27=#REF!,Milestone_Marker,IF(AND(V$27&gt;#REF!,V$27&lt;=#REF!+#REF!),$G$5,"")),"")</f>
        <v/>
      </c>
      <c r="V94" s="36" t="str">
        <f ca="1">IFERROR(+IF(W$27=#REF!,Milestone_Marker,IF(AND(W$27&gt;#REF!,W$27&lt;=#REF!+#REF!),$G$5,"")),"")</f>
        <v/>
      </c>
      <c r="W94" s="36" t="str">
        <f ca="1">IFERROR(+IF(X$27=#REF!,Milestone_Marker,IF(AND(X$27&gt;#REF!,X$27&lt;=#REF!+#REF!),$G$5,"")),"")</f>
        <v/>
      </c>
      <c r="X94" s="36" t="str">
        <f ca="1">IFERROR(+IF(Y$27=#REF!,Milestone_Marker,IF(AND(Y$27&gt;#REF!,Y$27&lt;=#REF!+#REF!),$G$5,"")),"")</f>
        <v/>
      </c>
      <c r="Y94" s="36" t="str">
        <f ca="1">IFERROR(+IF(Z$27=#REF!,Milestone_Marker,IF(AND(Z$27&gt;#REF!,Z$27&lt;=#REF!+#REF!),$G$5,"")),"")</f>
        <v/>
      </c>
      <c r="Z94" s="36" t="str">
        <f ca="1">IFERROR(+IF(AA$27=#REF!,Milestone_Marker,IF(AND(AA$27&gt;#REF!,AA$27&lt;=#REF!+#REF!),$G$5,"")),"")</f>
        <v/>
      </c>
      <c r="AA94" s="36" t="str">
        <f ca="1">IFERROR(+IF(AB$27=#REF!,Milestone_Marker,IF(AND(AB$27&gt;#REF!,AB$27&lt;=#REF!+#REF!),$G$5,"")),"")</f>
        <v/>
      </c>
      <c r="AB94" s="36" t="str">
        <f ca="1">IFERROR(+IF(AC$27=#REF!,Milestone_Marker,IF(AND(AC$27&gt;#REF!,AC$27&lt;=#REF!+#REF!),$G$5,"")),"")</f>
        <v/>
      </c>
      <c r="AC94" s="36" t="str">
        <f ca="1">IFERROR(+IF(AD$27=#REF!,Milestone_Marker,IF(AND(AD$27&gt;#REF!,AD$27&lt;=#REF!+#REF!),$G$5,"")),"")</f>
        <v/>
      </c>
      <c r="AD94" s="36" t="str">
        <f ca="1">IFERROR(+IF(AE$27=#REF!,Milestone_Marker,IF(AND(AE$27&gt;#REF!,AE$27&lt;=#REF!+#REF!),$G$5,"")),"")</f>
        <v/>
      </c>
      <c r="AE94" s="36" t="str">
        <f ca="1">IFERROR(+IF(AF$27=#REF!,Milestone_Marker,IF(AND(AF$27&gt;#REF!,AF$27&lt;=#REF!+#REF!),$G$5,"")),"")</f>
        <v/>
      </c>
      <c r="AF94" s="36" t="str">
        <f ca="1">IFERROR(+IF(AG$27=#REF!,Milestone_Marker,IF(AND(AG$27&gt;#REF!,AG$27&lt;=#REF!+#REF!),$G$5,"")),"")</f>
        <v/>
      </c>
      <c r="AG94" s="36" t="str">
        <f ca="1">IFERROR(+IF(AH$27=#REF!,Milestone_Marker,IF(AND(AH$27&gt;#REF!,AH$27&lt;=#REF!+#REF!),$G$5,"")),"")</f>
        <v/>
      </c>
      <c r="AH94" s="36" t="str">
        <f ca="1">IFERROR(+IF(AI$27=#REF!,Milestone_Marker,IF(AND(AI$27&gt;#REF!,AI$27&lt;=#REF!+#REF!),$G$5,"")),"")</f>
        <v/>
      </c>
      <c r="AI94" s="36" t="str">
        <f ca="1">IFERROR(+IF(AJ$27=#REF!,Milestone_Marker,IF(AND(AJ$27&gt;#REF!,AJ$27&lt;=#REF!+#REF!),$G$5,"")),"")</f>
        <v/>
      </c>
      <c r="AJ94" s="36" t="str">
        <f ca="1">IFERROR(+IF(AK$27=#REF!,Milestone_Marker,IF(AND(AK$27&gt;#REF!,AK$27&lt;=#REF!+#REF!),$G$5,"")),"")</f>
        <v/>
      </c>
      <c r="AK94" s="36" t="str">
        <f ca="1">IFERROR(+IF(AL$27=#REF!,Milestone_Marker,IF(AND(AL$27&gt;#REF!,AL$27&lt;=#REF!+#REF!),$G$5,"")),"")</f>
        <v/>
      </c>
      <c r="AL94" s="36" t="str">
        <f ca="1">IFERROR(+IF(AM$27=#REF!,Milestone_Marker,IF(AND(AM$27&gt;#REF!,AM$27&lt;=#REF!+#REF!),$G$5,"")),"")</f>
        <v/>
      </c>
      <c r="AM94" s="36" t="str">
        <f ca="1">IFERROR(+IF(AN$27=#REF!,Milestone_Marker,IF(AND(AN$27&gt;#REF!,AN$27&lt;=#REF!+#REF!),$G$5,"")),"")</f>
        <v/>
      </c>
      <c r="AN94" s="36" t="str">
        <f ca="1">IFERROR(+IF(AO$27=#REF!,Milestone_Marker,IF(AND(AO$27&gt;#REF!,AO$27&lt;=#REF!+#REF!),$G$5,"")),"")</f>
        <v/>
      </c>
      <c r="AO94" s="36" t="str">
        <f ca="1">IFERROR(+IF(AP$27=#REF!,Milestone_Marker,IF(AND(AP$27&gt;#REF!,AP$27&lt;=#REF!+#REF!),$G$5,"")),"")</f>
        <v/>
      </c>
      <c r="AP94" s="36" t="str">
        <f ca="1">IFERROR(+IF(AQ$27=#REF!,Milestone_Marker,IF(AND(AQ$27&gt;#REF!,AQ$27&lt;=#REF!+#REF!),$G$5,"")),"")</f>
        <v/>
      </c>
      <c r="AQ94" s="36" t="str">
        <f ca="1">IFERROR(+IF(AR$27=#REF!,Milestone_Marker,IF(AND(AR$27&gt;#REF!,AR$27&lt;=#REF!+#REF!),$G$5,"")),"")</f>
        <v/>
      </c>
      <c r="AR94" s="36" t="str">
        <f ca="1">IFERROR(+IF(AS$27=#REF!,Milestone_Marker,IF(AND(AS$27&gt;#REF!,AS$27&lt;=#REF!+#REF!),$G$5,"")),"")</f>
        <v/>
      </c>
      <c r="AS94" s="36" t="str">
        <f ca="1">IFERROR(+IF(AT$27=#REF!,Milestone_Marker,IF(AND(AT$27&gt;#REF!,AT$27&lt;=#REF!+#REF!),$G$5,"")),"")</f>
        <v/>
      </c>
      <c r="AT94" s="36" t="str">
        <f ca="1">IFERROR(+IF(AU$27=#REF!,Milestone_Marker,IF(AND(AU$27&gt;#REF!,AU$27&lt;=#REF!+#REF!),$G$5,"")),"")</f>
        <v/>
      </c>
      <c r="AU94" s="36" t="str">
        <f ca="1">IFERROR(+IF(AV$27=#REF!,Milestone_Marker,IF(AND(AV$27&gt;#REF!,AV$27&lt;=#REF!+#REF!),$G$5,"")),"")</f>
        <v/>
      </c>
      <c r="AV94" s="36" t="str">
        <f ca="1">IFERROR(+IF(AW$27=#REF!,Milestone_Marker,IF(AND(AW$27&gt;#REF!,AW$27&lt;=#REF!+#REF!),$G$5,"")),"")</f>
        <v/>
      </c>
      <c r="AW94" s="36" t="str">
        <f ca="1">IFERROR(+IF(AX$27=#REF!,Milestone_Marker,IF(AND(AX$27&gt;#REF!,AX$27&lt;=#REF!+#REF!),$G$5,"")),"")</f>
        <v/>
      </c>
      <c r="AX94" s="36" t="str">
        <f ca="1">IFERROR(+IF(AY$27=#REF!,Milestone_Marker,IF(AND(AY$27&gt;#REF!,AY$27&lt;=#REF!+#REF!),$G$5,"")),"")</f>
        <v/>
      </c>
      <c r="AY94" s="36" t="str">
        <f ca="1">IFERROR(+IF(AZ$27=#REF!,Milestone_Marker,IF(AND(AZ$27&gt;#REF!,AZ$27&lt;=#REF!+#REF!),$G$5,"")),"")</f>
        <v/>
      </c>
      <c r="AZ94" s="36" t="str">
        <f ca="1">IFERROR(+IF(BA$27=#REF!,Milestone_Marker,IF(AND(BA$27&gt;#REF!,BA$27&lt;=#REF!+#REF!),$G$5,"")),"")</f>
        <v/>
      </c>
      <c r="BA94" s="36" t="str">
        <f ca="1">IFERROR(+IF(BB$27=#REF!,Milestone_Marker,IF(AND(BB$27&gt;#REF!,BB$27&lt;=#REF!+#REF!),$G$5,"")),"")</f>
        <v/>
      </c>
      <c r="BB94" s="36" t="str">
        <f ca="1">IFERROR(+IF(BC$27=#REF!,Milestone_Marker,IF(AND(BC$27&gt;#REF!,BC$27&lt;=#REF!+#REF!),$G$5,"")),"")</f>
        <v/>
      </c>
      <c r="BC94" s="36" t="str">
        <f ca="1">IFERROR(+IF(BD$27=#REF!,Milestone_Marker,IF(AND(BD$27&gt;#REF!,BD$27&lt;=#REF!+#REF!),$G$5,"")),"")</f>
        <v/>
      </c>
      <c r="BD94" s="36" t="str">
        <f ca="1">IFERROR(+IF(BE$27=#REF!,Milestone_Marker,IF(AND(BE$27&gt;#REF!,BE$27&lt;=#REF!+#REF!),$G$5,"")),"")</f>
        <v/>
      </c>
      <c r="BE94" s="36" t="str">
        <f ca="1">IFERROR(+IF(BF$27=#REF!,Milestone_Marker,IF(AND(BF$27&gt;#REF!,BF$27&lt;=#REF!+#REF!),$G$5,"")),"")</f>
        <v/>
      </c>
      <c r="BF94" s="36" t="str">
        <f ca="1">IFERROR(+IF(BG$27=#REF!,Milestone_Marker,IF(AND(BG$27&gt;#REF!,BG$27&lt;=#REF!+#REF!),$G$5,"")),"")</f>
        <v/>
      </c>
      <c r="BG94" s="36" t="str">
        <f ca="1">IFERROR(+IF(BH$27=#REF!,Milestone_Marker,IF(AND(BH$27&gt;#REF!,BH$27&lt;=#REF!+#REF!),$G$5,"")),"")</f>
        <v/>
      </c>
      <c r="BH94" s="36" t="str">
        <f ca="1">IFERROR(+IF(BI$27=#REF!,Milestone_Marker,IF(AND(BI$27&gt;#REF!,BI$27&lt;=#REF!+#REF!),$G$5,"")),"")</f>
        <v/>
      </c>
      <c r="BI94" s="36" t="str">
        <f ca="1">IFERROR(+IF(BJ$27=#REF!,Milestone_Marker,IF(AND(BJ$27&gt;#REF!,BJ$27&lt;=#REF!+#REF!),$G$5,"")),"")</f>
        <v/>
      </c>
      <c r="BJ94" s="36" t="str">
        <f ca="1">IFERROR(+IF(BK$27=#REF!,Milestone_Marker,IF(AND(BK$27&gt;#REF!,BK$27&lt;=#REF!+#REF!),$G$5,"")),"")</f>
        <v/>
      </c>
      <c r="BK94" s="36" t="str">
        <f ca="1">IFERROR(+IF(BL$27=#REF!,Milestone_Marker,IF(AND(BL$27&gt;#REF!,BL$27&lt;=#REF!+#REF!),$G$5,"")),"")</f>
        <v/>
      </c>
      <c r="BL94" s="36" t="str">
        <f ca="1">IFERROR(+IF(BM$27=#REF!,Milestone_Marker,IF(AND(BM$27&gt;#REF!,BM$27&lt;=#REF!+#REF!),$G$5,"")),"")</f>
        <v/>
      </c>
      <c r="BM94" s="36" t="str">
        <f ca="1">IFERROR(+IF(BN$27=#REF!,Milestone_Marker,IF(AND(BN$27&gt;#REF!,BN$27&lt;=#REF!+#REF!),$G$5,"")),"")</f>
        <v/>
      </c>
      <c r="BN94" s="36" t="str">
        <f ca="1">IFERROR(+IF(BO$27=#REF!,Milestone_Marker,IF(AND(BO$27&gt;#REF!,BO$27&lt;=#REF!+#REF!),$G$5,"")),"")</f>
        <v/>
      </c>
      <c r="BO94" s="36" t="str">
        <f ca="1">IFERROR(+IF(BP$27=#REF!,Milestone_Marker,IF(AND(BP$27&gt;#REF!,BP$27&lt;=#REF!+#REF!),$G$5,"")),"")</f>
        <v/>
      </c>
      <c r="BP94" s="36" t="str">
        <f ca="1">IFERROR(+IF(BQ$27=#REF!,Milestone_Marker,IF(AND(BQ$27&gt;#REF!,BQ$27&lt;=#REF!+#REF!),$G$5,"")),"")</f>
        <v/>
      </c>
      <c r="BQ94" s="36" t="str">
        <f ca="1">IFERROR(+IF(BR$27=#REF!,Milestone_Marker,IF(AND(BR$27&gt;#REF!,BR$27&lt;=#REF!+#REF!),$G$5,"")),"")</f>
        <v/>
      </c>
      <c r="BR94" s="36" t="str">
        <f ca="1">IFERROR(+IF(BS$27=#REF!,Milestone_Marker,IF(AND(BS$27&gt;#REF!,BS$27&lt;=#REF!+#REF!),$G$5,"")),"")</f>
        <v/>
      </c>
      <c r="BS94" s="36" t="str">
        <f ca="1">IFERROR(+IF(BT$27=#REF!,Milestone_Marker,IF(AND(BT$27&gt;#REF!,BT$27&lt;=#REF!+#REF!),$G$5,"")),"")</f>
        <v/>
      </c>
      <c r="BT94" s="36" t="str">
        <f ca="1">IFERROR(+IF(BU$27=#REF!,Milestone_Marker,IF(AND(BU$27&gt;#REF!,BU$27&lt;=#REF!+#REF!),$G$5,"")),"")</f>
        <v/>
      </c>
      <c r="BU94" s="36" t="str">
        <f ca="1">IFERROR(+IF(BV$27=#REF!,Milestone_Marker,IF(AND(BV$27&gt;#REF!,BV$27&lt;=#REF!+#REF!),$G$5,"")),"")</f>
        <v/>
      </c>
      <c r="BV94" s="36" t="str">
        <f ca="1">IFERROR(+IF(BW$27=#REF!,Milestone_Marker,IF(AND(BW$27&gt;#REF!,BW$27&lt;=#REF!+#REF!),$G$5,"")),"")</f>
        <v/>
      </c>
      <c r="BW94" s="36" t="str">
        <f ca="1">IFERROR(+IF(BX$27=#REF!,Milestone_Marker,IF(AND(BX$27&gt;#REF!,BX$27&lt;=#REF!+#REF!),$G$5,"")),"")</f>
        <v/>
      </c>
      <c r="BX94" s="36" t="str">
        <f ca="1">IFERROR(+IF(BY$27=#REF!,Milestone_Marker,IF(AND(BY$27&gt;#REF!,BY$27&lt;=#REF!+#REF!),$G$5,"")),"")</f>
        <v/>
      </c>
      <c r="BY94" s="36" t="str">
        <f ca="1">IFERROR(+IF(BZ$27=#REF!,Milestone_Marker,IF(AND(BZ$27&gt;#REF!,BZ$27&lt;=#REF!+#REF!),$G$5,"")),"")</f>
        <v/>
      </c>
      <c r="BZ94" s="36" t="str">
        <f ca="1">IFERROR(+IF(CA$27=#REF!,Milestone_Marker,IF(AND(CA$27&gt;#REF!,CA$27&lt;=#REF!+#REF!),$G$5,"")),"")</f>
        <v/>
      </c>
      <c r="CA94" s="36" t="str">
        <f ca="1">IFERROR(+IF(CB$27=#REF!,Milestone_Marker,IF(AND(CB$27&gt;#REF!,CB$27&lt;=#REF!+#REF!),$G$5,"")),"")</f>
        <v/>
      </c>
      <c r="CB94" s="36" t="str">
        <f ca="1">IFERROR(+IF(CC$27=#REF!,Milestone_Marker,IF(AND(CC$27&gt;#REF!,CC$27&lt;=#REF!+#REF!),$G$5,"")),"")</f>
        <v/>
      </c>
      <c r="CC94" s="36" t="str">
        <f ca="1">IFERROR(+IF(CD$27=#REF!,Milestone_Marker,IF(AND(CD$27&gt;#REF!,CD$27&lt;=#REF!+#REF!),$G$5,"")),"")</f>
        <v/>
      </c>
      <c r="CD94" s="36" t="str">
        <f ca="1">IFERROR(+IF(CE$27=#REF!,Milestone_Marker,IF(AND(CE$27&gt;#REF!,CE$27&lt;=#REF!+#REF!),$G$5,"")),"")</f>
        <v/>
      </c>
      <c r="CE94" s="36" t="str">
        <f ca="1">IFERROR(+IF(CF$27=#REF!,Milestone_Marker,IF(AND(CF$27&gt;#REF!,CF$27&lt;=#REF!+#REF!),$G$5,"")),"")</f>
        <v/>
      </c>
      <c r="CF94" s="36" t="str">
        <f ca="1">IFERROR(+IF(CG$27=#REF!,Milestone_Marker,IF(AND(CG$27&gt;#REF!,CG$27&lt;=#REF!+#REF!),$G$5,"")),"")</f>
        <v/>
      </c>
      <c r="CG94" s="36" t="str">
        <f ca="1">IFERROR(+IF(CH$27=#REF!,Milestone_Marker,IF(AND(CH$27&gt;#REF!,CH$27&lt;=#REF!+#REF!),$G$5,"")),"")</f>
        <v/>
      </c>
      <c r="CH94" s="36" t="str">
        <f ca="1">IFERROR(+IF(CI$27=#REF!,Milestone_Marker,IF(AND(CI$27&gt;#REF!,CI$27&lt;=#REF!+#REF!),$G$5,"")),"")</f>
        <v/>
      </c>
      <c r="CI94" s="36" t="str">
        <f ca="1">IFERROR(+IF(CJ$27=#REF!,Milestone_Marker,IF(AND(CJ$27&gt;#REF!,CJ$27&lt;=#REF!+#REF!),$G$5,"")),"")</f>
        <v/>
      </c>
      <c r="CJ94" s="36" t="str">
        <f ca="1">IFERROR(+IF(CK$27=#REF!,Milestone_Marker,IF(AND(CK$27&gt;#REF!,CK$27&lt;=#REF!+#REF!),$G$5,"")),"")</f>
        <v/>
      </c>
      <c r="CK94" s="36" t="str">
        <f ca="1">IFERROR(+IF(CL$27=#REF!,Milestone_Marker,IF(AND(CL$27&gt;#REF!,CL$27&lt;=#REF!+#REF!),$G$5,"")),"")</f>
        <v/>
      </c>
      <c r="CL94" s="36" t="str">
        <f ca="1">IFERROR(+IF(CM$27=#REF!,Milestone_Marker,IF(AND(CM$27&gt;#REF!,CM$27&lt;=#REF!+#REF!),$G$5,"")),"")</f>
        <v/>
      </c>
      <c r="CM94" s="36" t="str">
        <f ca="1">IFERROR(+IF(CN$27=#REF!,Milestone_Marker,IF(AND(CN$27&gt;#REF!,CN$27&lt;=#REF!+#REF!),$G$5,"")),"")</f>
        <v/>
      </c>
      <c r="CN94" s="36" t="str">
        <f ca="1">IFERROR(+IF(CO$27=#REF!,Milestone_Marker,IF(AND(CO$27&gt;#REF!,CO$27&lt;=#REF!+#REF!),$G$5,"")),"")</f>
        <v/>
      </c>
      <c r="CO94" s="36" t="str">
        <f ca="1">IFERROR(+IF(CP$27=#REF!,Milestone_Marker,IF(AND(CP$27&gt;#REF!,CP$27&lt;=#REF!+#REF!),$G$5,"")),"")</f>
        <v/>
      </c>
      <c r="CP94" s="36" t="str">
        <f ca="1">IFERROR(+IF(CQ$27=#REF!,Milestone_Marker,IF(AND(CQ$27&gt;#REF!,CQ$27&lt;=#REF!+#REF!),$G$5,"")),"")</f>
        <v/>
      </c>
      <c r="CQ94" s="36" t="str">
        <f ca="1">IFERROR(+IF(CR$27=#REF!,Milestone_Marker,IF(AND(CR$27&gt;#REF!,CR$27&lt;=#REF!+#REF!),$G$5,"")),"")</f>
        <v/>
      </c>
      <c r="CR94" s="36" t="str">
        <f ca="1">IFERROR(+IF(CS$27=#REF!,Milestone_Marker,IF(AND(CS$27&gt;#REF!,CS$27&lt;=#REF!+#REF!),$G$5,"")),"")</f>
        <v/>
      </c>
      <c r="CS94" s="36" t="str">
        <f ca="1">IFERROR(+IF(CT$27=#REF!,Milestone_Marker,IF(AND(CT$27&gt;#REF!,CT$27&lt;=#REF!+#REF!),$G$5,"")),"")</f>
        <v/>
      </c>
      <c r="CT94" s="36"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6"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66675</xdr:colOff>
                    <xdr:row>21</xdr:row>
                    <xdr:rowOff>247650</xdr:rowOff>
                  </from>
                  <to>
                    <xdr:col>24</xdr:col>
                    <xdr:colOff>247650</xdr:colOff>
                    <xdr:row>23</xdr:row>
                    <xdr:rowOff>66675</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9"/>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6" bestFit="1" customWidth="1"/>
    <col min="6" max="6" width="10" style="256" bestFit="1" customWidth="1"/>
    <col min="7" max="8" width="10.28515625" style="256" bestFit="1" customWidth="1"/>
    <col min="9" max="9" width="5.42578125" style="256" customWidth="1"/>
    <col min="10" max="10" width="50.7109375" bestFit="1" customWidth="1"/>
    <col min="11" max="12" width="9.7109375" bestFit="1" customWidth="1"/>
    <col min="13" max="13" width="8.7109375" style="246"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6" bestFit="1" customWidth="1"/>
    <col min="24" max="25" width="14.28515625" bestFit="1" customWidth="1"/>
  </cols>
  <sheetData>
    <row r="1" spans="1:23" x14ac:dyDescent="0.25">
      <c r="A1" s="813" t="s">
        <v>264</v>
      </c>
      <c r="B1" s="814"/>
      <c r="C1" s="787"/>
      <c r="D1" s="787"/>
      <c r="E1" s="787"/>
      <c r="F1" s="787"/>
      <c r="G1" s="687"/>
      <c r="I1" s="809" t="s">
        <v>265</v>
      </c>
      <c r="J1" s="810"/>
      <c r="K1" s="811"/>
      <c r="L1" s="812"/>
      <c r="M1"/>
      <c r="N1" s="799" t="s">
        <v>266</v>
      </c>
      <c r="O1" s="800"/>
      <c r="P1" s="800"/>
      <c r="Q1" s="800"/>
      <c r="R1" s="800"/>
      <c r="S1" s="801"/>
      <c r="W1"/>
    </row>
    <row r="2" spans="1:23" ht="15.75" thickBot="1" x14ac:dyDescent="0.3">
      <c r="A2" s="813" t="s">
        <v>267</v>
      </c>
      <c r="B2" s="814"/>
      <c r="C2" s="787"/>
      <c r="D2" s="787"/>
      <c r="E2" s="787"/>
      <c r="F2" s="787"/>
      <c r="G2" s="687"/>
      <c r="I2" s="805" t="s">
        <v>268</v>
      </c>
      <c r="J2" s="806"/>
      <c r="K2" s="807"/>
      <c r="L2" s="808"/>
      <c r="M2"/>
      <c r="N2" s="802" t="str">
        <f>"Recap Summary Table - " &amp; +Profit!B2</f>
        <v>Recap Summary Table - 2325 Cool Springs Rd</v>
      </c>
      <c r="O2" s="803"/>
      <c r="P2" s="803"/>
      <c r="Q2" s="803"/>
      <c r="R2" s="803"/>
      <c r="S2" s="804"/>
      <c r="W2"/>
    </row>
    <row r="4" spans="1:23" s="62" customFormat="1" x14ac:dyDescent="0.25">
      <c r="A4" s="62" t="s">
        <v>223</v>
      </c>
      <c r="B4" s="22" t="s">
        <v>225</v>
      </c>
      <c r="C4" s="62" t="s">
        <v>226</v>
      </c>
      <c r="D4" s="3" t="s">
        <v>269</v>
      </c>
      <c r="E4" s="285" t="s">
        <v>230</v>
      </c>
      <c r="F4" s="3" t="s">
        <v>227</v>
      </c>
      <c r="G4" s="62" t="s">
        <v>228</v>
      </c>
      <c r="I4" s="62" t="s">
        <v>223</v>
      </c>
      <c r="J4" s="62" t="s">
        <v>270</v>
      </c>
      <c r="K4" s="286" t="s">
        <v>271</v>
      </c>
      <c r="L4" s="62" t="s">
        <v>228</v>
      </c>
      <c r="N4" s="3" t="s">
        <v>223</v>
      </c>
      <c r="O4" s="22" t="s">
        <v>225</v>
      </c>
      <c r="P4" s="3" t="s">
        <v>226</v>
      </c>
      <c r="Q4" s="3" t="s">
        <v>270</v>
      </c>
      <c r="R4" s="3" t="s">
        <v>271</v>
      </c>
      <c r="S4" s="3" t="s">
        <v>228</v>
      </c>
    </row>
    <row r="5" spans="1:23" x14ac:dyDescent="0.25">
      <c r="A5">
        <v>5</v>
      </c>
      <c r="B5" t="s">
        <v>208</v>
      </c>
      <c r="C5" t="s">
        <v>551</v>
      </c>
      <c r="F5" s="287">
        <v>0</v>
      </c>
      <c r="G5"/>
      <c r="H5"/>
      <c r="I5"/>
      <c r="K5" s="246"/>
      <c r="M5"/>
      <c r="R5" s="246"/>
      <c r="W5"/>
    </row>
    <row r="6" spans="1:23" x14ac:dyDescent="0.25">
      <c r="A6">
        <v>6</v>
      </c>
      <c r="B6" t="s">
        <v>208</v>
      </c>
      <c r="C6" t="s">
        <v>546</v>
      </c>
      <c r="F6" s="287">
        <v>0</v>
      </c>
      <c r="G6"/>
      <c r="H6"/>
      <c r="I6"/>
      <c r="K6" s="246"/>
      <c r="M6"/>
      <c r="W6"/>
    </row>
    <row r="7" spans="1:23" x14ac:dyDescent="0.25">
      <c r="A7">
        <v>7</v>
      </c>
      <c r="B7" t="s">
        <v>208</v>
      </c>
      <c r="C7" t="s">
        <v>547</v>
      </c>
      <c r="F7" s="287">
        <v>0</v>
      </c>
      <c r="G7"/>
      <c r="H7"/>
      <c r="I7"/>
      <c r="K7" s="246"/>
      <c r="M7"/>
      <c r="W7"/>
    </row>
    <row r="8" spans="1:23" x14ac:dyDescent="0.25">
      <c r="A8">
        <v>8</v>
      </c>
      <c r="B8" t="s">
        <v>208</v>
      </c>
      <c r="C8" t="s">
        <v>548</v>
      </c>
      <c r="F8" s="287">
        <v>0</v>
      </c>
      <c r="G8"/>
      <c r="H8"/>
      <c r="I8"/>
      <c r="K8" s="246"/>
      <c r="M8"/>
      <c r="W8"/>
    </row>
    <row r="9" spans="1:23" x14ac:dyDescent="0.25">
      <c r="A9">
        <v>9</v>
      </c>
      <c r="B9" t="s">
        <v>208</v>
      </c>
      <c r="C9" t="s">
        <v>549</v>
      </c>
      <c r="F9" s="287">
        <v>0</v>
      </c>
      <c r="G9"/>
      <c r="H9"/>
      <c r="I9"/>
      <c r="K9" s="246"/>
      <c r="M9"/>
      <c r="W9"/>
    </row>
    <row r="10" spans="1:23" x14ac:dyDescent="0.25">
      <c r="A10">
        <v>10</v>
      </c>
      <c r="F10" s="287"/>
      <c r="G10"/>
      <c r="H10"/>
      <c r="I10"/>
      <c r="K10" s="246"/>
      <c r="M10"/>
      <c r="W10"/>
    </row>
    <row r="11" spans="1:23" x14ac:dyDescent="0.25">
      <c r="A11">
        <v>11</v>
      </c>
      <c r="F11" s="287"/>
      <c r="G11"/>
      <c r="H11"/>
      <c r="I11"/>
      <c r="K11" s="246"/>
      <c r="M11"/>
      <c r="W11"/>
    </row>
    <row r="12" spans="1:23" x14ac:dyDescent="0.25">
      <c r="A12">
        <v>12</v>
      </c>
      <c r="F12" s="287"/>
      <c r="G12"/>
      <c r="H12"/>
      <c r="I12"/>
      <c r="K12" s="246"/>
      <c r="M12"/>
      <c r="W12"/>
    </row>
    <row r="13" spans="1:23" x14ac:dyDescent="0.25">
      <c r="A13">
        <v>13</v>
      </c>
      <c r="F13" s="287"/>
      <c r="G13"/>
      <c r="H13"/>
      <c r="I13"/>
      <c r="K13" s="246"/>
      <c r="M13"/>
      <c r="U13" s="246"/>
      <c r="W13"/>
    </row>
    <row r="14" spans="1:23" x14ac:dyDescent="0.25">
      <c r="A14">
        <v>14</v>
      </c>
      <c r="F14" s="287"/>
      <c r="G14"/>
      <c r="H14"/>
      <c r="I14"/>
      <c r="K14" s="246"/>
      <c r="M14"/>
      <c r="U14" s="246"/>
      <c r="W14"/>
    </row>
    <row r="15" spans="1:23" x14ac:dyDescent="0.25">
      <c r="A15">
        <v>15</v>
      </c>
      <c r="F15" s="287"/>
      <c r="G15"/>
      <c r="H15"/>
      <c r="I15"/>
      <c r="K15" s="246"/>
      <c r="M15"/>
      <c r="U15" s="246"/>
      <c r="W15"/>
    </row>
    <row r="16" spans="1:23" x14ac:dyDescent="0.25">
      <c r="A16">
        <v>16</v>
      </c>
      <c r="F16" s="287"/>
      <c r="G16"/>
      <c r="H16"/>
      <c r="I16"/>
      <c r="K16" s="246"/>
      <c r="M16"/>
      <c r="U16" s="246"/>
      <c r="W16"/>
    </row>
    <row r="17" spans="1:23" x14ac:dyDescent="0.25">
      <c r="A17">
        <v>17</v>
      </c>
      <c r="F17" s="287"/>
      <c r="G17"/>
      <c r="H17"/>
      <c r="I17"/>
      <c r="K17" s="246"/>
      <c r="M17"/>
      <c r="U17" s="246"/>
      <c r="W17"/>
    </row>
    <row r="18" spans="1:23" x14ac:dyDescent="0.25">
      <c r="A18">
        <v>18</v>
      </c>
      <c r="F18" s="287"/>
      <c r="G18"/>
      <c r="H18"/>
      <c r="I18"/>
      <c r="K18" s="246"/>
      <c r="M18"/>
      <c r="U18" s="246"/>
      <c r="W18"/>
    </row>
    <row r="19" spans="1:23" x14ac:dyDescent="0.25">
      <c r="A19">
        <v>19</v>
      </c>
      <c r="F19" s="287"/>
      <c r="G19"/>
      <c r="H19"/>
      <c r="I19"/>
      <c r="K19" s="246"/>
      <c r="M19"/>
      <c r="U19" s="246"/>
      <c r="W19"/>
    </row>
    <row r="20" spans="1:23" x14ac:dyDescent="0.25">
      <c r="A20">
        <v>20</v>
      </c>
      <c r="F20" s="287"/>
      <c r="G20"/>
      <c r="H20"/>
      <c r="I20"/>
      <c r="K20" s="246"/>
      <c r="M20"/>
      <c r="U20" s="246"/>
      <c r="W20"/>
    </row>
    <row r="21" spans="1:23" x14ac:dyDescent="0.25">
      <c r="A21">
        <v>21</v>
      </c>
      <c r="F21" s="287"/>
      <c r="G21"/>
      <c r="H21"/>
      <c r="I21"/>
      <c r="K21" s="246"/>
      <c r="M21"/>
      <c r="U21" s="246"/>
      <c r="W21"/>
    </row>
    <row r="22" spans="1:23" x14ac:dyDescent="0.25">
      <c r="A22">
        <v>22</v>
      </c>
      <c r="F22" s="287"/>
      <c r="G22"/>
      <c r="H22"/>
      <c r="I22"/>
      <c r="K22" s="246"/>
      <c r="M22"/>
      <c r="U22" s="246"/>
      <c r="W22"/>
    </row>
    <row r="23" spans="1:23" x14ac:dyDescent="0.25">
      <c r="A23">
        <v>23</v>
      </c>
      <c r="F23" s="287"/>
      <c r="G23"/>
      <c r="H23"/>
      <c r="I23"/>
      <c r="K23" s="246"/>
      <c r="M23"/>
      <c r="U23" s="246"/>
      <c r="W23"/>
    </row>
    <row r="24" spans="1:23" x14ac:dyDescent="0.25">
      <c r="A24">
        <v>2</v>
      </c>
      <c r="B24" t="s">
        <v>203</v>
      </c>
      <c r="C24" t="s">
        <v>203</v>
      </c>
      <c r="D24">
        <v>4</v>
      </c>
      <c r="F24" s="287"/>
      <c r="G24"/>
      <c r="H24"/>
      <c r="I24"/>
      <c r="K24" s="246"/>
      <c r="L24" s="246"/>
      <c r="M24"/>
      <c r="U24" s="246"/>
      <c r="W24"/>
    </row>
    <row r="25" spans="1:23" x14ac:dyDescent="0.25">
      <c r="A25">
        <v>3</v>
      </c>
      <c r="B25" t="s">
        <v>204</v>
      </c>
      <c r="C25" t="s">
        <v>204</v>
      </c>
      <c r="D25">
        <v>4</v>
      </c>
      <c r="F25" s="287"/>
      <c r="G25"/>
      <c r="H25"/>
      <c r="I25"/>
      <c r="K25" s="246"/>
      <c r="L25" s="246"/>
      <c r="M25"/>
      <c r="U25" s="246"/>
      <c r="W25"/>
    </row>
    <row r="26" spans="1:23" x14ac:dyDescent="0.25">
      <c r="A26">
        <v>1</v>
      </c>
      <c r="B26" t="s">
        <v>199</v>
      </c>
      <c r="C26" t="s">
        <v>200</v>
      </c>
      <c r="D26">
        <v>4</v>
      </c>
      <c r="E26" s="256">
        <v>45363</v>
      </c>
      <c r="F26" s="287"/>
      <c r="G26"/>
      <c r="H26"/>
      <c r="I26"/>
      <c r="K26" s="246"/>
      <c r="M26"/>
      <c r="U26" s="246"/>
      <c r="W26"/>
    </row>
    <row r="27" spans="1:23" x14ac:dyDescent="0.25">
      <c r="A27">
        <v>4</v>
      </c>
      <c r="B27" t="s">
        <v>205</v>
      </c>
      <c r="C27" t="s">
        <v>206</v>
      </c>
      <c r="D27">
        <v>5</v>
      </c>
      <c r="F27" s="287"/>
      <c r="G27"/>
      <c r="H27"/>
      <c r="I27"/>
      <c r="K27" s="246"/>
      <c r="M27"/>
      <c r="U27" s="246"/>
      <c r="W27"/>
    </row>
    <row r="28" spans="1:23" x14ac:dyDescent="0.25">
      <c r="H28"/>
      <c r="I28"/>
      <c r="K28" s="246"/>
      <c r="M28"/>
      <c r="U28" s="246"/>
      <c r="W28"/>
    </row>
    <row r="29" spans="1:23" x14ac:dyDescent="0.25">
      <c r="H29"/>
      <c r="I29"/>
      <c r="K29" s="246"/>
      <c r="M29"/>
      <c r="U29" s="246"/>
      <c r="W29"/>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523</v>
      </c>
    </row>
    <row r="2" spans="1:11" x14ac:dyDescent="0.25">
      <c r="I2" s="817" t="s">
        <v>2</v>
      </c>
      <c r="J2" s="817" t="str">
        <f>IF(Profit!$Q$6,IF(K2="No","No","Yes"),"No")</f>
        <v>No</v>
      </c>
      <c r="K2" s="819"/>
    </row>
    <row r="3" spans="1:11" s="3" customFormat="1" ht="15.75" thickBot="1" x14ac:dyDescent="0.3">
      <c r="A3" s="3" t="s">
        <v>323</v>
      </c>
      <c r="B3" s="3" t="s">
        <v>271</v>
      </c>
      <c r="C3" s="13" t="s">
        <v>324</v>
      </c>
      <c r="D3" s="3" t="s">
        <v>325</v>
      </c>
      <c r="E3" s="13" t="s">
        <v>326</v>
      </c>
      <c r="F3" s="3" t="s">
        <v>327</v>
      </c>
      <c r="I3" s="818"/>
      <c r="J3" s="818"/>
      <c r="K3" s="820"/>
    </row>
    <row r="4" spans="1:11" s="3" customFormat="1" x14ac:dyDescent="0.25">
      <c r="C4" s="13"/>
      <c r="E4" s="13"/>
    </row>
    <row r="5" spans="1:11" s="3" customFormat="1" x14ac:dyDescent="0.25">
      <c r="A5" s="2" t="s">
        <v>520</v>
      </c>
      <c r="B5" s="12">
        <v>45316</v>
      </c>
      <c r="C5" s="313"/>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21" si="0">+D9*E9</f>
        <v>0</v>
      </c>
    </row>
    <row r="10" spans="1:11" s="22" customFormat="1" x14ac:dyDescent="0.25">
      <c r="A10" s="2" t="s">
        <v>520</v>
      </c>
      <c r="B10" s="12">
        <v>45316</v>
      </c>
      <c r="C10" s="313"/>
      <c r="D10">
        <v>0</v>
      </c>
      <c r="E10" s="14">
        <v>35</v>
      </c>
      <c r="F10" s="14">
        <f t="shared" si="0"/>
        <v>0</v>
      </c>
      <c r="G10"/>
      <c r="H10" s="3"/>
      <c r="I10" s="3"/>
    </row>
    <row r="11" spans="1:11" x14ac:dyDescent="0.25">
      <c r="A11" s="2" t="s">
        <v>520</v>
      </c>
      <c r="B11" s="12">
        <v>45322</v>
      </c>
      <c r="C11" s="313"/>
      <c r="D11">
        <v>0</v>
      </c>
      <c r="E11" s="14">
        <v>55</v>
      </c>
      <c r="F11" s="14">
        <f t="shared" si="0"/>
        <v>0</v>
      </c>
    </row>
    <row r="12" spans="1:11" x14ac:dyDescent="0.25">
      <c r="A12" s="2" t="s">
        <v>521</v>
      </c>
      <c r="B12" s="12"/>
      <c r="C12" s="313"/>
      <c r="D12">
        <v>0</v>
      </c>
      <c r="E12" s="14"/>
      <c r="F12" s="14">
        <f t="shared" si="0"/>
        <v>0</v>
      </c>
    </row>
    <row r="13" spans="1:11" x14ac:dyDescent="0.25">
      <c r="A13" s="2" t="s">
        <v>586</v>
      </c>
      <c r="B13" s="12">
        <v>45315</v>
      </c>
      <c r="C13" s="313"/>
      <c r="D13">
        <v>0</v>
      </c>
      <c r="E13" s="14">
        <v>201.25</v>
      </c>
      <c r="F13" s="14">
        <f t="shared" si="0"/>
        <v>0</v>
      </c>
    </row>
    <row r="14" spans="1:11" x14ac:dyDescent="0.25">
      <c r="A14" s="2" t="s">
        <v>587</v>
      </c>
      <c r="B14" s="12">
        <v>45322</v>
      </c>
      <c r="C14" s="313"/>
      <c r="D14">
        <v>0</v>
      </c>
      <c r="E14" s="14">
        <v>46</v>
      </c>
      <c r="F14" s="14">
        <f t="shared" si="0"/>
        <v>0</v>
      </c>
    </row>
    <row r="15" spans="1:11" x14ac:dyDescent="0.25">
      <c r="A15" s="2" t="s">
        <v>588</v>
      </c>
      <c r="B15" s="12">
        <v>45322</v>
      </c>
      <c r="C15" s="313"/>
      <c r="D15">
        <v>0</v>
      </c>
      <c r="E15" s="14">
        <v>10</v>
      </c>
      <c r="F15" s="14">
        <f t="shared" si="0"/>
        <v>0</v>
      </c>
    </row>
    <row r="16" spans="1:11" x14ac:dyDescent="0.25">
      <c r="B16" s="12"/>
      <c r="C16" s="313"/>
      <c r="D16">
        <v>1</v>
      </c>
      <c r="E16" s="14"/>
      <c r="F16" s="14">
        <f t="shared" si="0"/>
        <v>0</v>
      </c>
    </row>
    <row r="17" spans="1:10" x14ac:dyDescent="0.25">
      <c r="B17" s="12"/>
      <c r="C17" s="313"/>
      <c r="D17">
        <v>1</v>
      </c>
      <c r="E17" s="14"/>
      <c r="F17" s="14">
        <f t="shared" si="0"/>
        <v>0</v>
      </c>
    </row>
    <row r="18" spans="1:10" x14ac:dyDescent="0.25">
      <c r="B18" s="176"/>
      <c r="C18" s="14"/>
      <c r="D18"/>
      <c r="E18" s="14"/>
      <c r="F18" s="14">
        <f t="shared" si="0"/>
        <v>0</v>
      </c>
    </row>
    <row r="19" spans="1:10" x14ac:dyDescent="0.25">
      <c r="B19" s="176"/>
      <c r="C19" s="14"/>
      <c r="D19"/>
      <c r="E19" s="14"/>
      <c r="F19" s="14">
        <f t="shared" si="0"/>
        <v>0</v>
      </c>
    </row>
    <row r="20" spans="1:10" x14ac:dyDescent="0.25">
      <c r="B20"/>
      <c r="C20" s="14"/>
      <c r="D20"/>
      <c r="E20" s="14"/>
      <c r="F20" s="14">
        <f t="shared" si="0"/>
        <v>0</v>
      </c>
    </row>
    <row r="21" spans="1:10" x14ac:dyDescent="0.25">
      <c r="B21"/>
      <c r="C21" s="14"/>
      <c r="D21">
        <v>1</v>
      </c>
      <c r="E21" s="14"/>
      <c r="F21" s="14">
        <f t="shared" si="0"/>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15"/>
      <c r="D28" s="816"/>
      <c r="E28" s="816"/>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273</v>
      </c>
      <c r="B1" s="7" t="s">
        <v>274</v>
      </c>
    </row>
    <row r="2" spans="1:5" x14ac:dyDescent="0.25">
      <c r="A2" s="3" t="s">
        <v>275</v>
      </c>
      <c r="B2" s="6"/>
      <c r="C2" s="4"/>
    </row>
    <row r="4" spans="1:5" x14ac:dyDescent="0.25">
      <c r="A4" s="2" t="s">
        <v>276</v>
      </c>
      <c r="B4" s="1">
        <v>0</v>
      </c>
      <c r="C4" s="1">
        <v>0</v>
      </c>
    </row>
    <row r="5" spans="1:5" x14ac:dyDescent="0.25">
      <c r="A5" s="2" t="s">
        <v>277</v>
      </c>
      <c r="B5" s="1">
        <v>33</v>
      </c>
      <c r="C5"/>
      <c r="D5" s="1"/>
    </row>
    <row r="6" spans="1:5" ht="15.75" thickBot="1" x14ac:dyDescent="0.3">
      <c r="A6" s="2" t="s">
        <v>278</v>
      </c>
      <c r="B6" s="20">
        <v>0</v>
      </c>
      <c r="C6" s="20">
        <f>B5*B6</f>
        <v>0</v>
      </c>
      <c r="D6" s="29"/>
    </row>
    <row r="7" spans="1:5" x14ac:dyDescent="0.25">
      <c r="C7" s="9" t="s">
        <v>279</v>
      </c>
      <c r="D7" s="1">
        <f>SUM(C4:C6)</f>
        <v>0</v>
      </c>
    </row>
    <row r="8" spans="1:5" x14ac:dyDescent="0.25">
      <c r="D8" s="1"/>
    </row>
    <row r="10" spans="1:5" ht="15.75" thickBot="1" x14ac:dyDescent="0.3">
      <c r="D10" s="29"/>
    </row>
    <row r="11" spans="1:5" x14ac:dyDescent="0.25">
      <c r="D11" s="30" t="s">
        <v>280</v>
      </c>
      <c r="E11" s="1">
        <f>+SUM(C4:C10)</f>
        <v>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281</v>
      </c>
    </row>
    <row r="2" spans="1:7" s="3" customFormat="1" x14ac:dyDescent="0.25">
      <c r="B2" s="3" t="s">
        <v>282</v>
      </c>
      <c r="C2" s="3" t="s">
        <v>283</v>
      </c>
      <c r="D2" s="8" t="s">
        <v>284</v>
      </c>
      <c r="E2" s="3" t="s">
        <v>285</v>
      </c>
      <c r="F2" s="8" t="s">
        <v>272</v>
      </c>
      <c r="G2" s="3" t="s">
        <v>286</v>
      </c>
    </row>
    <row r="3" spans="1:7" x14ac:dyDescent="0.25">
      <c r="A3" s="185" t="s">
        <v>287</v>
      </c>
      <c r="B3" s="185"/>
      <c r="C3" s="186">
        <v>0</v>
      </c>
      <c r="D3" s="187">
        <v>0</v>
      </c>
      <c r="E3">
        <f>+C3*D3</f>
        <v>0</v>
      </c>
      <c r="F3" s="26">
        <f t="shared" ref="F3:F44" si="0">+E3*0.0725</f>
        <v>0</v>
      </c>
    </row>
    <row r="4" spans="1:7" x14ac:dyDescent="0.25">
      <c r="A4" s="185" t="s">
        <v>288</v>
      </c>
      <c r="B4" s="185"/>
      <c r="C4" s="186">
        <v>0</v>
      </c>
      <c r="D4" s="187">
        <v>0</v>
      </c>
      <c r="E4">
        <f t="shared" ref="E4:E61" si="1">+C4*D4</f>
        <v>0</v>
      </c>
      <c r="F4" s="26">
        <f t="shared" si="0"/>
        <v>0</v>
      </c>
    </row>
    <row r="5" spans="1:7" x14ac:dyDescent="0.25">
      <c r="A5" s="185" t="s">
        <v>289</v>
      </c>
      <c r="B5" s="185"/>
      <c r="C5" s="186">
        <v>0</v>
      </c>
      <c r="D5" s="187">
        <v>0</v>
      </c>
      <c r="E5">
        <f t="shared" si="1"/>
        <v>0</v>
      </c>
      <c r="F5" s="26">
        <f t="shared" si="0"/>
        <v>0</v>
      </c>
    </row>
    <row r="6" spans="1:7" x14ac:dyDescent="0.25">
      <c r="A6" s="185" t="s">
        <v>290</v>
      </c>
      <c r="B6" s="185"/>
      <c r="C6" s="186">
        <v>0</v>
      </c>
      <c r="D6" s="187">
        <v>0</v>
      </c>
      <c r="E6">
        <f t="shared" si="1"/>
        <v>0</v>
      </c>
      <c r="F6" s="26">
        <f t="shared" si="0"/>
        <v>0</v>
      </c>
    </row>
    <row r="7" spans="1:7" x14ac:dyDescent="0.25">
      <c r="A7" s="185" t="s">
        <v>291</v>
      </c>
      <c r="B7" s="185"/>
      <c r="C7" s="186">
        <v>0</v>
      </c>
      <c r="D7" s="187">
        <v>0</v>
      </c>
      <c r="E7">
        <f t="shared" si="1"/>
        <v>0</v>
      </c>
      <c r="F7" s="26">
        <f t="shared" si="0"/>
        <v>0</v>
      </c>
    </row>
    <row r="8" spans="1:7" x14ac:dyDescent="0.25">
      <c r="A8" s="185" t="s">
        <v>292</v>
      </c>
      <c r="B8" s="185"/>
      <c r="C8" s="186">
        <v>0</v>
      </c>
      <c r="D8" s="187">
        <v>0</v>
      </c>
      <c r="E8">
        <f t="shared" si="1"/>
        <v>0</v>
      </c>
      <c r="F8" s="26">
        <f t="shared" si="0"/>
        <v>0</v>
      </c>
    </row>
    <row r="9" spans="1:7" x14ac:dyDescent="0.25">
      <c r="A9" s="185" t="s">
        <v>293</v>
      </c>
      <c r="B9" s="185"/>
      <c r="C9" s="186">
        <v>0</v>
      </c>
      <c r="D9" s="187">
        <v>0</v>
      </c>
      <c r="E9">
        <f t="shared" si="1"/>
        <v>0</v>
      </c>
      <c r="F9" s="26">
        <f t="shared" si="0"/>
        <v>0</v>
      </c>
    </row>
    <row r="10" spans="1:7" x14ac:dyDescent="0.25">
      <c r="A10" s="185" t="s">
        <v>151</v>
      </c>
      <c r="B10" s="185"/>
      <c r="C10" s="186">
        <v>0</v>
      </c>
      <c r="D10" s="187">
        <v>0</v>
      </c>
      <c r="E10">
        <f t="shared" si="1"/>
        <v>0</v>
      </c>
      <c r="F10" s="26">
        <f t="shared" si="0"/>
        <v>0</v>
      </c>
    </row>
    <row r="11" spans="1:7" x14ac:dyDescent="0.25">
      <c r="A11" s="185"/>
      <c r="B11" s="185"/>
      <c r="C11" s="186">
        <v>0</v>
      </c>
      <c r="D11" s="187">
        <v>0</v>
      </c>
      <c r="E11">
        <f t="shared" si="1"/>
        <v>0</v>
      </c>
      <c r="F11" s="26">
        <f t="shared" si="0"/>
        <v>0</v>
      </c>
    </row>
    <row r="12" spans="1:7" x14ac:dyDescent="0.25">
      <c r="A12" s="185" t="s">
        <v>294</v>
      </c>
      <c r="B12" s="185"/>
      <c r="C12" s="186">
        <v>0</v>
      </c>
      <c r="D12" s="187">
        <v>0</v>
      </c>
      <c r="E12">
        <f t="shared" si="1"/>
        <v>0</v>
      </c>
      <c r="F12" s="26">
        <f t="shared" si="0"/>
        <v>0</v>
      </c>
    </row>
    <row r="13" spans="1:7" x14ac:dyDescent="0.25">
      <c r="A13" s="185" t="s">
        <v>295</v>
      </c>
      <c r="B13" s="185"/>
      <c r="C13" s="186">
        <v>0</v>
      </c>
      <c r="D13" s="187">
        <v>0</v>
      </c>
      <c r="E13">
        <f t="shared" si="1"/>
        <v>0</v>
      </c>
      <c r="F13" s="26">
        <f t="shared" si="0"/>
        <v>0</v>
      </c>
    </row>
    <row r="14" spans="1:7" x14ac:dyDescent="0.25">
      <c r="A14" s="185" t="s">
        <v>296</v>
      </c>
      <c r="B14" s="185"/>
      <c r="C14" s="186">
        <v>0</v>
      </c>
      <c r="D14" s="187">
        <v>0</v>
      </c>
      <c r="E14">
        <f t="shared" si="1"/>
        <v>0</v>
      </c>
      <c r="F14" s="26">
        <f t="shared" si="0"/>
        <v>0</v>
      </c>
    </row>
    <row r="15" spans="1:7" x14ac:dyDescent="0.25">
      <c r="A15" s="185" t="s">
        <v>297</v>
      </c>
      <c r="B15" s="185"/>
      <c r="C15" s="186">
        <v>0</v>
      </c>
      <c r="D15" s="187">
        <v>0</v>
      </c>
      <c r="E15">
        <f t="shared" si="1"/>
        <v>0</v>
      </c>
      <c r="F15" s="26">
        <f t="shared" si="0"/>
        <v>0</v>
      </c>
    </row>
    <row r="16" spans="1:7" x14ac:dyDescent="0.25">
      <c r="A16" s="185"/>
      <c r="B16" s="185"/>
      <c r="C16" s="186">
        <v>0</v>
      </c>
      <c r="D16" s="187">
        <v>0</v>
      </c>
      <c r="E16">
        <f t="shared" si="1"/>
        <v>0</v>
      </c>
      <c r="F16" s="26">
        <f t="shared" si="0"/>
        <v>0</v>
      </c>
    </row>
    <row r="17" spans="1:6" x14ac:dyDescent="0.25">
      <c r="A17" s="185" t="s">
        <v>298</v>
      </c>
      <c r="B17" s="185"/>
      <c r="C17" s="186">
        <v>0</v>
      </c>
      <c r="D17" s="187">
        <v>0</v>
      </c>
      <c r="E17">
        <f t="shared" si="1"/>
        <v>0</v>
      </c>
      <c r="F17" s="26">
        <f t="shared" si="0"/>
        <v>0</v>
      </c>
    </row>
    <row r="18" spans="1:6" x14ac:dyDescent="0.25">
      <c r="A18" s="185" t="s">
        <v>299</v>
      </c>
      <c r="B18" s="185"/>
      <c r="C18" s="186">
        <v>0</v>
      </c>
      <c r="D18" s="187">
        <v>0</v>
      </c>
      <c r="E18">
        <f t="shared" si="1"/>
        <v>0</v>
      </c>
      <c r="F18" s="26">
        <f t="shared" si="0"/>
        <v>0</v>
      </c>
    </row>
    <row r="19" spans="1:6" x14ac:dyDescent="0.25">
      <c r="A19" s="185"/>
      <c r="B19" s="185"/>
      <c r="C19" s="186">
        <v>0</v>
      </c>
      <c r="D19" s="187">
        <v>0</v>
      </c>
      <c r="E19">
        <f t="shared" si="1"/>
        <v>0</v>
      </c>
      <c r="F19" s="26">
        <f t="shared" si="0"/>
        <v>0</v>
      </c>
    </row>
    <row r="20" spans="1:6" x14ac:dyDescent="0.25">
      <c r="A20" s="185" t="s">
        <v>300</v>
      </c>
      <c r="B20" s="185"/>
      <c r="C20" s="186">
        <v>0</v>
      </c>
      <c r="D20" s="187">
        <v>0</v>
      </c>
      <c r="E20">
        <f t="shared" si="1"/>
        <v>0</v>
      </c>
      <c r="F20" s="26">
        <f t="shared" si="0"/>
        <v>0</v>
      </c>
    </row>
    <row r="21" spans="1:6" x14ac:dyDescent="0.25">
      <c r="A21" s="185" t="s">
        <v>301</v>
      </c>
      <c r="B21" s="185"/>
      <c r="C21" s="186">
        <v>0</v>
      </c>
      <c r="D21" s="187">
        <v>0</v>
      </c>
      <c r="E21">
        <f t="shared" si="1"/>
        <v>0</v>
      </c>
      <c r="F21" s="26">
        <f t="shared" si="0"/>
        <v>0</v>
      </c>
    </row>
    <row r="22" spans="1:6" x14ac:dyDescent="0.25">
      <c r="A22" s="185"/>
      <c r="B22" s="185"/>
      <c r="C22" s="186">
        <v>0</v>
      </c>
      <c r="D22" s="187">
        <v>0</v>
      </c>
      <c r="E22">
        <f t="shared" si="1"/>
        <v>0</v>
      </c>
      <c r="F22" s="26">
        <f t="shared" si="0"/>
        <v>0</v>
      </c>
    </row>
    <row r="23" spans="1:6" x14ac:dyDescent="0.25">
      <c r="A23" s="185" t="s">
        <v>302</v>
      </c>
      <c r="B23" s="185"/>
      <c r="C23" s="186">
        <v>0</v>
      </c>
      <c r="D23" s="187">
        <v>0</v>
      </c>
      <c r="E23">
        <f t="shared" si="1"/>
        <v>0</v>
      </c>
      <c r="F23" s="26">
        <f t="shared" si="0"/>
        <v>0</v>
      </c>
    </row>
    <row r="24" spans="1:6" x14ac:dyDescent="0.25">
      <c r="A24" s="185"/>
      <c r="B24" s="185"/>
      <c r="C24" s="186">
        <v>0</v>
      </c>
      <c r="D24" s="187">
        <v>0</v>
      </c>
      <c r="E24">
        <f t="shared" si="1"/>
        <v>0</v>
      </c>
      <c r="F24" s="26">
        <f t="shared" si="0"/>
        <v>0</v>
      </c>
    </row>
    <row r="25" spans="1:6" x14ac:dyDescent="0.25">
      <c r="A25" s="185"/>
      <c r="B25" s="185"/>
      <c r="C25" s="186">
        <v>0</v>
      </c>
      <c r="D25" s="187">
        <v>0</v>
      </c>
      <c r="E25">
        <f t="shared" si="1"/>
        <v>0</v>
      </c>
      <c r="F25" s="26">
        <f t="shared" si="0"/>
        <v>0</v>
      </c>
    </row>
    <row r="26" spans="1:6" x14ac:dyDescent="0.25">
      <c r="A26" s="185" t="s">
        <v>303</v>
      </c>
      <c r="B26" s="185"/>
      <c r="C26" s="186">
        <v>0</v>
      </c>
      <c r="D26" s="187">
        <v>0</v>
      </c>
      <c r="E26">
        <f t="shared" si="1"/>
        <v>0</v>
      </c>
      <c r="F26" s="26">
        <f t="shared" si="0"/>
        <v>0</v>
      </c>
    </row>
    <row r="27" spans="1:6" x14ac:dyDescent="0.25">
      <c r="A27" s="185" t="s">
        <v>304</v>
      </c>
      <c r="B27" s="185"/>
      <c r="C27" s="186">
        <v>0</v>
      </c>
      <c r="D27" s="187">
        <v>0</v>
      </c>
      <c r="E27">
        <f t="shared" si="1"/>
        <v>0</v>
      </c>
      <c r="F27" s="26">
        <f t="shared" si="0"/>
        <v>0</v>
      </c>
    </row>
    <row r="28" spans="1:6" x14ac:dyDescent="0.25">
      <c r="A28" s="185" t="s">
        <v>305</v>
      </c>
      <c r="B28" s="185"/>
      <c r="C28" s="186">
        <v>0</v>
      </c>
      <c r="D28" s="187">
        <v>0</v>
      </c>
      <c r="E28">
        <f t="shared" si="1"/>
        <v>0</v>
      </c>
      <c r="F28" s="26">
        <f t="shared" si="0"/>
        <v>0</v>
      </c>
    </row>
    <row r="29" spans="1:6" x14ac:dyDescent="0.25">
      <c r="A29" s="185" t="s">
        <v>306</v>
      </c>
      <c r="B29" s="185"/>
      <c r="C29" s="186">
        <v>0</v>
      </c>
      <c r="D29" s="187">
        <v>0</v>
      </c>
      <c r="E29">
        <f t="shared" si="1"/>
        <v>0</v>
      </c>
      <c r="F29" s="26">
        <f t="shared" si="0"/>
        <v>0</v>
      </c>
    </row>
    <row r="30" spans="1:6" x14ac:dyDescent="0.25">
      <c r="A30" s="185" t="s">
        <v>307</v>
      </c>
      <c r="B30" s="185"/>
      <c r="C30" s="186">
        <v>0</v>
      </c>
      <c r="D30" s="187">
        <v>0</v>
      </c>
      <c r="E30">
        <f t="shared" si="1"/>
        <v>0</v>
      </c>
      <c r="F30" s="26">
        <f t="shared" si="0"/>
        <v>0</v>
      </c>
    </row>
    <row r="31" spans="1:6" x14ac:dyDescent="0.25">
      <c r="A31" s="185" t="s">
        <v>308</v>
      </c>
      <c r="B31" s="185"/>
      <c r="C31" s="186">
        <v>0</v>
      </c>
      <c r="D31" s="187">
        <v>0</v>
      </c>
      <c r="E31">
        <f t="shared" si="1"/>
        <v>0</v>
      </c>
      <c r="F31" s="26">
        <f t="shared" si="0"/>
        <v>0</v>
      </c>
    </row>
    <row r="32" spans="1:6" x14ac:dyDescent="0.25">
      <c r="A32" s="185" t="s">
        <v>309</v>
      </c>
      <c r="B32" s="185"/>
      <c r="C32" s="186">
        <v>0</v>
      </c>
      <c r="D32" s="187">
        <v>0</v>
      </c>
      <c r="E32">
        <f t="shared" si="1"/>
        <v>0</v>
      </c>
      <c r="F32" s="26">
        <f t="shared" si="0"/>
        <v>0</v>
      </c>
    </row>
    <row r="33" spans="1:6" x14ac:dyDescent="0.25">
      <c r="A33" s="185" t="s">
        <v>310</v>
      </c>
      <c r="B33" s="185"/>
      <c r="C33" s="186">
        <v>0</v>
      </c>
      <c r="D33" s="187">
        <v>0</v>
      </c>
      <c r="E33">
        <f t="shared" si="1"/>
        <v>0</v>
      </c>
      <c r="F33" s="26">
        <f t="shared" si="0"/>
        <v>0</v>
      </c>
    </row>
    <row r="34" spans="1:6" x14ac:dyDescent="0.25">
      <c r="A34" s="185" t="s">
        <v>311</v>
      </c>
      <c r="B34" s="185"/>
      <c r="C34" s="186">
        <v>0</v>
      </c>
      <c r="D34" s="187">
        <v>0</v>
      </c>
      <c r="E34">
        <f t="shared" si="1"/>
        <v>0</v>
      </c>
      <c r="F34" s="26">
        <f t="shared" si="0"/>
        <v>0</v>
      </c>
    </row>
    <row r="35" spans="1:6" x14ac:dyDescent="0.25">
      <c r="A35" s="185" t="s">
        <v>312</v>
      </c>
      <c r="B35" s="185"/>
      <c r="C35" s="186">
        <v>0</v>
      </c>
      <c r="D35" s="187">
        <v>0</v>
      </c>
      <c r="E35">
        <f t="shared" si="1"/>
        <v>0</v>
      </c>
      <c r="F35" s="26">
        <f t="shared" si="0"/>
        <v>0</v>
      </c>
    </row>
    <row r="36" spans="1:6" x14ac:dyDescent="0.25">
      <c r="A36" s="185" t="s">
        <v>313</v>
      </c>
      <c r="B36" s="185"/>
      <c r="C36" s="186">
        <v>0</v>
      </c>
      <c r="D36" s="187">
        <v>0</v>
      </c>
      <c r="E36">
        <f t="shared" si="1"/>
        <v>0</v>
      </c>
      <c r="F36" s="26">
        <f t="shared" si="0"/>
        <v>0</v>
      </c>
    </row>
    <row r="37" spans="1:6" x14ac:dyDescent="0.25">
      <c r="A37" s="185"/>
      <c r="B37" s="185"/>
      <c r="C37" s="186">
        <v>0</v>
      </c>
      <c r="D37" s="187">
        <v>0</v>
      </c>
      <c r="E37">
        <f t="shared" si="1"/>
        <v>0</v>
      </c>
      <c r="F37" s="26">
        <f t="shared" si="0"/>
        <v>0</v>
      </c>
    </row>
    <row r="38" spans="1:6" x14ac:dyDescent="0.25">
      <c r="A38" s="185" t="s">
        <v>314</v>
      </c>
      <c r="B38" s="185"/>
      <c r="C38" s="186">
        <v>0</v>
      </c>
      <c r="D38" s="187">
        <v>0</v>
      </c>
      <c r="E38">
        <f t="shared" si="1"/>
        <v>0</v>
      </c>
      <c r="F38" s="26">
        <f t="shared" si="0"/>
        <v>0</v>
      </c>
    </row>
    <row r="39" spans="1:6" x14ac:dyDescent="0.25">
      <c r="A39" s="185" t="s">
        <v>315</v>
      </c>
      <c r="B39" s="185"/>
      <c r="C39" s="186">
        <v>0</v>
      </c>
      <c r="D39" s="187">
        <v>0</v>
      </c>
      <c r="E39">
        <f t="shared" si="1"/>
        <v>0</v>
      </c>
      <c r="F39" s="26">
        <f t="shared" si="0"/>
        <v>0</v>
      </c>
    </row>
    <row r="40" spans="1:6" x14ac:dyDescent="0.25">
      <c r="A40" s="185" t="s">
        <v>316</v>
      </c>
      <c r="B40" s="185"/>
      <c r="C40" s="186">
        <v>0</v>
      </c>
      <c r="D40" s="187">
        <v>0</v>
      </c>
      <c r="E40">
        <f t="shared" si="1"/>
        <v>0</v>
      </c>
      <c r="F40" s="26">
        <f t="shared" si="0"/>
        <v>0</v>
      </c>
    </row>
    <row r="41" spans="1:6" x14ac:dyDescent="0.25">
      <c r="A41" s="185" t="s">
        <v>317</v>
      </c>
      <c r="B41" s="185"/>
      <c r="C41" s="186">
        <v>0</v>
      </c>
      <c r="D41" s="187">
        <v>0</v>
      </c>
      <c r="E41">
        <f t="shared" si="1"/>
        <v>0</v>
      </c>
      <c r="F41" s="26">
        <f t="shared" si="0"/>
        <v>0</v>
      </c>
    </row>
    <row r="42" spans="1:6" x14ac:dyDescent="0.25">
      <c r="A42" s="185"/>
      <c r="B42" s="185"/>
      <c r="C42" s="186">
        <v>0</v>
      </c>
      <c r="D42" s="187">
        <v>0</v>
      </c>
      <c r="E42">
        <f t="shared" si="1"/>
        <v>0</v>
      </c>
      <c r="F42" s="26">
        <f t="shared" si="0"/>
        <v>0</v>
      </c>
    </row>
    <row r="43" spans="1:6" x14ac:dyDescent="0.25">
      <c r="A43" s="185" t="s">
        <v>318</v>
      </c>
      <c r="B43" s="185"/>
      <c r="C43" s="186">
        <v>0</v>
      </c>
      <c r="D43" s="187">
        <v>0</v>
      </c>
      <c r="E43">
        <f t="shared" ref="E43:E57" si="2">+C43*D43</f>
        <v>0</v>
      </c>
      <c r="F43" s="26">
        <f t="shared" si="0"/>
        <v>0</v>
      </c>
    </row>
    <row r="44" spans="1:6" x14ac:dyDescent="0.25">
      <c r="A44" s="185" t="s">
        <v>319</v>
      </c>
      <c r="B44" s="185"/>
      <c r="C44" s="186">
        <v>0</v>
      </c>
      <c r="D44" s="187">
        <v>0</v>
      </c>
      <c r="E44">
        <f t="shared" si="2"/>
        <v>0</v>
      </c>
      <c r="F44" s="26">
        <f t="shared" si="0"/>
        <v>0</v>
      </c>
    </row>
    <row r="45" spans="1:6" x14ac:dyDescent="0.25">
      <c r="A45" s="185" t="s">
        <v>320</v>
      </c>
      <c r="B45" s="185">
        <v>6973242570225</v>
      </c>
      <c r="C45" s="186">
        <v>0</v>
      </c>
      <c r="D45" s="187">
        <v>49.97</v>
      </c>
      <c r="E45">
        <f t="shared" si="2"/>
        <v>0</v>
      </c>
      <c r="F45" s="26">
        <f>+E45*0.0725</f>
        <v>0</v>
      </c>
    </row>
    <row r="46" spans="1:6" x14ac:dyDescent="0.25">
      <c r="A46" s="185" t="s">
        <v>321</v>
      </c>
      <c r="B46" s="185"/>
      <c r="C46" s="186">
        <v>0</v>
      </c>
      <c r="D46" s="187">
        <v>69.989999999999995</v>
      </c>
      <c r="E46">
        <f t="shared" si="2"/>
        <v>0</v>
      </c>
      <c r="F46" s="26">
        <f t="shared" ref="F46:F60" si="3">+E46*0.0725</f>
        <v>0</v>
      </c>
    </row>
    <row r="47" spans="1:6" x14ac:dyDescent="0.25">
      <c r="A47" s="185"/>
      <c r="B47" s="185"/>
      <c r="C47" s="186">
        <v>0</v>
      </c>
      <c r="D47" s="187">
        <v>0</v>
      </c>
      <c r="E47">
        <f t="shared" si="2"/>
        <v>0</v>
      </c>
      <c r="F47" s="26">
        <f t="shared" si="3"/>
        <v>0</v>
      </c>
    </row>
    <row r="48" spans="1:6" x14ac:dyDescent="0.25">
      <c r="A48" s="185"/>
      <c r="B48" s="185"/>
      <c r="C48" s="186">
        <v>0</v>
      </c>
      <c r="D48" s="187">
        <v>0</v>
      </c>
      <c r="E48">
        <f t="shared" si="2"/>
        <v>0</v>
      </c>
      <c r="F48" s="26">
        <f t="shared" si="3"/>
        <v>0</v>
      </c>
    </row>
    <row r="49" spans="1:7" x14ac:dyDescent="0.25">
      <c r="A49" s="185"/>
      <c r="B49" s="185"/>
      <c r="C49" s="186">
        <v>0</v>
      </c>
      <c r="D49" s="187">
        <v>0</v>
      </c>
      <c r="E49">
        <f t="shared" si="2"/>
        <v>0</v>
      </c>
      <c r="F49" s="26">
        <f t="shared" si="3"/>
        <v>0</v>
      </c>
    </row>
    <row r="50" spans="1:7" x14ac:dyDescent="0.25">
      <c r="A50" s="185"/>
      <c r="B50" s="185"/>
      <c r="C50" s="186">
        <v>0</v>
      </c>
      <c r="D50" s="187">
        <v>0</v>
      </c>
      <c r="E50">
        <f t="shared" si="2"/>
        <v>0</v>
      </c>
      <c r="F50" s="26">
        <f t="shared" si="3"/>
        <v>0</v>
      </c>
    </row>
    <row r="51" spans="1:7" x14ac:dyDescent="0.25">
      <c r="A51" s="185"/>
      <c r="B51" s="185"/>
      <c r="C51" s="186">
        <v>0</v>
      </c>
      <c r="D51" s="187">
        <v>0</v>
      </c>
      <c r="E51">
        <f t="shared" si="2"/>
        <v>0</v>
      </c>
      <c r="F51" s="26">
        <f t="shared" si="3"/>
        <v>0</v>
      </c>
    </row>
    <row r="52" spans="1:7" x14ac:dyDescent="0.25">
      <c r="A52" s="185"/>
      <c r="B52" s="185"/>
      <c r="C52" s="186">
        <v>0</v>
      </c>
      <c r="D52" s="187">
        <v>0</v>
      </c>
      <c r="E52">
        <f t="shared" si="2"/>
        <v>0</v>
      </c>
      <c r="F52" s="26">
        <f t="shared" si="3"/>
        <v>0</v>
      </c>
    </row>
    <row r="53" spans="1:7" x14ac:dyDescent="0.25">
      <c r="A53" s="185"/>
      <c r="B53" s="185"/>
      <c r="C53" s="186">
        <v>0</v>
      </c>
      <c r="D53" s="187">
        <v>0</v>
      </c>
      <c r="E53">
        <f t="shared" si="2"/>
        <v>0</v>
      </c>
      <c r="F53" s="26">
        <f t="shared" si="3"/>
        <v>0</v>
      </c>
    </row>
    <row r="54" spans="1:7" x14ac:dyDescent="0.25">
      <c r="A54" s="185"/>
      <c r="B54" s="185"/>
      <c r="C54" s="186">
        <v>0</v>
      </c>
      <c r="D54" s="187">
        <v>0</v>
      </c>
      <c r="E54">
        <f t="shared" si="2"/>
        <v>0</v>
      </c>
      <c r="F54" s="26">
        <f t="shared" si="3"/>
        <v>0</v>
      </c>
    </row>
    <row r="55" spans="1:7" x14ac:dyDescent="0.25">
      <c r="A55" s="185"/>
      <c r="B55" s="185"/>
      <c r="C55" s="186">
        <v>0</v>
      </c>
      <c r="D55" s="187">
        <v>0</v>
      </c>
      <c r="E55">
        <f t="shared" si="2"/>
        <v>0</v>
      </c>
      <c r="F55" s="26">
        <f t="shared" si="3"/>
        <v>0</v>
      </c>
    </row>
    <row r="56" spans="1:7" x14ac:dyDescent="0.25">
      <c r="A56" s="185"/>
      <c r="B56" s="185"/>
      <c r="C56" s="186">
        <v>0</v>
      </c>
      <c r="D56" s="187">
        <v>0</v>
      </c>
      <c r="E56">
        <f t="shared" si="2"/>
        <v>0</v>
      </c>
      <c r="F56" s="26">
        <f t="shared" si="3"/>
        <v>0</v>
      </c>
    </row>
    <row r="57" spans="1:7" x14ac:dyDescent="0.25">
      <c r="A57" s="185"/>
      <c r="B57" s="185"/>
      <c r="C57" s="186">
        <v>0</v>
      </c>
      <c r="D57" s="187">
        <v>0</v>
      </c>
      <c r="E57">
        <f t="shared" si="2"/>
        <v>0</v>
      </c>
      <c r="F57" s="26">
        <f t="shared" si="3"/>
        <v>0</v>
      </c>
    </row>
    <row r="58" spans="1:7" x14ac:dyDescent="0.25">
      <c r="A58" s="185"/>
      <c r="B58" s="185"/>
      <c r="C58" s="186">
        <v>0</v>
      </c>
      <c r="D58" s="187">
        <v>0</v>
      </c>
      <c r="E58">
        <f t="shared" si="1"/>
        <v>0</v>
      </c>
      <c r="F58" s="26">
        <f t="shared" si="3"/>
        <v>0</v>
      </c>
    </row>
    <row r="59" spans="1:7" x14ac:dyDescent="0.25">
      <c r="A59" s="185" t="s">
        <v>322</v>
      </c>
      <c r="B59" s="185"/>
      <c r="C59" s="186">
        <v>0</v>
      </c>
      <c r="D59" s="187">
        <v>0</v>
      </c>
      <c r="E59">
        <f t="shared" si="1"/>
        <v>0</v>
      </c>
      <c r="F59" s="26">
        <f t="shared" si="3"/>
        <v>0</v>
      </c>
    </row>
    <row r="60" spans="1:7" x14ac:dyDescent="0.25">
      <c r="A60" s="184"/>
      <c r="B60" s="185"/>
      <c r="C60" s="186">
        <v>0</v>
      </c>
      <c r="D60" s="187">
        <v>0</v>
      </c>
      <c r="E60">
        <f t="shared" si="1"/>
        <v>0</v>
      </c>
      <c r="F60" s="26">
        <f t="shared" si="3"/>
        <v>0</v>
      </c>
    </row>
    <row r="61" spans="1:7" ht="15.75" thickBot="1" x14ac:dyDescent="0.3">
      <c r="A61" s="184"/>
      <c r="B61" s="185"/>
      <c r="C61" s="186">
        <v>0</v>
      </c>
      <c r="D61" s="187">
        <v>0</v>
      </c>
      <c r="E61">
        <f t="shared" si="1"/>
        <v>0</v>
      </c>
      <c r="G61" s="23"/>
    </row>
    <row r="62" spans="1:7" x14ac:dyDescent="0.25">
      <c r="G62" s="26">
        <f>+SUM(E3:E61)+SUM(F3:F61)</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workbookViewId="0">
      <selection activeCell="B3" sqref="B3:B4"/>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323</v>
      </c>
      <c r="B1" s="3" t="s">
        <v>271</v>
      </c>
      <c r="C1" s="13" t="s">
        <v>324</v>
      </c>
      <c r="D1" s="3" t="s">
        <v>325</v>
      </c>
      <c r="E1" s="13" t="s">
        <v>326</v>
      </c>
      <c r="F1" s="3" t="s">
        <v>327</v>
      </c>
    </row>
    <row r="2" spans="1:10" ht="15.75" thickBot="1" x14ac:dyDescent="0.3">
      <c r="A2" s="439" t="s">
        <v>704</v>
      </c>
      <c r="B2" s="440"/>
      <c r="C2" s="441"/>
      <c r="D2" s="440"/>
      <c r="E2" s="441"/>
      <c r="F2" s="441">
        <v>0</v>
      </c>
    </row>
    <row r="3" spans="1:10" x14ac:dyDescent="0.25">
      <c r="A3" s="439" t="s">
        <v>328</v>
      </c>
      <c r="B3" s="442"/>
      <c r="C3" s="441" t="s">
        <v>663</v>
      </c>
      <c r="D3" s="440">
        <v>1</v>
      </c>
      <c r="E3" s="441">
        <v>75</v>
      </c>
      <c r="F3" s="441">
        <f>IF($I$3="Yes",+D3*E3,0)</f>
        <v>0</v>
      </c>
      <c r="H3" s="817" t="s">
        <v>2</v>
      </c>
      <c r="I3" s="817" t="str">
        <f>IF(Profit!$Q$6,IF(J3,"Yes","N0"),"no")</f>
        <v>no</v>
      </c>
      <c r="J3" s="821" t="b">
        <v>1</v>
      </c>
    </row>
    <row r="4" spans="1:10" ht="15.75" thickBot="1" x14ac:dyDescent="0.3">
      <c r="A4" s="439" t="s">
        <v>328</v>
      </c>
      <c r="B4" s="443"/>
      <c r="C4" s="441" t="s">
        <v>329</v>
      </c>
      <c r="D4" s="440">
        <v>3</v>
      </c>
      <c r="E4" s="441">
        <v>325</v>
      </c>
      <c r="F4" s="441">
        <f>IF($I$3="Yes",+D4*E4,0)</f>
        <v>0</v>
      </c>
      <c r="H4" s="818"/>
      <c r="I4" s="818"/>
      <c r="J4" s="822"/>
    </row>
    <row r="5" spans="1:10" x14ac:dyDescent="0.25">
      <c r="A5" s="439" t="s">
        <v>328</v>
      </c>
      <c r="B5" s="440"/>
      <c r="C5" s="441" t="s">
        <v>330</v>
      </c>
      <c r="D5" s="440">
        <v>0</v>
      </c>
      <c r="E5" s="441">
        <v>104</v>
      </c>
      <c r="F5" s="441">
        <f>IF($I$3="Yes",+D5*E5,0)</f>
        <v>0</v>
      </c>
      <c r="G5">
        <f>IF(I3="yes",+SUM(F2:F5),0)</f>
        <v>0</v>
      </c>
    </row>
    <row r="6" spans="1:10" s="22" customFormat="1" x14ac:dyDescent="0.25">
      <c r="A6" s="148" t="s">
        <v>328</v>
      </c>
      <c r="B6" s="477">
        <v>45579</v>
      </c>
      <c r="C6" s="478" t="s">
        <v>663</v>
      </c>
      <c r="D6" s="264">
        <v>0</v>
      </c>
      <c r="E6" s="478">
        <v>75</v>
      </c>
      <c r="F6" s="478">
        <f>IF($I$3="Yes",0,+D6*E6)</f>
        <v>0</v>
      </c>
      <c r="G6"/>
    </row>
    <row r="7" spans="1:10" x14ac:dyDescent="0.25">
      <c r="A7" s="148" t="s">
        <v>328</v>
      </c>
      <c r="B7" s="479">
        <v>45211</v>
      </c>
      <c r="C7" s="478" t="s">
        <v>329</v>
      </c>
      <c r="D7" s="264">
        <v>0</v>
      </c>
      <c r="E7" s="478">
        <v>325</v>
      </c>
      <c r="F7" s="478">
        <f t="shared" ref="F7:F19" si="0">IF($I$3="Yes",0,+D7*E7)</f>
        <v>0</v>
      </c>
    </row>
    <row r="8" spans="1:10" x14ac:dyDescent="0.25">
      <c r="A8" s="148" t="s">
        <v>328</v>
      </c>
      <c r="B8" s="264"/>
      <c r="C8" s="478" t="s">
        <v>330</v>
      </c>
      <c r="D8" s="264">
        <v>0</v>
      </c>
      <c r="E8" s="478">
        <v>104</v>
      </c>
      <c r="F8" s="478">
        <f t="shared" si="0"/>
        <v>0</v>
      </c>
    </row>
    <row r="9" spans="1:10" x14ac:dyDescent="0.25">
      <c r="A9" s="148" t="s">
        <v>328</v>
      </c>
      <c r="B9" s="264"/>
      <c r="C9" s="478" t="s">
        <v>331</v>
      </c>
      <c r="D9" s="264">
        <v>0</v>
      </c>
      <c r="E9" s="478">
        <f>+(12.13+31.46+41.63)/3</f>
        <v>28.406666666666666</v>
      </c>
      <c r="F9" s="478">
        <f t="shared" si="0"/>
        <v>0</v>
      </c>
    </row>
    <row r="10" spans="1:10" x14ac:dyDescent="0.25">
      <c r="A10" s="148" t="s">
        <v>328</v>
      </c>
      <c r="B10" s="264"/>
      <c r="C10" s="478" t="s">
        <v>332</v>
      </c>
      <c r="D10" s="264">
        <v>0</v>
      </c>
      <c r="E10" s="478">
        <v>6.35</v>
      </c>
      <c r="F10" s="478">
        <f t="shared" si="0"/>
        <v>0</v>
      </c>
    </row>
    <row r="11" spans="1:10" x14ac:dyDescent="0.25">
      <c r="A11" s="148" t="s">
        <v>328</v>
      </c>
      <c r="B11" s="264"/>
      <c r="C11" s="478" t="s">
        <v>333</v>
      </c>
      <c r="D11" s="264"/>
      <c r="E11" s="478">
        <v>2.5</v>
      </c>
      <c r="F11" s="478">
        <f t="shared" si="0"/>
        <v>0</v>
      </c>
    </row>
    <row r="12" spans="1:10" x14ac:dyDescent="0.25">
      <c r="A12" s="148" t="s">
        <v>328</v>
      </c>
      <c r="B12" s="264"/>
      <c r="C12" s="478" t="s">
        <v>334</v>
      </c>
      <c r="D12" s="264">
        <v>0</v>
      </c>
      <c r="E12" s="478">
        <f>(8.5+10+17.34)/3</f>
        <v>11.946666666666667</v>
      </c>
      <c r="F12" s="478">
        <f t="shared" si="0"/>
        <v>0</v>
      </c>
    </row>
    <row r="13" spans="1:10" x14ac:dyDescent="0.25">
      <c r="A13" s="148" t="s">
        <v>328</v>
      </c>
      <c r="B13" s="479"/>
      <c r="C13" s="478" t="s">
        <v>335</v>
      </c>
      <c r="D13" s="264">
        <v>0</v>
      </c>
      <c r="E13" s="478">
        <v>73.13</v>
      </c>
      <c r="F13" s="478">
        <f t="shared" si="0"/>
        <v>0</v>
      </c>
    </row>
    <row r="14" spans="1:10" x14ac:dyDescent="0.25">
      <c r="A14" s="148" t="s">
        <v>328</v>
      </c>
      <c r="B14" s="479"/>
      <c r="C14" s="478" t="s">
        <v>336</v>
      </c>
      <c r="D14" s="264">
        <v>0</v>
      </c>
      <c r="E14" s="478">
        <v>472</v>
      </c>
      <c r="F14" s="478">
        <f t="shared" si="0"/>
        <v>0</v>
      </c>
    </row>
    <row r="15" spans="1:10" x14ac:dyDescent="0.25">
      <c r="A15" s="148" t="s">
        <v>337</v>
      </c>
      <c r="B15" s="479">
        <v>45694</v>
      </c>
      <c r="C15" s="478"/>
      <c r="D15" s="264">
        <v>1</v>
      </c>
      <c r="E15" s="478">
        <v>600</v>
      </c>
      <c r="F15" s="478">
        <f t="shared" si="0"/>
        <v>600</v>
      </c>
    </row>
    <row r="16" spans="1:10" x14ac:dyDescent="0.25">
      <c r="A16" s="148" t="s">
        <v>619</v>
      </c>
      <c r="B16" s="479"/>
      <c r="C16" s="148" t="s">
        <v>582</v>
      </c>
      <c r="D16" s="264">
        <v>0</v>
      </c>
      <c r="E16" s="478">
        <v>300</v>
      </c>
      <c r="F16" s="478">
        <f t="shared" si="0"/>
        <v>0</v>
      </c>
    </row>
    <row r="17" spans="1:10" x14ac:dyDescent="0.25">
      <c r="A17" s="148" t="s">
        <v>337</v>
      </c>
      <c r="B17" s="480"/>
      <c r="C17" s="148" t="s">
        <v>618</v>
      </c>
      <c r="D17" s="264">
        <v>0</v>
      </c>
      <c r="E17" s="478">
        <v>450</v>
      </c>
      <c r="F17" s="478">
        <f t="shared" si="0"/>
        <v>0</v>
      </c>
    </row>
    <row r="18" spans="1:10" x14ac:dyDescent="0.25">
      <c r="A18" s="148" t="s">
        <v>337</v>
      </c>
      <c r="B18" s="479"/>
      <c r="C18" s="478" t="s">
        <v>620</v>
      </c>
      <c r="D18" s="264">
        <v>0</v>
      </c>
      <c r="E18" s="478">
        <v>100</v>
      </c>
      <c r="F18" s="478">
        <f t="shared" si="0"/>
        <v>0</v>
      </c>
      <c r="I18" s="3"/>
    </row>
    <row r="19" spans="1:10" x14ac:dyDescent="0.25">
      <c r="A19" s="148" t="s">
        <v>337</v>
      </c>
      <c r="B19" s="479"/>
      <c r="C19" s="478" t="s">
        <v>621</v>
      </c>
      <c r="D19" s="264">
        <v>0</v>
      </c>
      <c r="E19" s="478">
        <v>150</v>
      </c>
      <c r="F19" s="478">
        <f t="shared" si="0"/>
        <v>0</v>
      </c>
      <c r="I19" s="3"/>
    </row>
    <row r="20" spans="1:10" x14ac:dyDescent="0.25">
      <c r="B20" s="176"/>
      <c r="C20" s="14"/>
      <c r="D20"/>
      <c r="E20" s="14"/>
      <c r="F20" s="14"/>
      <c r="G20">
        <f>IF(I4="yes",0,+SUM(F6:F19))</f>
        <v>600</v>
      </c>
      <c r="I20" s="3"/>
    </row>
    <row r="21" spans="1:10" x14ac:dyDescent="0.25">
      <c r="B21" s="176"/>
      <c r="C21" s="14"/>
      <c r="D21"/>
      <c r="E21" s="14"/>
      <c r="F21" s="14"/>
      <c r="I21" s="3"/>
    </row>
    <row r="22" spans="1:10" x14ac:dyDescent="0.25">
      <c r="B22" s="176"/>
      <c r="C22" s="14"/>
      <c r="D22"/>
      <c r="E22" s="14"/>
      <c r="F22" s="14"/>
      <c r="I22" s="3"/>
    </row>
    <row r="23" spans="1:10" ht="15.75" thickBot="1" x14ac:dyDescent="0.3">
      <c r="B23"/>
      <c r="C23" s="14"/>
      <c r="D23"/>
      <c r="E23" s="14"/>
      <c r="F23" s="23"/>
      <c r="G23" s="23"/>
    </row>
    <row r="24" spans="1:10" x14ac:dyDescent="0.25">
      <c r="B24"/>
      <c r="C24" s="14"/>
      <c r="D24"/>
      <c r="E24" s="14"/>
      <c r="F24" s="14"/>
      <c r="G24" s="5">
        <f>+SUM(G2:G23)</f>
        <v>600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workbookViewId="0">
      <selection activeCell="J4" sqref="J4:J5"/>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338</v>
      </c>
      <c r="B1" s="3"/>
      <c r="D1" s="5"/>
      <c r="E1" s="14"/>
      <c r="F1" s="14"/>
      <c r="G1" s="14"/>
    </row>
    <row r="2" spans="1:11" x14ac:dyDescent="0.25">
      <c r="A2" s="2"/>
      <c r="B2" s="2"/>
      <c r="C2" s="3"/>
      <c r="D2" s="8"/>
      <c r="E2" s="13"/>
      <c r="F2" s="13"/>
      <c r="G2" s="13"/>
    </row>
    <row r="3" spans="1:11" ht="15.75" thickBot="1" x14ac:dyDescent="0.3">
      <c r="A3" s="3" t="s">
        <v>226</v>
      </c>
      <c r="B3" s="3" t="s">
        <v>339</v>
      </c>
      <c r="C3" s="3" t="s">
        <v>283</v>
      </c>
      <c r="D3" s="8" t="s">
        <v>284</v>
      </c>
      <c r="E3" s="13" t="s">
        <v>285</v>
      </c>
      <c r="F3" s="13" t="s">
        <v>272</v>
      </c>
      <c r="G3" s="13" t="s">
        <v>286</v>
      </c>
    </row>
    <row r="4" spans="1:11" x14ac:dyDescent="0.25">
      <c r="A4" s="444" t="s">
        <v>707</v>
      </c>
      <c r="B4" s="444"/>
      <c r="C4" s="444"/>
      <c r="D4" s="445"/>
      <c r="E4" s="446"/>
      <c r="F4" s="446"/>
      <c r="G4" s="446"/>
      <c r="I4" s="817" t="s">
        <v>2</v>
      </c>
      <c r="J4" s="817" t="str">
        <f>IF(Profit!$Q$6,IF(K4,"Yes","N0"),"no")</f>
        <v>no</v>
      </c>
      <c r="K4" s="821" t="b">
        <v>0</v>
      </c>
    </row>
    <row r="5" spans="1:11" ht="15.75" thickBot="1" x14ac:dyDescent="0.3">
      <c r="A5" s="439" t="s">
        <v>710</v>
      </c>
      <c r="B5" s="439">
        <v>977057</v>
      </c>
      <c r="C5" s="440">
        <v>1</v>
      </c>
      <c r="D5" s="447">
        <v>149</v>
      </c>
      <c r="E5" s="441">
        <f>+C5*D5</f>
        <v>149</v>
      </c>
      <c r="F5" s="448">
        <f>+E5*0.0725</f>
        <v>10.802499999999998</v>
      </c>
      <c r="G5" s="446"/>
      <c r="I5" s="818"/>
      <c r="J5" s="818"/>
      <c r="K5" s="822"/>
    </row>
    <row r="6" spans="1:11" x14ac:dyDescent="0.25">
      <c r="A6" s="439" t="s">
        <v>709</v>
      </c>
      <c r="B6" s="439">
        <v>3648606</v>
      </c>
      <c r="C6" s="440">
        <v>1</v>
      </c>
      <c r="D6" s="447">
        <v>700</v>
      </c>
      <c r="E6" s="441">
        <f>+C6*D6</f>
        <v>700</v>
      </c>
      <c r="F6" s="448">
        <f>+E6*0.0725</f>
        <v>50.75</v>
      </c>
      <c r="G6" s="446"/>
    </row>
    <row r="7" spans="1:11" ht="15.75" thickBot="1" x14ac:dyDescent="0.3">
      <c r="A7" s="439" t="s">
        <v>708</v>
      </c>
      <c r="B7" s="439">
        <v>1654366</v>
      </c>
      <c r="C7" s="440">
        <v>1</v>
      </c>
      <c r="D7" s="447">
        <v>450</v>
      </c>
      <c r="E7" s="441">
        <f>+C7*D7</f>
        <v>450</v>
      </c>
      <c r="F7" s="448">
        <f>+E7*0.0725</f>
        <v>32.625</v>
      </c>
      <c r="G7" s="449"/>
    </row>
    <row r="8" spans="1:11" x14ac:dyDescent="0.25">
      <c r="A8" s="444"/>
      <c r="B8" s="444"/>
      <c r="C8" s="444"/>
      <c r="D8" s="235" t="s">
        <v>706</v>
      </c>
      <c r="E8" s="441"/>
      <c r="F8" s="441"/>
      <c r="G8" s="441">
        <f>IF(J4="yes",+SUM(E5:E7)+SUM(F5:F7),0)</f>
        <v>0</v>
      </c>
    </row>
    <row r="9" spans="1:11" x14ac:dyDescent="0.25">
      <c r="A9" s="148" t="s">
        <v>340</v>
      </c>
      <c r="B9" s="148">
        <v>977057</v>
      </c>
      <c r="C9" s="264">
        <v>0</v>
      </c>
      <c r="D9" s="251">
        <v>149</v>
      </c>
      <c r="E9" s="14">
        <f>+C9*D9</f>
        <v>0</v>
      </c>
      <c r="F9" s="26">
        <f>+E9*0.0725</f>
        <v>0</v>
      </c>
      <c r="G9" s="13"/>
    </row>
    <row r="10" spans="1:11" x14ac:dyDescent="0.25">
      <c r="A10" s="148" t="s">
        <v>341</v>
      </c>
      <c r="B10" s="148"/>
      <c r="C10" s="264">
        <v>0</v>
      </c>
      <c r="D10" s="251">
        <v>400</v>
      </c>
      <c r="E10" s="14">
        <f>+C10*D10</f>
        <v>0</v>
      </c>
      <c r="F10" s="26">
        <f>+E10*0.0725</f>
        <v>0</v>
      </c>
      <c r="G10" s="14"/>
    </row>
    <row r="11" spans="1:11" x14ac:dyDescent="0.25">
      <c r="A11" s="148" t="s">
        <v>342</v>
      </c>
      <c r="B11" s="148">
        <v>1008246199</v>
      </c>
      <c r="C11" s="264">
        <v>0</v>
      </c>
      <c r="D11" s="251">
        <v>448</v>
      </c>
      <c r="E11" s="14">
        <f>+C11*D11</f>
        <v>0</v>
      </c>
      <c r="F11" s="26">
        <f>+E11*0.0725</f>
        <v>0</v>
      </c>
      <c r="G11" s="14"/>
    </row>
    <row r="12" spans="1:11" ht="15.75" thickBot="1" x14ac:dyDescent="0.3">
      <c r="A12" s="148" t="s">
        <v>622</v>
      </c>
      <c r="B12" s="148">
        <v>205954</v>
      </c>
      <c r="C12" s="264">
        <v>0</v>
      </c>
      <c r="D12" s="251">
        <v>0</v>
      </c>
      <c r="E12" s="21"/>
      <c r="F12" s="21"/>
      <c r="G12" s="21"/>
    </row>
    <row r="13" spans="1:11" x14ac:dyDescent="0.25">
      <c r="A13" s="148"/>
      <c r="B13" s="148"/>
      <c r="C13" s="264"/>
      <c r="D13" s="265" t="s">
        <v>343</v>
      </c>
      <c r="E13" s="14"/>
      <c r="F13" s="14"/>
      <c r="G13" s="14">
        <f>IF(J4="yes",0,+SUM(E9:E12)+SUM(F9:F12))</f>
        <v>0</v>
      </c>
    </row>
    <row r="14" spans="1:11" x14ac:dyDescent="0.25">
      <c r="A14" s="148" t="s">
        <v>344</v>
      </c>
      <c r="B14" s="148">
        <v>206436</v>
      </c>
      <c r="C14" s="264">
        <v>0</v>
      </c>
      <c r="D14" s="265">
        <v>12.98</v>
      </c>
      <c r="E14" s="14">
        <v>0</v>
      </c>
      <c r="F14" s="26">
        <f>+E14*0.0725</f>
        <v>0</v>
      </c>
      <c r="G14" s="14">
        <v>0</v>
      </c>
    </row>
    <row r="15" spans="1:11" x14ac:dyDescent="0.25">
      <c r="A15" s="148" t="s">
        <v>623</v>
      </c>
      <c r="B15" s="148">
        <v>1006760329</v>
      </c>
      <c r="C15" s="264">
        <v>0</v>
      </c>
      <c r="D15" s="251">
        <v>698</v>
      </c>
      <c r="E15" s="14" t="s">
        <v>151</v>
      </c>
      <c r="F15" s="14"/>
      <c r="G15" s="14"/>
    </row>
    <row r="16" spans="1:11" x14ac:dyDescent="0.25">
      <c r="A16" s="148" t="s">
        <v>344</v>
      </c>
      <c r="B16" s="148">
        <v>1630551</v>
      </c>
      <c r="C16" s="264">
        <v>0</v>
      </c>
      <c r="D16" s="251">
        <v>32.979999999999997</v>
      </c>
      <c r="E16" s="14">
        <f>+C16*D16</f>
        <v>0</v>
      </c>
      <c r="F16" s="26">
        <f>+E16*0.0725</f>
        <v>0</v>
      </c>
      <c r="G16" s="14"/>
    </row>
    <row r="17" spans="1:8" x14ac:dyDescent="0.25">
      <c r="A17" s="148" t="s">
        <v>705</v>
      </c>
      <c r="B17" s="148">
        <v>3648606</v>
      </c>
      <c r="C17" s="264">
        <v>0</v>
      </c>
      <c r="D17" s="251">
        <v>700</v>
      </c>
      <c r="E17" s="14">
        <f>+C17*D17</f>
        <v>0</v>
      </c>
      <c r="F17" s="26">
        <f t="shared" ref="F17:F29" si="0">+E17*0.0725</f>
        <v>0</v>
      </c>
      <c r="G17" s="14"/>
    </row>
    <row r="18" spans="1:8" x14ac:dyDescent="0.25">
      <c r="A18" s="148" t="s">
        <v>345</v>
      </c>
      <c r="B18" s="148">
        <v>1654366</v>
      </c>
      <c r="C18" s="264">
        <v>0</v>
      </c>
      <c r="D18" s="251">
        <v>374.29</v>
      </c>
      <c r="E18" s="14">
        <f>+C18*D18</f>
        <v>0</v>
      </c>
      <c r="F18" s="26">
        <f t="shared" si="0"/>
        <v>0</v>
      </c>
      <c r="G18" s="14"/>
    </row>
    <row r="19" spans="1:8" x14ac:dyDescent="0.25">
      <c r="A19" s="148" t="s">
        <v>346</v>
      </c>
      <c r="B19" s="148">
        <v>118694</v>
      </c>
      <c r="C19" s="264">
        <v>0</v>
      </c>
      <c r="D19" s="251">
        <v>39.28</v>
      </c>
      <c r="E19" s="14">
        <f>+C19*D19</f>
        <v>0</v>
      </c>
      <c r="F19" s="26">
        <f t="shared" si="0"/>
        <v>0</v>
      </c>
      <c r="G19" s="14"/>
    </row>
    <row r="20" spans="1:8" x14ac:dyDescent="0.25">
      <c r="A20" s="148" t="s">
        <v>347</v>
      </c>
      <c r="B20" s="266"/>
      <c r="C20" s="264">
        <v>0</v>
      </c>
      <c r="D20" s="251">
        <v>189</v>
      </c>
      <c r="E20" s="14">
        <f>+C20*D20</f>
        <v>0</v>
      </c>
      <c r="F20" s="26">
        <f t="shared" si="0"/>
        <v>0</v>
      </c>
      <c r="G20" s="14"/>
    </row>
    <row r="21" spans="1:8" x14ac:dyDescent="0.25">
      <c r="A21" s="148" t="s">
        <v>624</v>
      </c>
      <c r="B21" s="266">
        <v>206332</v>
      </c>
      <c r="C21" s="264">
        <v>0</v>
      </c>
      <c r="D21" s="251">
        <v>32.85</v>
      </c>
      <c r="E21" s="14" t="s">
        <v>151</v>
      </c>
      <c r="F21" s="26"/>
      <c r="G21" s="14"/>
    </row>
    <row r="22" spans="1:8" x14ac:dyDescent="0.25">
      <c r="A22" s="148" t="s">
        <v>348</v>
      </c>
      <c r="B22" s="266"/>
      <c r="C22" s="264">
        <v>0</v>
      </c>
      <c r="D22" s="251">
        <v>169</v>
      </c>
      <c r="E22" s="14">
        <f t="shared" ref="E22:E29" si="1">+C22*D22</f>
        <v>0</v>
      </c>
      <c r="F22" s="26">
        <f t="shared" si="0"/>
        <v>0</v>
      </c>
      <c r="G22" s="14"/>
    </row>
    <row r="23" spans="1:8" x14ac:dyDescent="0.25">
      <c r="A23" s="266" t="s">
        <v>349</v>
      </c>
      <c r="B23" s="266">
        <v>1692925</v>
      </c>
      <c r="C23" s="264">
        <v>0</v>
      </c>
      <c r="D23" s="251">
        <v>170.39</v>
      </c>
      <c r="E23" s="14">
        <f t="shared" si="1"/>
        <v>0</v>
      </c>
      <c r="F23" s="26">
        <f t="shared" si="0"/>
        <v>0</v>
      </c>
      <c r="G23" s="14"/>
    </row>
    <row r="24" spans="1:8" x14ac:dyDescent="0.25">
      <c r="A24" s="266" t="s">
        <v>656</v>
      </c>
      <c r="B24" s="266"/>
      <c r="C24" s="264">
        <v>0</v>
      </c>
      <c r="D24" s="251">
        <v>900</v>
      </c>
      <c r="E24" s="14">
        <f t="shared" si="1"/>
        <v>0</v>
      </c>
      <c r="F24" s="26">
        <f>+E24*0.0725</f>
        <v>0</v>
      </c>
      <c r="G24" s="14"/>
    </row>
    <row r="25" spans="1:8" x14ac:dyDescent="0.25">
      <c r="A25" s="266" t="s">
        <v>657</v>
      </c>
      <c r="B25" s="266"/>
      <c r="C25" s="264">
        <v>0</v>
      </c>
      <c r="D25" s="251">
        <v>900</v>
      </c>
      <c r="E25" s="14">
        <f t="shared" si="1"/>
        <v>0</v>
      </c>
      <c r="F25" s="26">
        <f>+E25*0.0725</f>
        <v>0</v>
      </c>
      <c r="G25" s="14"/>
    </row>
    <row r="26" spans="1:8" x14ac:dyDescent="0.25">
      <c r="A26" s="266"/>
      <c r="B26" s="266"/>
      <c r="C26" s="264">
        <v>0</v>
      </c>
      <c r="D26" s="251">
        <v>170.39</v>
      </c>
      <c r="E26" s="14">
        <f t="shared" si="1"/>
        <v>0</v>
      </c>
      <c r="F26" s="26">
        <f>+E26*0.0725</f>
        <v>0</v>
      </c>
      <c r="G26" s="14"/>
    </row>
    <row r="27" spans="1:8" x14ac:dyDescent="0.25">
      <c r="A27" s="266"/>
      <c r="B27" s="266"/>
      <c r="C27" s="264">
        <v>0</v>
      </c>
      <c r="D27" s="251">
        <v>170.39</v>
      </c>
      <c r="E27" s="14">
        <f t="shared" si="1"/>
        <v>0</v>
      </c>
      <c r="F27" s="26">
        <f>+E27*0.0725</f>
        <v>0</v>
      </c>
      <c r="G27" s="14"/>
    </row>
    <row r="28" spans="1:8" x14ac:dyDescent="0.25">
      <c r="A28" s="266"/>
      <c r="B28" s="266"/>
      <c r="C28" s="264">
        <v>0</v>
      </c>
      <c r="D28" s="251">
        <v>170.39</v>
      </c>
      <c r="E28" s="14">
        <f t="shared" si="1"/>
        <v>0</v>
      </c>
      <c r="F28" s="26">
        <f>+E28*0.0725</f>
        <v>0</v>
      </c>
      <c r="G28" s="14"/>
    </row>
    <row r="29" spans="1:8" ht="15.75" thickBot="1" x14ac:dyDescent="0.3">
      <c r="A29" s="148" t="s">
        <v>625</v>
      </c>
      <c r="B29" s="266"/>
      <c r="C29" s="264">
        <v>0</v>
      </c>
      <c r="D29" s="251">
        <v>0</v>
      </c>
      <c r="E29" s="14">
        <f t="shared" si="1"/>
        <v>0</v>
      </c>
      <c r="F29" s="26">
        <f t="shared" si="0"/>
        <v>0</v>
      </c>
      <c r="G29" s="21"/>
    </row>
    <row r="30" spans="1:8" x14ac:dyDescent="0.25">
      <c r="B30" s="2"/>
      <c r="C30" s="816" t="s">
        <v>350</v>
      </c>
      <c r="D30" s="816"/>
      <c r="E30" s="816"/>
      <c r="F30" s="30"/>
      <c r="G30" s="14">
        <f>IF(J4="yes",0,SUM(E9:E29)+SUM(F9:F29))</f>
        <v>0</v>
      </c>
    </row>
    <row r="31" spans="1:8" x14ac:dyDescent="0.25">
      <c r="H31" s="14">
        <f>SUM(G8:G30)</f>
        <v>0</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K37"/>
  <sheetViews>
    <sheetView workbookViewId="0">
      <selection activeCell="K5" sqref="K5:K6"/>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351</v>
      </c>
      <c r="B1" s="3"/>
    </row>
    <row r="2" spans="1:11" x14ac:dyDescent="0.25">
      <c r="C2" s="3"/>
      <c r="D2" s="8"/>
      <c r="E2" s="13"/>
      <c r="F2" s="13"/>
      <c r="G2" s="13"/>
    </row>
    <row r="3" spans="1:11" x14ac:dyDescent="0.25">
      <c r="A3" s="3" t="s">
        <v>226</v>
      </c>
      <c r="B3" s="3" t="s">
        <v>339</v>
      </c>
      <c r="C3" s="3" t="s">
        <v>283</v>
      </c>
      <c r="D3" s="8" t="s">
        <v>284</v>
      </c>
      <c r="E3" s="13" t="s">
        <v>285</v>
      </c>
      <c r="F3" s="13" t="s">
        <v>272</v>
      </c>
      <c r="G3" s="13" t="s">
        <v>286</v>
      </c>
    </row>
    <row r="4" spans="1:11" ht="15.75" thickBot="1" x14ac:dyDescent="0.3">
      <c r="A4" s="3" t="s">
        <v>707</v>
      </c>
      <c r="B4" s="3"/>
      <c r="C4" s="3"/>
      <c r="D4" s="8"/>
      <c r="E4" s="13"/>
      <c r="F4" s="13"/>
      <c r="G4" s="13"/>
    </row>
    <row r="5" spans="1:11" x14ac:dyDescent="0.25">
      <c r="A5" s="450" t="s">
        <v>360</v>
      </c>
      <c r="B5" s="450"/>
      <c r="C5" s="440">
        <v>1</v>
      </c>
      <c r="D5" s="447">
        <v>179</v>
      </c>
      <c r="E5" s="441">
        <f>+C5*D5</f>
        <v>179</v>
      </c>
      <c r="F5" s="448">
        <f>+E5*0.0725</f>
        <v>12.977499999999999</v>
      </c>
      <c r="G5" s="446"/>
      <c r="I5" s="817" t="s">
        <v>2</v>
      </c>
      <c r="J5" s="817" t="str">
        <f>IF(Profit!Q6,IF(K5,"Yes","No"),"No")</f>
        <v>No</v>
      </c>
      <c r="K5" s="821" t="b">
        <v>1</v>
      </c>
    </row>
    <row r="6" spans="1:11" ht="15.75" thickBot="1" x14ac:dyDescent="0.3">
      <c r="A6" s="450" t="s">
        <v>711</v>
      </c>
      <c r="B6" s="450"/>
      <c r="C6" s="440">
        <v>1</v>
      </c>
      <c r="D6" s="447">
        <v>53.98</v>
      </c>
      <c r="E6" s="441">
        <f>+C6*D6</f>
        <v>53.98</v>
      </c>
      <c r="F6" s="448">
        <f>+E6*0.0725</f>
        <v>3.9135499999999994</v>
      </c>
      <c r="G6" s="446"/>
      <c r="I6" s="818"/>
      <c r="J6" s="818"/>
      <c r="K6" s="822"/>
    </row>
    <row r="7" spans="1:11" x14ac:dyDescent="0.25">
      <c r="A7" s="450" t="s">
        <v>306</v>
      </c>
      <c r="B7" s="450"/>
      <c r="C7" s="440">
        <v>2</v>
      </c>
      <c r="D7" s="447">
        <v>15.47</v>
      </c>
      <c r="E7" s="441">
        <f>+C7*D7</f>
        <v>30.94</v>
      </c>
      <c r="F7" s="448">
        <f>+E7*0.0725</f>
        <v>2.24315</v>
      </c>
      <c r="G7" s="446"/>
    </row>
    <row r="8" spans="1:11" x14ac:dyDescent="0.25">
      <c r="A8" s="450" t="s">
        <v>712</v>
      </c>
      <c r="B8" s="450"/>
      <c r="C8" s="440">
        <v>5</v>
      </c>
      <c r="D8" s="447">
        <v>39.979999999999997</v>
      </c>
      <c r="E8" s="441">
        <v>0</v>
      </c>
      <c r="F8" s="448">
        <f>+E8*0.0725</f>
        <v>0</v>
      </c>
      <c r="G8" s="446"/>
    </row>
    <row r="9" spans="1:11" ht="15.75" thickBot="1" x14ac:dyDescent="0.3">
      <c r="A9" s="450" t="s">
        <v>357</v>
      </c>
      <c r="B9" s="450">
        <v>732291231619</v>
      </c>
      <c r="C9" s="440">
        <v>3</v>
      </c>
      <c r="D9" s="447">
        <v>99</v>
      </c>
      <c r="E9" s="449">
        <f>+C9*D9</f>
        <v>297</v>
      </c>
      <c r="F9" s="449">
        <f>+E9*0.0725</f>
        <v>21.532499999999999</v>
      </c>
      <c r="G9" s="449"/>
    </row>
    <row r="10" spans="1:11" x14ac:dyDescent="0.25">
      <c r="A10" s="450"/>
      <c r="B10" s="450"/>
      <c r="C10" s="440"/>
      <c r="D10" s="447"/>
      <c r="E10" s="441"/>
      <c r="F10" s="441"/>
      <c r="G10" s="441">
        <f>IF(J5="Yes",+SUM(E5:E9)+SUM(F5:F9),0)</f>
        <v>0</v>
      </c>
    </row>
    <row r="11" spans="1:11" x14ac:dyDescent="0.25">
      <c r="A11" s="266"/>
      <c r="B11" s="266"/>
      <c r="C11" s="264"/>
      <c r="D11" s="251"/>
      <c r="F11" s="26"/>
      <c r="G11" s="13"/>
    </row>
    <row r="12" spans="1:11" x14ac:dyDescent="0.25">
      <c r="A12" s="266"/>
      <c r="B12" s="266"/>
      <c r="C12" s="264"/>
      <c r="D12" s="251"/>
      <c r="F12" s="26"/>
      <c r="G12" s="13"/>
    </row>
    <row r="13" spans="1:11" x14ac:dyDescent="0.25">
      <c r="A13" s="266"/>
      <c r="B13" s="266"/>
      <c r="C13" s="264">
        <v>0</v>
      </c>
      <c r="D13" s="251">
        <v>107.1</v>
      </c>
      <c r="E13" s="14">
        <f>+C13*D13</f>
        <v>0</v>
      </c>
      <c r="F13" s="26">
        <f t="shared" ref="F13:F30" si="0">+E13*0.0725</f>
        <v>0</v>
      </c>
      <c r="G13" s="13"/>
    </row>
    <row r="14" spans="1:11" x14ac:dyDescent="0.25">
      <c r="A14" s="266" t="s">
        <v>360</v>
      </c>
      <c r="B14" s="266" t="s">
        <v>576</v>
      </c>
      <c r="C14" s="264">
        <v>0</v>
      </c>
      <c r="D14" s="251">
        <v>179</v>
      </c>
      <c r="E14" s="14">
        <f>+C14*D14</f>
        <v>0</v>
      </c>
      <c r="F14" s="26">
        <f t="shared" si="0"/>
        <v>0</v>
      </c>
    </row>
    <row r="15" spans="1:11" x14ac:dyDescent="0.25">
      <c r="A15" s="266" t="s">
        <v>352</v>
      </c>
      <c r="B15" s="266">
        <v>2131173</v>
      </c>
      <c r="C15" s="264">
        <v>0</v>
      </c>
      <c r="D15" s="251">
        <v>53.98</v>
      </c>
      <c r="E15" s="14">
        <f>+C15*D15</f>
        <v>0</v>
      </c>
      <c r="F15" s="26">
        <f t="shared" si="0"/>
        <v>0</v>
      </c>
    </row>
    <row r="16" spans="1:11" x14ac:dyDescent="0.25">
      <c r="A16" s="266" t="s">
        <v>353</v>
      </c>
      <c r="B16" s="266">
        <v>1227792</v>
      </c>
      <c r="C16" s="264">
        <v>0</v>
      </c>
      <c r="D16" s="251">
        <v>15.47</v>
      </c>
      <c r="E16" s="14">
        <f>+C16*D16</f>
        <v>0</v>
      </c>
      <c r="F16" s="26">
        <f t="shared" si="0"/>
        <v>0</v>
      </c>
    </row>
    <row r="17" spans="1:10" x14ac:dyDescent="0.25">
      <c r="A17" s="266" t="s">
        <v>354</v>
      </c>
      <c r="B17" s="266">
        <v>1233228</v>
      </c>
      <c r="C17" s="264">
        <v>0</v>
      </c>
      <c r="D17" s="251">
        <v>39.979999999999997</v>
      </c>
      <c r="E17" s="14">
        <v>0</v>
      </c>
      <c r="F17" s="26">
        <f t="shared" si="0"/>
        <v>0</v>
      </c>
    </row>
    <row r="18" spans="1:10" x14ac:dyDescent="0.25">
      <c r="A18" s="266" t="s">
        <v>355</v>
      </c>
      <c r="B18" s="266" t="s">
        <v>151</v>
      </c>
      <c r="C18" s="264">
        <v>0</v>
      </c>
      <c r="D18" s="251">
        <v>6.99</v>
      </c>
      <c r="E18" s="14">
        <f t="shared" ref="E18:E29" si="1">+C18*D18</f>
        <v>0</v>
      </c>
      <c r="F18" s="26">
        <f t="shared" si="0"/>
        <v>0</v>
      </c>
    </row>
    <row r="19" spans="1:10" x14ac:dyDescent="0.25">
      <c r="A19" s="266" t="s">
        <v>356</v>
      </c>
      <c r="B19" s="266"/>
      <c r="C19" s="264">
        <v>0</v>
      </c>
      <c r="D19" s="251">
        <v>24.4</v>
      </c>
      <c r="E19" s="14">
        <f t="shared" si="1"/>
        <v>0</v>
      </c>
      <c r="F19" s="26">
        <f t="shared" si="0"/>
        <v>0</v>
      </c>
    </row>
    <row r="20" spans="1:10" x14ac:dyDescent="0.25">
      <c r="A20" s="266" t="s">
        <v>357</v>
      </c>
      <c r="B20" s="266" t="s">
        <v>578</v>
      </c>
      <c r="C20" s="264">
        <v>0</v>
      </c>
      <c r="D20" s="251">
        <v>89.1</v>
      </c>
      <c r="E20" s="14">
        <f t="shared" si="1"/>
        <v>0</v>
      </c>
      <c r="F20" s="26">
        <f t="shared" si="0"/>
        <v>0</v>
      </c>
    </row>
    <row r="21" spans="1:10" x14ac:dyDescent="0.25">
      <c r="A21" s="266" t="s">
        <v>358</v>
      </c>
      <c r="B21" s="291">
        <v>26508261804</v>
      </c>
      <c r="C21" s="264">
        <v>0</v>
      </c>
      <c r="D21" s="251">
        <v>114</v>
      </c>
      <c r="E21" s="14">
        <f t="shared" si="1"/>
        <v>0</v>
      </c>
      <c r="F21" s="26">
        <f t="shared" si="0"/>
        <v>0</v>
      </c>
    </row>
    <row r="22" spans="1:10" x14ac:dyDescent="0.25">
      <c r="A22" s="266" t="s">
        <v>306</v>
      </c>
      <c r="B22" s="266">
        <v>6925699939094</v>
      </c>
      <c r="C22" s="264">
        <v>0</v>
      </c>
      <c r="D22" s="251">
        <v>34.979999999999997</v>
      </c>
      <c r="E22" s="14">
        <f t="shared" si="1"/>
        <v>0</v>
      </c>
      <c r="F22" s="26">
        <f t="shared" si="0"/>
        <v>0</v>
      </c>
    </row>
    <row r="23" spans="1:10" x14ac:dyDescent="0.25">
      <c r="A23" s="266" t="s">
        <v>359</v>
      </c>
      <c r="B23" s="266"/>
      <c r="C23" s="264">
        <v>0</v>
      </c>
      <c r="D23" s="251"/>
      <c r="E23" s="14">
        <f t="shared" si="1"/>
        <v>0</v>
      </c>
      <c r="F23" s="26">
        <f t="shared" si="0"/>
        <v>0</v>
      </c>
    </row>
    <row r="24" spans="1:10" x14ac:dyDescent="0.25">
      <c r="A24" s="266" t="s">
        <v>360</v>
      </c>
      <c r="B24" s="266">
        <v>38877656754</v>
      </c>
      <c r="C24" s="264">
        <v>0</v>
      </c>
      <c r="D24" s="251">
        <v>169</v>
      </c>
      <c r="E24" s="14">
        <f t="shared" si="1"/>
        <v>0</v>
      </c>
      <c r="F24" s="26">
        <f t="shared" si="0"/>
        <v>0</v>
      </c>
    </row>
    <row r="25" spans="1:10" x14ac:dyDescent="0.25">
      <c r="A25" s="266" t="s">
        <v>357</v>
      </c>
      <c r="B25" s="266">
        <v>732291231619</v>
      </c>
      <c r="C25" s="264">
        <v>0</v>
      </c>
      <c r="D25" s="251">
        <v>99</v>
      </c>
      <c r="E25" s="14">
        <f t="shared" si="1"/>
        <v>0</v>
      </c>
      <c r="F25" s="26">
        <f t="shared" si="0"/>
        <v>0</v>
      </c>
    </row>
    <row r="26" spans="1:10" x14ac:dyDescent="0.25">
      <c r="A26" s="266" t="s">
        <v>361</v>
      </c>
      <c r="B26" s="266"/>
      <c r="C26" s="264">
        <v>0</v>
      </c>
      <c r="D26" s="251">
        <v>-29.7</v>
      </c>
      <c r="E26" s="14">
        <f t="shared" si="1"/>
        <v>0</v>
      </c>
      <c r="F26" s="26">
        <f t="shared" si="0"/>
        <v>0</v>
      </c>
    </row>
    <row r="27" spans="1:10" x14ac:dyDescent="0.25">
      <c r="A27" s="266"/>
      <c r="B27" s="266"/>
      <c r="C27" s="264"/>
      <c r="D27" s="251"/>
      <c r="E27" s="14">
        <f t="shared" si="1"/>
        <v>0</v>
      </c>
      <c r="F27" s="26">
        <f t="shared" si="0"/>
        <v>0</v>
      </c>
    </row>
    <row r="28" spans="1:10" x14ac:dyDescent="0.25">
      <c r="A28" s="266"/>
      <c r="B28" s="266"/>
      <c r="C28" s="264"/>
      <c r="D28" s="251"/>
      <c r="E28" s="14">
        <f t="shared" si="1"/>
        <v>0</v>
      </c>
      <c r="F28" s="26">
        <f t="shared" si="0"/>
        <v>0</v>
      </c>
    </row>
    <row r="29" spans="1:10" x14ac:dyDescent="0.25">
      <c r="A29" s="266"/>
      <c r="B29" s="266"/>
      <c r="C29" s="264"/>
      <c r="D29" s="251"/>
      <c r="E29" s="14">
        <f t="shared" si="1"/>
        <v>0</v>
      </c>
      <c r="F29" s="26">
        <f t="shared" si="0"/>
        <v>0</v>
      </c>
    </row>
    <row r="30" spans="1:10" ht="15.75" thickBot="1" x14ac:dyDescent="0.3">
      <c r="A30" s="266"/>
      <c r="B30" s="266"/>
      <c r="C30" s="264"/>
      <c r="D30" s="251"/>
      <c r="E30" s="21">
        <f>+C30*D30</f>
        <v>0</v>
      </c>
      <c r="F30" s="21">
        <f t="shared" si="0"/>
        <v>0</v>
      </c>
      <c r="G30" s="21"/>
    </row>
    <row r="31" spans="1:10" x14ac:dyDescent="0.25">
      <c r="G31" s="14">
        <f>IF(J5="No",+SUM(E13:E30)+SUM(F13:F30),0)</f>
        <v>0</v>
      </c>
      <c r="H31" s="14">
        <f>SUM(G10:G31)</f>
        <v>0</v>
      </c>
      <c r="J31" s="1"/>
    </row>
    <row r="34" spans="7:7" x14ac:dyDescent="0.25">
      <c r="G34"/>
    </row>
    <row r="35" spans="7:7" x14ac:dyDescent="0.25">
      <c r="G35"/>
    </row>
    <row r="36" spans="7:7" x14ac:dyDescent="0.25">
      <c r="G36"/>
    </row>
    <row r="37" spans="7:7" x14ac:dyDescent="0.25">
      <c r="G37"/>
    </row>
  </sheetData>
  <mergeCells count="3">
    <mergeCell ref="I5:I6"/>
    <mergeCell ref="J5:J6"/>
    <mergeCell ref="K5:K6"/>
  </mergeCells>
  <printOptions headings="1" gridLines="1"/>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16" activePane="bottomLeft" state="frozen"/>
      <selection pane="bottomLeft" activeCell="G5" sqref="G5"/>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362</v>
      </c>
      <c r="B1" s="32"/>
      <c r="C1" s="32"/>
    </row>
    <row r="2" spans="1:13" x14ac:dyDescent="0.25">
      <c r="D2" s="3"/>
      <c r="E2" s="8"/>
      <c r="F2" s="13"/>
      <c r="G2" s="13"/>
      <c r="H2" s="13"/>
      <c r="K2" s="817" t="s">
        <v>2</v>
      </c>
      <c r="L2" s="817" t="str">
        <f>IF(Profit!Q6,IF(M2,"Yes","No"),"No")</f>
        <v>No</v>
      </c>
      <c r="M2" s="821" t="b">
        <v>1</v>
      </c>
    </row>
    <row r="3" spans="1:13" s="22" customFormat="1" ht="14.25" customHeight="1" thickBot="1" x14ac:dyDescent="0.3">
      <c r="A3" s="3" t="s">
        <v>226</v>
      </c>
      <c r="B3" s="3" t="s">
        <v>271</v>
      </c>
      <c r="C3" s="3" t="s">
        <v>339</v>
      </c>
      <c r="D3" s="3" t="s">
        <v>283</v>
      </c>
      <c r="E3" s="8" t="s">
        <v>284</v>
      </c>
      <c r="F3" s="13" t="s">
        <v>285</v>
      </c>
      <c r="G3" s="13"/>
      <c r="H3" s="13" t="s">
        <v>286</v>
      </c>
      <c r="K3" s="818"/>
      <c r="L3" s="818"/>
      <c r="M3" s="822"/>
    </row>
    <row r="4" spans="1:13" s="22" customFormat="1" ht="14.25" customHeight="1" x14ac:dyDescent="0.25">
      <c r="A4" s="3"/>
      <c r="B4" s="3"/>
      <c r="C4" s="3"/>
      <c r="D4" s="3"/>
      <c r="E4" s="8"/>
      <c r="F4" s="13"/>
      <c r="G4" s="13"/>
      <c r="H4" s="13"/>
      <c r="K4"/>
      <c r="L4"/>
      <c r="M4"/>
    </row>
    <row r="5" spans="1:13" s="22" customFormat="1" ht="14.25" customHeight="1" x14ac:dyDescent="0.25">
      <c r="A5" s="3" t="s">
        <v>730</v>
      </c>
      <c r="B5" s="481">
        <v>45694</v>
      </c>
      <c r="C5" s="3"/>
      <c r="D5" s="3">
        <v>1</v>
      </c>
      <c r="E5" s="8">
        <v>2500</v>
      </c>
      <c r="F5" s="14">
        <v>2724.15</v>
      </c>
      <c r="G5" s="14"/>
      <c r="H5" s="13"/>
      <c r="K5"/>
      <c r="L5"/>
      <c r="M5"/>
    </row>
    <row r="6" spans="1:13" s="22" customFormat="1" ht="14.25" customHeight="1" x14ac:dyDescent="0.25">
      <c r="A6" s="3" t="s">
        <v>628</v>
      </c>
      <c r="B6" s="3"/>
      <c r="C6" s="3"/>
      <c r="D6" s="3">
        <v>0</v>
      </c>
      <c r="E6" s="8">
        <v>350</v>
      </c>
      <c r="F6" s="14">
        <f t="shared" ref="F6:F18" si="0">+D6*E6</f>
        <v>0</v>
      </c>
      <c r="G6" s="14">
        <f>+F6*0.0725</f>
        <v>0</v>
      </c>
      <c r="H6" s="13"/>
      <c r="K6"/>
      <c r="L6"/>
      <c r="M6"/>
    </row>
    <row r="7" spans="1:13" ht="14.25" customHeight="1" x14ac:dyDescent="0.25">
      <c r="A7" s="32" t="s">
        <v>363</v>
      </c>
      <c r="B7" s="32"/>
      <c r="C7" s="32">
        <v>935605</v>
      </c>
      <c r="D7" s="266">
        <v>0</v>
      </c>
      <c r="E7" s="251">
        <v>209</v>
      </c>
      <c r="F7" s="14">
        <f t="shared" si="0"/>
        <v>0</v>
      </c>
      <c r="G7" s="14">
        <f t="shared" ref="G7:G37" si="1">+F7*0.0725</f>
        <v>0</v>
      </c>
      <c r="H7" s="13"/>
    </row>
    <row r="8" spans="1:13" ht="14.25" customHeight="1" x14ac:dyDescent="0.25">
      <c r="A8" s="32" t="s">
        <v>364</v>
      </c>
      <c r="B8" s="32"/>
      <c r="C8" s="32">
        <v>935604</v>
      </c>
      <c r="D8" s="266">
        <v>0</v>
      </c>
      <c r="E8" s="251">
        <v>209</v>
      </c>
      <c r="F8" s="14">
        <f t="shared" si="0"/>
        <v>0</v>
      </c>
      <c r="G8" s="14">
        <f t="shared" si="1"/>
        <v>0</v>
      </c>
      <c r="H8" s="13"/>
    </row>
    <row r="9" spans="1:13" ht="14.25" customHeight="1" x14ac:dyDescent="0.25">
      <c r="A9" s="32" t="s">
        <v>365</v>
      </c>
      <c r="B9" s="32"/>
      <c r="C9" s="32">
        <v>935599</v>
      </c>
      <c r="D9" s="266">
        <v>0</v>
      </c>
      <c r="E9" s="251">
        <v>198.56</v>
      </c>
      <c r="F9" s="14">
        <f>+D9*E9</f>
        <v>0</v>
      </c>
      <c r="G9" s="14">
        <f t="shared" si="1"/>
        <v>0</v>
      </c>
      <c r="H9" s="13"/>
    </row>
    <row r="10" spans="1:13" ht="14.25" customHeight="1" x14ac:dyDescent="0.25">
      <c r="A10" s="32" t="s">
        <v>366</v>
      </c>
      <c r="B10" s="32"/>
      <c r="C10" s="32">
        <v>14005</v>
      </c>
      <c r="D10" s="264">
        <v>0</v>
      </c>
      <c r="E10" s="251">
        <v>179</v>
      </c>
      <c r="F10" s="14">
        <f t="shared" si="0"/>
        <v>0</v>
      </c>
      <c r="G10" s="14">
        <f t="shared" si="1"/>
        <v>0</v>
      </c>
    </row>
    <row r="11" spans="1:13" ht="14.25" customHeight="1" x14ac:dyDescent="0.25">
      <c r="A11" s="32" t="s">
        <v>367</v>
      </c>
      <c r="B11" s="32"/>
      <c r="C11" s="32">
        <v>14006</v>
      </c>
      <c r="D11" s="264">
        <v>0</v>
      </c>
      <c r="E11" s="251">
        <v>179</v>
      </c>
      <c r="F11" s="14">
        <f t="shared" si="0"/>
        <v>0</v>
      </c>
      <c r="G11" s="14">
        <f t="shared" si="1"/>
        <v>0</v>
      </c>
    </row>
    <row r="12" spans="1:13" ht="14.25" customHeight="1" x14ac:dyDescent="0.25">
      <c r="A12" s="32" t="s">
        <v>368</v>
      </c>
      <c r="B12" s="32"/>
      <c r="C12" s="32">
        <v>935587</v>
      </c>
      <c r="D12" s="264">
        <v>0</v>
      </c>
      <c r="E12" s="251">
        <v>198.55</v>
      </c>
      <c r="F12" s="14">
        <f>+D12*E12</f>
        <v>0</v>
      </c>
      <c r="G12" s="14">
        <f t="shared" si="1"/>
        <v>0</v>
      </c>
    </row>
    <row r="13" spans="1:13" ht="14.25" customHeight="1" x14ac:dyDescent="0.25">
      <c r="A13" s="32" t="s">
        <v>369</v>
      </c>
      <c r="B13" s="32"/>
      <c r="C13" s="32">
        <v>49504</v>
      </c>
      <c r="D13" s="264">
        <v>0</v>
      </c>
      <c r="E13" s="251">
        <v>103</v>
      </c>
      <c r="F13" s="14">
        <f t="shared" si="0"/>
        <v>0</v>
      </c>
      <c r="G13" s="14">
        <f t="shared" si="1"/>
        <v>0</v>
      </c>
    </row>
    <row r="14" spans="1:13" ht="14.25" customHeight="1" x14ac:dyDescent="0.25">
      <c r="A14" s="32" t="s">
        <v>370</v>
      </c>
      <c r="B14" s="32"/>
      <c r="C14" s="32">
        <v>49706</v>
      </c>
      <c r="D14" s="264">
        <v>0</v>
      </c>
      <c r="E14" s="251">
        <v>103</v>
      </c>
      <c r="F14" s="14">
        <f t="shared" si="0"/>
        <v>0</v>
      </c>
      <c r="G14" s="14">
        <f t="shared" si="1"/>
        <v>0</v>
      </c>
    </row>
    <row r="15" spans="1:13" ht="14.25" customHeight="1" x14ac:dyDescent="0.25">
      <c r="A15" s="32" t="s">
        <v>371</v>
      </c>
      <c r="B15" s="32"/>
      <c r="C15" s="32">
        <v>47025</v>
      </c>
      <c r="D15" s="264">
        <v>0</v>
      </c>
      <c r="E15" s="251">
        <v>99</v>
      </c>
      <c r="F15" s="14">
        <f t="shared" si="0"/>
        <v>0</v>
      </c>
      <c r="G15" s="14">
        <f t="shared" si="1"/>
        <v>0</v>
      </c>
    </row>
    <row r="16" spans="1:13" ht="14.25" customHeight="1" x14ac:dyDescent="0.25">
      <c r="A16" s="32" t="s">
        <v>372</v>
      </c>
      <c r="B16" s="32"/>
      <c r="C16" s="32">
        <v>47422</v>
      </c>
      <c r="D16" s="264">
        <v>0</v>
      </c>
      <c r="E16" s="251">
        <v>99</v>
      </c>
      <c r="F16" s="14">
        <f t="shared" si="0"/>
        <v>0</v>
      </c>
      <c r="G16" s="14">
        <f t="shared" si="1"/>
        <v>0</v>
      </c>
    </row>
    <row r="17" spans="1:7" ht="14.25" customHeight="1" x14ac:dyDescent="0.25">
      <c r="A17" s="32" t="s">
        <v>373</v>
      </c>
      <c r="B17" s="32"/>
      <c r="C17" s="32">
        <v>43359</v>
      </c>
      <c r="D17" s="264">
        <v>0</v>
      </c>
      <c r="E17" s="251">
        <v>95</v>
      </c>
      <c r="F17" s="14">
        <f t="shared" si="0"/>
        <v>0</v>
      </c>
      <c r="G17" s="14">
        <f t="shared" si="1"/>
        <v>0</v>
      </c>
    </row>
    <row r="18" spans="1:7" ht="14.25" customHeight="1" x14ac:dyDescent="0.25">
      <c r="A18" s="32" t="s">
        <v>374</v>
      </c>
      <c r="B18" s="32"/>
      <c r="C18" s="32">
        <v>44035</v>
      </c>
      <c r="D18" s="264">
        <v>0</v>
      </c>
      <c r="E18" s="251">
        <v>95</v>
      </c>
      <c r="F18" s="14">
        <f t="shared" si="0"/>
        <v>0</v>
      </c>
      <c r="G18" s="14">
        <f t="shared" si="1"/>
        <v>0</v>
      </c>
    </row>
    <row r="19" spans="1:7" ht="14.25" customHeight="1" x14ac:dyDescent="0.25">
      <c r="A19" s="328" t="s">
        <v>615</v>
      </c>
      <c r="B19" s="328"/>
      <c r="C19" s="328">
        <v>25598</v>
      </c>
      <c r="D19" s="264">
        <v>0</v>
      </c>
      <c r="E19" s="251">
        <v>101</v>
      </c>
      <c r="F19" s="14">
        <f t="shared" ref="F19:F37" si="2">+D19*E19</f>
        <v>0</v>
      </c>
      <c r="G19" s="14">
        <f t="shared" si="1"/>
        <v>0</v>
      </c>
    </row>
    <row r="20" spans="1:7" ht="14.25" customHeight="1" x14ac:dyDescent="0.25">
      <c r="A20" s="328" t="s">
        <v>577</v>
      </c>
      <c r="B20" s="328"/>
      <c r="C20" s="328">
        <v>30151125574</v>
      </c>
      <c r="D20" s="264">
        <v>0</v>
      </c>
      <c r="E20" s="251">
        <v>91.46</v>
      </c>
      <c r="F20" s="14">
        <f t="shared" si="2"/>
        <v>0</v>
      </c>
      <c r="G20" s="14">
        <f t="shared" si="1"/>
        <v>0</v>
      </c>
    </row>
    <row r="21" spans="1:7" ht="14.25" customHeight="1" x14ac:dyDescent="0.25">
      <c r="A21" s="32" t="s">
        <v>375</v>
      </c>
      <c r="B21" s="32"/>
      <c r="C21" s="32"/>
      <c r="D21" s="264">
        <v>0</v>
      </c>
      <c r="E21" s="251">
        <v>284.56</v>
      </c>
      <c r="F21" s="14">
        <f t="shared" si="2"/>
        <v>0</v>
      </c>
      <c r="G21" s="14">
        <f t="shared" si="1"/>
        <v>0</v>
      </c>
    </row>
    <row r="22" spans="1:7" ht="14.25" customHeight="1" x14ac:dyDescent="0.25">
      <c r="A22" s="32" t="s">
        <v>376</v>
      </c>
      <c r="B22" s="32"/>
      <c r="C22" s="32">
        <v>72904</v>
      </c>
      <c r="D22" s="264">
        <v>0</v>
      </c>
      <c r="E22" s="251">
        <v>429.62</v>
      </c>
      <c r="F22" s="14">
        <f>+D22*E22</f>
        <v>0</v>
      </c>
      <c r="G22" s="14">
        <f t="shared" si="1"/>
        <v>0</v>
      </c>
    </row>
    <row r="23" spans="1:7" ht="14.25" customHeight="1" x14ac:dyDescent="0.25">
      <c r="A23" s="32" t="s">
        <v>377</v>
      </c>
      <c r="B23" s="32"/>
      <c r="C23" s="32" t="s">
        <v>632</v>
      </c>
      <c r="D23" s="264">
        <v>0</v>
      </c>
      <c r="E23" s="251">
        <v>8.77</v>
      </c>
      <c r="F23" s="14">
        <f t="shared" si="2"/>
        <v>0</v>
      </c>
      <c r="G23" s="14">
        <f t="shared" si="1"/>
        <v>0</v>
      </c>
    </row>
    <row r="24" spans="1:7" ht="14.25" customHeight="1" x14ac:dyDescent="0.25">
      <c r="A24" s="328" t="s">
        <v>629</v>
      </c>
      <c r="B24" s="328"/>
      <c r="C24" s="328" t="s">
        <v>634</v>
      </c>
      <c r="D24" s="264">
        <v>0</v>
      </c>
      <c r="E24" s="251">
        <v>18.88</v>
      </c>
      <c r="F24" s="14">
        <f t="shared" si="2"/>
        <v>0</v>
      </c>
      <c r="G24" s="14">
        <f t="shared" si="1"/>
        <v>0</v>
      </c>
    </row>
    <row r="25" spans="1:7" ht="14.25" customHeight="1" x14ac:dyDescent="0.25">
      <c r="A25" s="328" t="s">
        <v>630</v>
      </c>
      <c r="B25" s="328"/>
      <c r="C25" s="328" t="s">
        <v>633</v>
      </c>
      <c r="D25" s="264">
        <v>0</v>
      </c>
      <c r="E25" s="251">
        <v>47.14</v>
      </c>
      <c r="F25" s="14">
        <f t="shared" si="2"/>
        <v>0</v>
      </c>
      <c r="G25" s="14">
        <f t="shared" si="1"/>
        <v>0</v>
      </c>
    </row>
    <row r="26" spans="1:7" ht="14.25" customHeight="1" x14ac:dyDescent="0.25">
      <c r="A26" s="328" t="s">
        <v>630</v>
      </c>
      <c r="B26" s="328"/>
      <c r="C26" s="328" t="s">
        <v>631</v>
      </c>
      <c r="D26" s="264">
        <v>0</v>
      </c>
      <c r="E26" s="251">
        <v>27.73</v>
      </c>
      <c r="F26" s="14">
        <f t="shared" si="2"/>
        <v>0</v>
      </c>
      <c r="G26" s="14">
        <f t="shared" si="1"/>
        <v>0</v>
      </c>
    </row>
    <row r="27" spans="1:7" ht="14.25" customHeight="1" x14ac:dyDescent="0.25">
      <c r="A27" s="32" t="s">
        <v>378</v>
      </c>
      <c r="B27" s="32"/>
      <c r="C27" s="32">
        <v>100619</v>
      </c>
      <c r="D27" s="264">
        <v>0</v>
      </c>
      <c r="E27" s="251">
        <v>79.98</v>
      </c>
      <c r="F27" s="14">
        <f t="shared" si="2"/>
        <v>0</v>
      </c>
      <c r="G27" s="14">
        <f t="shared" si="1"/>
        <v>0</v>
      </c>
    </row>
    <row r="28" spans="1:7" ht="14.25" customHeight="1" x14ac:dyDescent="0.25">
      <c r="A28" s="32" t="s">
        <v>379</v>
      </c>
      <c r="B28" s="32"/>
      <c r="C28" s="32">
        <v>287027</v>
      </c>
      <c r="D28" s="264">
        <v>0</v>
      </c>
      <c r="E28" s="251">
        <v>50.48</v>
      </c>
      <c r="F28" s="14">
        <f t="shared" si="2"/>
        <v>0</v>
      </c>
      <c r="G28" s="14">
        <f t="shared" si="1"/>
        <v>0</v>
      </c>
    </row>
    <row r="29" spans="1:7" ht="14.25" customHeight="1" x14ac:dyDescent="0.25">
      <c r="A29" s="32"/>
      <c r="B29" s="32"/>
      <c r="C29" s="32"/>
      <c r="D29" s="264"/>
      <c r="E29" s="251"/>
    </row>
    <row r="30" spans="1:7" ht="14.25" customHeight="1" x14ac:dyDescent="0.25">
      <c r="A30" s="32" t="s">
        <v>380</v>
      </c>
      <c r="B30" s="32"/>
      <c r="C30" s="32" t="s">
        <v>613</v>
      </c>
      <c r="D30" s="264">
        <v>0</v>
      </c>
      <c r="E30" s="251">
        <v>69.97</v>
      </c>
      <c r="F30" s="14">
        <f t="shared" si="2"/>
        <v>0</v>
      </c>
      <c r="G30" s="14">
        <f t="shared" si="1"/>
        <v>0</v>
      </c>
    </row>
    <row r="31" spans="1:7" ht="14.25" customHeight="1" x14ac:dyDescent="0.25">
      <c r="A31" s="32" t="s">
        <v>381</v>
      </c>
      <c r="B31" s="32"/>
      <c r="C31" s="32" t="s">
        <v>382</v>
      </c>
      <c r="D31" s="264">
        <v>0</v>
      </c>
      <c r="E31" s="251">
        <v>289</v>
      </c>
      <c r="F31" s="14">
        <f t="shared" si="2"/>
        <v>0</v>
      </c>
      <c r="G31" s="14">
        <f t="shared" si="1"/>
        <v>0</v>
      </c>
    </row>
    <row r="32" spans="1:7" ht="14.25" customHeight="1" x14ac:dyDescent="0.25">
      <c r="A32" s="32" t="s">
        <v>383</v>
      </c>
      <c r="B32" s="32"/>
      <c r="C32" s="32" t="s">
        <v>384</v>
      </c>
      <c r="D32" s="264">
        <v>1</v>
      </c>
      <c r="E32" s="251">
        <v>12.97</v>
      </c>
      <c r="F32" s="14">
        <f t="shared" si="2"/>
        <v>12.97</v>
      </c>
      <c r="G32" s="14">
        <f t="shared" si="1"/>
        <v>0.94032499999999997</v>
      </c>
    </row>
    <row r="33" spans="1:11" ht="14.25" customHeight="1" x14ac:dyDescent="0.25">
      <c r="A33" s="32" t="s">
        <v>385</v>
      </c>
      <c r="B33" s="32"/>
      <c r="C33" s="32"/>
      <c r="D33" s="264"/>
      <c r="E33" s="251"/>
      <c r="F33" s="14">
        <f t="shared" si="2"/>
        <v>0</v>
      </c>
      <c r="G33" s="14">
        <f t="shared" si="1"/>
        <v>0</v>
      </c>
    </row>
    <row r="34" spans="1:11" ht="14.25" customHeight="1" x14ac:dyDescent="0.25">
      <c r="A34" s="32" t="s">
        <v>386</v>
      </c>
      <c r="B34" s="32"/>
      <c r="C34" s="32">
        <v>30699285174</v>
      </c>
      <c r="D34" s="264">
        <v>0</v>
      </c>
      <c r="E34" s="251">
        <v>12.93</v>
      </c>
      <c r="F34" s="14">
        <f t="shared" si="2"/>
        <v>0</v>
      </c>
      <c r="G34" s="14">
        <f t="shared" si="1"/>
        <v>0</v>
      </c>
    </row>
    <row r="35" spans="1:11" ht="14.25" customHeight="1" x14ac:dyDescent="0.25">
      <c r="A35" s="32" t="s">
        <v>387</v>
      </c>
      <c r="B35" s="32"/>
      <c r="C35" s="292">
        <v>883351469845</v>
      </c>
      <c r="D35" s="264">
        <v>0</v>
      </c>
      <c r="E35" s="251">
        <v>47.97</v>
      </c>
      <c r="F35" s="14">
        <f t="shared" si="2"/>
        <v>0</v>
      </c>
      <c r="G35" s="14">
        <f t="shared" si="1"/>
        <v>0</v>
      </c>
    </row>
    <row r="36" spans="1:11" ht="14.25" customHeight="1" x14ac:dyDescent="0.25">
      <c r="A36" s="32" t="s">
        <v>388</v>
      </c>
      <c r="B36" s="32"/>
      <c r="C36" s="292">
        <v>883351891448</v>
      </c>
      <c r="D36" s="264">
        <v>0</v>
      </c>
      <c r="E36" s="251">
        <v>77.569999999999993</v>
      </c>
      <c r="F36" s="14">
        <f t="shared" si="2"/>
        <v>0</v>
      </c>
      <c r="G36" s="14">
        <f t="shared" si="1"/>
        <v>0</v>
      </c>
    </row>
    <row r="37" spans="1:11" ht="14.25" customHeight="1" thickBot="1" x14ac:dyDescent="0.3">
      <c r="A37" s="32" t="s">
        <v>389</v>
      </c>
      <c r="B37" s="32"/>
      <c r="C37" s="292">
        <v>883351396332</v>
      </c>
      <c r="D37" s="264">
        <v>0</v>
      </c>
      <c r="E37" s="251">
        <v>139</v>
      </c>
      <c r="F37" s="14">
        <f t="shared" si="2"/>
        <v>0</v>
      </c>
      <c r="G37" s="14">
        <f t="shared" si="1"/>
        <v>0</v>
      </c>
      <c r="H37" s="21"/>
    </row>
    <row r="38" spans="1:11" ht="14.25" customHeight="1" x14ac:dyDescent="0.25">
      <c r="A38" s="32"/>
      <c r="B38" s="32"/>
      <c r="C38" s="292"/>
      <c r="D38" s="294"/>
      <c r="E38" s="293"/>
      <c r="F38" s="14">
        <f>+D38*E38</f>
        <v>0</v>
      </c>
      <c r="H38" s="14">
        <f>IF(L2="no",SUM(F5:G37),0)</f>
        <v>2738.0603249999999</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16"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390</v>
      </c>
      <c r="B1" s="3"/>
    </row>
    <row r="2" spans="1:12" x14ac:dyDescent="0.25">
      <c r="C2" s="3"/>
      <c r="D2" s="8"/>
      <c r="E2" s="13"/>
      <c r="F2" s="13"/>
      <c r="G2" s="13"/>
      <c r="J2" s="817" t="s">
        <v>2</v>
      </c>
      <c r="K2" s="817" t="str">
        <f>IF(Profit!Q6,IF(L2,"Yes","No"),"No")</f>
        <v>No</v>
      </c>
      <c r="L2" s="821" t="b">
        <v>1</v>
      </c>
    </row>
    <row r="3" spans="1:12" ht="15.75" thickBot="1" x14ac:dyDescent="0.3">
      <c r="A3" s="31" t="s">
        <v>226</v>
      </c>
      <c r="B3" s="31" t="s">
        <v>339</v>
      </c>
      <c r="C3" s="31" t="s">
        <v>283</v>
      </c>
      <c r="D3" s="270" t="s">
        <v>284</v>
      </c>
      <c r="E3" s="271" t="s">
        <v>285</v>
      </c>
      <c r="F3" s="271" t="s">
        <v>272</v>
      </c>
      <c r="G3" s="271" t="s">
        <v>286</v>
      </c>
      <c r="J3" s="818"/>
      <c r="K3" s="818"/>
      <c r="L3" s="822"/>
    </row>
    <row r="4" spans="1:12" x14ac:dyDescent="0.25">
      <c r="A4" s="268"/>
      <c r="B4" s="268" t="s">
        <v>391</v>
      </c>
      <c r="C4" s="266">
        <v>0</v>
      </c>
      <c r="D4" s="269">
        <v>154</v>
      </c>
      <c r="E4" s="1">
        <f>C4*D4</f>
        <v>0</v>
      </c>
      <c r="F4" s="26">
        <f t="shared" ref="F4:F22" si="0">+E4*0.0725</f>
        <v>0</v>
      </c>
      <c r="G4" s="13"/>
    </row>
    <row r="5" spans="1:12" x14ac:dyDescent="0.25">
      <c r="A5" s="266" t="s">
        <v>392</v>
      </c>
      <c r="B5" s="266">
        <v>795984</v>
      </c>
      <c r="C5" s="264">
        <v>0</v>
      </c>
      <c r="D5" s="251">
        <v>144</v>
      </c>
      <c r="E5" s="1">
        <f>C5*D5</f>
        <v>0</v>
      </c>
      <c r="F5" s="26">
        <f t="shared" si="0"/>
        <v>0</v>
      </c>
    </row>
    <row r="6" spans="1:12" x14ac:dyDescent="0.25">
      <c r="A6" s="266" t="s">
        <v>393</v>
      </c>
      <c r="B6" s="266" t="s">
        <v>393</v>
      </c>
      <c r="C6" s="264">
        <v>0</v>
      </c>
      <c r="D6" s="251">
        <v>224</v>
      </c>
      <c r="E6" s="1">
        <f t="shared" ref="E6:E22" si="1">C6*D6</f>
        <v>0</v>
      </c>
      <c r="F6" s="26">
        <f t="shared" si="0"/>
        <v>0</v>
      </c>
    </row>
    <row r="7" spans="1:12" x14ac:dyDescent="0.25">
      <c r="A7" s="266" t="s">
        <v>394</v>
      </c>
      <c r="B7" s="266" t="s">
        <v>395</v>
      </c>
      <c r="C7" s="264">
        <v>0</v>
      </c>
      <c r="D7" s="251">
        <v>152</v>
      </c>
      <c r="E7" s="1">
        <f t="shared" si="1"/>
        <v>0</v>
      </c>
      <c r="F7" s="26">
        <f t="shared" si="0"/>
        <v>0</v>
      </c>
    </row>
    <row r="8" spans="1:12" x14ac:dyDescent="0.25">
      <c r="A8" s="266" t="s">
        <v>396</v>
      </c>
      <c r="B8" s="266" t="s">
        <v>397</v>
      </c>
      <c r="C8" s="264">
        <v>0</v>
      </c>
      <c r="D8" s="251">
        <v>50</v>
      </c>
      <c r="E8" s="1">
        <f t="shared" si="1"/>
        <v>0</v>
      </c>
      <c r="F8" s="26">
        <f t="shared" si="0"/>
        <v>0</v>
      </c>
    </row>
    <row r="9" spans="1:12" x14ac:dyDescent="0.25">
      <c r="A9" s="266" t="s">
        <v>398</v>
      </c>
      <c r="B9" s="266" t="s">
        <v>399</v>
      </c>
      <c r="C9" s="264">
        <v>0</v>
      </c>
      <c r="D9" s="251">
        <v>166</v>
      </c>
      <c r="E9" s="1">
        <f t="shared" si="1"/>
        <v>0</v>
      </c>
      <c r="F9" s="26">
        <f t="shared" si="0"/>
        <v>0</v>
      </c>
    </row>
    <row r="10" spans="1:12" x14ac:dyDescent="0.25">
      <c r="A10" s="266" t="s">
        <v>400</v>
      </c>
      <c r="B10" s="266" t="s">
        <v>401</v>
      </c>
      <c r="C10" s="264">
        <v>0</v>
      </c>
      <c r="D10" s="251">
        <v>104</v>
      </c>
      <c r="E10" s="1">
        <f t="shared" si="1"/>
        <v>0</v>
      </c>
      <c r="F10" s="26">
        <f t="shared" si="0"/>
        <v>0</v>
      </c>
    </row>
    <row r="11" spans="1:12" x14ac:dyDescent="0.25">
      <c r="A11" s="266" t="s">
        <v>402</v>
      </c>
      <c r="B11" s="266" t="s">
        <v>403</v>
      </c>
      <c r="C11" s="264">
        <v>0</v>
      </c>
      <c r="D11" s="251">
        <v>81.98</v>
      </c>
      <c r="E11" s="1">
        <f t="shared" si="1"/>
        <v>0</v>
      </c>
      <c r="F11" s="26">
        <f t="shared" si="0"/>
        <v>0</v>
      </c>
    </row>
    <row r="12" spans="1:12" x14ac:dyDescent="0.25">
      <c r="A12" s="266" t="s">
        <v>402</v>
      </c>
      <c r="B12" s="266" t="s">
        <v>404</v>
      </c>
      <c r="C12" s="264">
        <v>0</v>
      </c>
      <c r="D12" s="251">
        <v>143</v>
      </c>
      <c r="E12" s="1">
        <f t="shared" si="1"/>
        <v>0</v>
      </c>
      <c r="F12" s="26">
        <f t="shared" si="0"/>
        <v>0</v>
      </c>
    </row>
    <row r="13" spans="1:12" x14ac:dyDescent="0.25">
      <c r="A13" s="266" t="s">
        <v>402</v>
      </c>
      <c r="B13" s="266" t="s">
        <v>405</v>
      </c>
      <c r="C13" s="264">
        <v>0</v>
      </c>
      <c r="D13" s="251">
        <v>98.98</v>
      </c>
      <c r="E13" s="1">
        <f t="shared" si="1"/>
        <v>0</v>
      </c>
      <c r="F13" s="26">
        <f t="shared" si="0"/>
        <v>0</v>
      </c>
    </row>
    <row r="14" spans="1:12" x14ac:dyDescent="0.25">
      <c r="A14" s="266" t="s">
        <v>406</v>
      </c>
      <c r="B14" s="266" t="s">
        <v>407</v>
      </c>
      <c r="C14" s="264">
        <v>0</v>
      </c>
      <c r="D14" s="251">
        <v>165</v>
      </c>
      <c r="E14" s="1">
        <f t="shared" si="1"/>
        <v>0</v>
      </c>
      <c r="F14" s="26">
        <f t="shared" si="0"/>
        <v>0</v>
      </c>
    </row>
    <row r="15" spans="1:12" x14ac:dyDescent="0.25">
      <c r="A15" s="266" t="s">
        <v>408</v>
      </c>
      <c r="B15" s="266">
        <v>795984</v>
      </c>
      <c r="C15" s="264">
        <v>0</v>
      </c>
      <c r="D15" s="251">
        <v>144</v>
      </c>
      <c r="E15" s="1">
        <f t="shared" si="1"/>
        <v>0</v>
      </c>
      <c r="F15" s="26">
        <f t="shared" si="0"/>
        <v>0</v>
      </c>
    </row>
    <row r="16" spans="1:12" x14ac:dyDescent="0.25">
      <c r="A16" s="266"/>
      <c r="B16" s="266" t="s">
        <v>409</v>
      </c>
      <c r="C16" s="264">
        <v>0</v>
      </c>
      <c r="D16" s="251">
        <v>107</v>
      </c>
      <c r="E16" s="1">
        <f t="shared" si="1"/>
        <v>0</v>
      </c>
      <c r="F16" s="26">
        <f t="shared" si="0"/>
        <v>0</v>
      </c>
    </row>
    <row r="17" spans="1:10" x14ac:dyDescent="0.25">
      <c r="A17" s="266" t="s">
        <v>402</v>
      </c>
      <c r="B17" s="266" t="s">
        <v>410</v>
      </c>
      <c r="C17" s="264">
        <v>0</v>
      </c>
      <c r="D17" s="251">
        <v>112</v>
      </c>
      <c r="E17" s="1">
        <f t="shared" si="1"/>
        <v>0</v>
      </c>
      <c r="F17" s="26">
        <f t="shared" si="0"/>
        <v>0</v>
      </c>
    </row>
    <row r="18" spans="1:10" x14ac:dyDescent="0.25">
      <c r="A18" s="266" t="s">
        <v>411</v>
      </c>
      <c r="B18" s="266" t="s">
        <v>411</v>
      </c>
      <c r="C18" s="264">
        <v>0</v>
      </c>
      <c r="D18" s="251">
        <v>40.96</v>
      </c>
      <c r="E18" s="1">
        <f t="shared" si="1"/>
        <v>0</v>
      </c>
      <c r="F18" s="26">
        <f t="shared" si="0"/>
        <v>0</v>
      </c>
    </row>
    <row r="19" spans="1:10" x14ac:dyDescent="0.25">
      <c r="A19" s="266"/>
      <c r="B19" s="266" t="s">
        <v>412</v>
      </c>
      <c r="C19" s="264">
        <v>0</v>
      </c>
      <c r="D19" s="251">
        <v>18.28</v>
      </c>
      <c r="E19" s="1">
        <f t="shared" si="1"/>
        <v>0</v>
      </c>
      <c r="F19" s="26">
        <f t="shared" si="0"/>
        <v>0</v>
      </c>
    </row>
    <row r="20" spans="1:10" x14ac:dyDescent="0.25">
      <c r="A20" s="266" t="s">
        <v>616</v>
      </c>
      <c r="B20" s="266" t="s">
        <v>617</v>
      </c>
      <c r="C20" s="264">
        <v>0</v>
      </c>
      <c r="D20" s="251">
        <v>13.48</v>
      </c>
      <c r="E20" s="1">
        <f t="shared" si="1"/>
        <v>0</v>
      </c>
      <c r="F20" s="26">
        <f t="shared" si="0"/>
        <v>0</v>
      </c>
    </row>
    <row r="21" spans="1:10" x14ac:dyDescent="0.25">
      <c r="A21" s="266" t="s">
        <v>413</v>
      </c>
      <c r="B21" s="266"/>
      <c r="C21" s="264">
        <v>0</v>
      </c>
      <c r="D21" s="251">
        <v>0</v>
      </c>
      <c r="E21" s="1">
        <f t="shared" si="1"/>
        <v>0</v>
      </c>
      <c r="F21" s="26">
        <f t="shared" si="0"/>
        <v>0</v>
      </c>
    </row>
    <row r="22" spans="1:10" ht="15.75" thickBot="1" x14ac:dyDescent="0.3">
      <c r="A22" s="266" t="s">
        <v>414</v>
      </c>
      <c r="B22" s="266"/>
      <c r="C22" s="264">
        <v>0</v>
      </c>
      <c r="D22" s="251">
        <v>935.09</v>
      </c>
      <c r="E22" s="1">
        <f t="shared" si="1"/>
        <v>0</v>
      </c>
      <c r="F22" s="21">
        <f t="shared" si="0"/>
        <v>0</v>
      </c>
      <c r="G22" s="21"/>
    </row>
    <row r="23" spans="1:10" x14ac:dyDescent="0.25">
      <c r="G23" s="14">
        <f>+SUM(E4:E22)+SUM(F4:F22)</f>
        <v>0</v>
      </c>
      <c r="J23" s="1"/>
    </row>
    <row r="24" spans="1:10" x14ac:dyDescent="0.25">
      <c r="A24" s="32" t="s">
        <v>415</v>
      </c>
    </row>
    <row r="25" spans="1:10" x14ac:dyDescent="0.25">
      <c r="A25" s="3" t="s">
        <v>226</v>
      </c>
      <c r="B25" s="3" t="s">
        <v>339</v>
      </c>
      <c r="C25" s="3" t="s">
        <v>283</v>
      </c>
      <c r="D25" s="8" t="s">
        <v>284</v>
      </c>
      <c r="E25" s="13" t="s">
        <v>285</v>
      </c>
      <c r="F25" s="13"/>
      <c r="G25" s="13" t="s">
        <v>286</v>
      </c>
    </row>
    <row r="26" spans="1:10" x14ac:dyDescent="0.25">
      <c r="A26" s="148"/>
      <c r="B26" s="148" t="s">
        <v>416</v>
      </c>
      <c r="C26" s="264">
        <v>0</v>
      </c>
      <c r="D26" s="251">
        <v>2000</v>
      </c>
      <c r="E26" s="1">
        <f>C26*D26</f>
        <v>0</v>
      </c>
      <c r="F26" s="26">
        <f>+E26*0.0725</f>
        <v>0</v>
      </c>
    </row>
    <row r="27" spans="1:10" x14ac:dyDescent="0.25">
      <c r="A27" s="148"/>
      <c r="B27" s="148" t="s">
        <v>417</v>
      </c>
      <c r="C27" s="264">
        <v>0</v>
      </c>
      <c r="D27" s="251">
        <v>0</v>
      </c>
      <c r="E27" s="1">
        <f>C27*D27</f>
        <v>0</v>
      </c>
      <c r="F27" s="26">
        <f>+E27*0.0725</f>
        <v>0</v>
      </c>
    </row>
    <row r="28" spans="1:10" x14ac:dyDescent="0.25">
      <c r="A28" s="148"/>
      <c r="B28" s="148" t="s">
        <v>418</v>
      </c>
      <c r="C28" s="264">
        <v>0</v>
      </c>
      <c r="D28" s="251">
        <v>0</v>
      </c>
      <c r="E28" s="1">
        <f>C28*D28</f>
        <v>0</v>
      </c>
      <c r="F28" s="26">
        <f>+E28*0.0725</f>
        <v>0</v>
      </c>
    </row>
    <row r="29" spans="1:10" x14ac:dyDescent="0.25">
      <c r="A29" s="28" t="s">
        <v>627</v>
      </c>
      <c r="B29" s="148"/>
      <c r="C29" s="264">
        <v>0</v>
      </c>
      <c r="D29" s="251">
        <v>8800</v>
      </c>
      <c r="E29" s="1">
        <f>C29*D29</f>
        <v>0</v>
      </c>
      <c r="F29" s="26">
        <f>+E29*0.0725</f>
        <v>0</v>
      </c>
    </row>
    <row r="30" spans="1:10" x14ac:dyDescent="0.25">
      <c r="A30" s="148"/>
      <c r="B30" s="148"/>
      <c r="C30" s="264">
        <v>0</v>
      </c>
      <c r="D30" s="251">
        <v>0</v>
      </c>
      <c r="E30" s="1">
        <f>C30*D30</f>
        <v>0</v>
      </c>
      <c r="F30" s="26">
        <f>+E30*0.0725</f>
        <v>0</v>
      </c>
    </row>
    <row r="31" spans="1:10" ht="15.75" thickBot="1" x14ac:dyDescent="0.3">
      <c r="E31" s="21"/>
      <c r="F31" s="21"/>
      <c r="G31" s="21"/>
    </row>
    <row r="32" spans="1:10" x14ac:dyDescent="0.25">
      <c r="G32" s="14">
        <f>+SUM(E26:E31)+SUM(F26:F31)</f>
        <v>0</v>
      </c>
    </row>
    <row r="34" spans="1:10" x14ac:dyDescent="0.25">
      <c r="A34" s="32" t="s">
        <v>419</v>
      </c>
    </row>
    <row r="35" spans="1:10" x14ac:dyDescent="0.25">
      <c r="A35" s="3" t="s">
        <v>226</v>
      </c>
      <c r="B35" s="3" t="s">
        <v>339</v>
      </c>
      <c r="C35" s="3" t="s">
        <v>283</v>
      </c>
      <c r="D35" s="8" t="s">
        <v>284</v>
      </c>
      <c r="E35" s="13" t="s">
        <v>285</v>
      </c>
      <c r="F35" s="13"/>
      <c r="G35" s="13" t="s">
        <v>286</v>
      </c>
    </row>
    <row r="36" spans="1:10" x14ac:dyDescent="0.25">
      <c r="A36" s="268" t="s">
        <v>420</v>
      </c>
      <c r="B36" s="268"/>
      <c r="C36" s="268">
        <v>0</v>
      </c>
      <c r="D36" s="269">
        <v>1100</v>
      </c>
      <c r="E36" s="14">
        <f t="shared" ref="E36:E41" si="2">+C36*D36</f>
        <v>0</v>
      </c>
      <c r="F36" s="26">
        <f t="shared" ref="F36:F41" si="3">+E36*0.0725</f>
        <v>0</v>
      </c>
      <c r="G36" s="13"/>
    </row>
    <row r="37" spans="1:10" x14ac:dyDescent="0.25">
      <c r="A37" s="148" t="s">
        <v>421</v>
      </c>
      <c r="B37" s="148">
        <v>400390</v>
      </c>
      <c r="C37" s="264">
        <v>0</v>
      </c>
      <c r="D37" s="251">
        <v>2.0499999999999998</v>
      </c>
      <c r="E37" s="14">
        <f t="shared" si="2"/>
        <v>0</v>
      </c>
      <c r="F37" s="26">
        <f t="shared" si="3"/>
        <v>0</v>
      </c>
    </row>
    <row r="38" spans="1:10" x14ac:dyDescent="0.25">
      <c r="A38" s="148" t="s">
        <v>422</v>
      </c>
      <c r="B38" s="148">
        <v>376787</v>
      </c>
      <c r="C38" s="264">
        <v>0</v>
      </c>
      <c r="D38" s="251">
        <v>4.9800000000000004</v>
      </c>
      <c r="E38" s="14">
        <f t="shared" si="2"/>
        <v>0</v>
      </c>
      <c r="F38" s="26">
        <f t="shared" si="3"/>
        <v>0</v>
      </c>
    </row>
    <row r="39" spans="1:10" x14ac:dyDescent="0.25">
      <c r="A39" s="148" t="s">
        <v>151</v>
      </c>
      <c r="B39" s="148" t="s">
        <v>151</v>
      </c>
      <c r="C39" s="264">
        <v>0</v>
      </c>
      <c r="D39" s="251">
        <v>0</v>
      </c>
      <c r="E39" s="14">
        <f t="shared" si="2"/>
        <v>0</v>
      </c>
      <c r="F39" s="26">
        <f t="shared" si="3"/>
        <v>0</v>
      </c>
    </row>
    <row r="40" spans="1:10" x14ac:dyDescent="0.25">
      <c r="A40" s="148" t="s">
        <v>423</v>
      </c>
      <c r="B40" s="148">
        <v>2280072</v>
      </c>
      <c r="C40" s="264">
        <v>0</v>
      </c>
      <c r="D40" s="251">
        <v>18.97</v>
      </c>
      <c r="E40" s="14">
        <f t="shared" si="2"/>
        <v>0</v>
      </c>
      <c r="F40" s="26">
        <f t="shared" si="3"/>
        <v>0</v>
      </c>
    </row>
    <row r="41" spans="1:10" ht="15.75" thickBot="1" x14ac:dyDescent="0.3">
      <c r="A41" s="148" t="s">
        <v>424</v>
      </c>
      <c r="B41" s="148">
        <v>1000707539</v>
      </c>
      <c r="C41" s="264">
        <v>0</v>
      </c>
      <c r="D41" s="251">
        <v>1.98</v>
      </c>
      <c r="E41" s="21">
        <f t="shared" si="2"/>
        <v>0</v>
      </c>
      <c r="F41" s="21">
        <f t="shared" si="3"/>
        <v>0</v>
      </c>
      <c r="G41" s="21"/>
    </row>
    <row r="42" spans="1:10" x14ac:dyDescent="0.25">
      <c r="G42" s="14">
        <f>+SUM(E36:E41)+SUM(F36:F41)</f>
        <v>0</v>
      </c>
    </row>
    <row r="43" spans="1:10" ht="15.75" thickBot="1" x14ac:dyDescent="0.3">
      <c r="H43" s="21"/>
      <c r="J43" s="3" t="s">
        <v>151</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O51"/>
  <sheetViews>
    <sheetView workbookViewId="0">
      <pane ySplit="2" topLeftCell="A6" activePane="bottomLeft" state="frozen"/>
      <selection pane="bottomLeft" activeCell="N13" sqref="N13"/>
    </sheetView>
  </sheetViews>
  <sheetFormatPr defaultRowHeight="15" x14ac:dyDescent="0.25"/>
  <cols>
    <col min="1" max="1" width="17.42578125" bestFit="1" customWidth="1"/>
    <col min="2" max="2" width="51.85546875" style="2" customWidth="1"/>
    <col min="3" max="3" width="26.42578125" style="2" bestFit="1" customWidth="1"/>
    <col min="4" max="4" width="6.28515625" style="2" customWidth="1"/>
    <col min="5" max="5" width="21.5703125" style="2" bestFit="1" customWidth="1"/>
    <col min="6" max="6" width="5.5703125" style="2" bestFit="1" customWidth="1"/>
    <col min="7" max="7" width="10.140625" bestFit="1" customWidth="1"/>
    <col min="8" max="8" width="11.140625" style="5" bestFit="1" customWidth="1"/>
    <col min="9" max="9" width="9.140625" style="5" customWidth="1"/>
    <col min="10" max="10" width="9.140625" style="1"/>
    <col min="11" max="11" width="12.7109375" bestFit="1" customWidth="1"/>
  </cols>
  <sheetData>
    <row r="1" spans="1:13" x14ac:dyDescent="0.25">
      <c r="B1" s="32" t="s">
        <v>214</v>
      </c>
      <c r="C1" s="32"/>
      <c r="D1" s="32"/>
      <c r="K1" s="817" t="s">
        <v>2</v>
      </c>
      <c r="L1" s="817" t="str">
        <f>IF(Profit!Q6,IF(M1,"Yes","No"),"No")</f>
        <v>No</v>
      </c>
      <c r="M1" s="821" t="b">
        <v>1</v>
      </c>
    </row>
    <row r="2" spans="1:13" s="3" customFormat="1" ht="15.75" thickBot="1" x14ac:dyDescent="0.3">
      <c r="B2" s="3" t="s">
        <v>226</v>
      </c>
      <c r="C2" s="3" t="s">
        <v>601</v>
      </c>
      <c r="D2" s="3" t="s">
        <v>425</v>
      </c>
      <c r="E2" s="3" t="s">
        <v>244</v>
      </c>
      <c r="F2" s="3" t="s">
        <v>197</v>
      </c>
      <c r="G2" s="8" t="s">
        <v>284</v>
      </c>
      <c r="H2" s="6" t="s">
        <v>285</v>
      </c>
      <c r="I2" s="13" t="s">
        <v>272</v>
      </c>
      <c r="J2" s="3" t="s">
        <v>286</v>
      </c>
      <c r="K2" s="818"/>
      <c r="L2" s="818"/>
      <c r="M2" s="822"/>
    </row>
    <row r="3" spans="1:13" s="3" customFormat="1" x14ac:dyDescent="0.25">
      <c r="A3" s="444"/>
      <c r="B3" s="444" t="s">
        <v>707</v>
      </c>
      <c r="C3" s="444"/>
      <c r="D3" s="451">
        <f>+Profit!K9</f>
        <v>2058</v>
      </c>
      <c r="E3" s="444"/>
      <c r="F3" s="444"/>
      <c r="G3" s="445"/>
      <c r="H3" s="455"/>
      <c r="I3" s="446"/>
      <c r="K3"/>
      <c r="L3"/>
      <c r="M3" s="5"/>
    </row>
    <row r="4" spans="1:13" s="3" customFormat="1" x14ac:dyDescent="0.25">
      <c r="A4" s="439" t="s">
        <v>426</v>
      </c>
      <c r="B4" s="439" t="s">
        <v>427</v>
      </c>
      <c r="C4" s="439"/>
      <c r="D4" s="439"/>
      <c r="E4" s="439" t="s">
        <v>428</v>
      </c>
      <c r="F4" s="453">
        <v>8.0000000000000002E-3</v>
      </c>
      <c r="G4" s="447">
        <v>68.540000000000006</v>
      </c>
      <c r="H4" s="447">
        <f>G4*F4*$D$3</f>
        <v>1128.44256</v>
      </c>
      <c r="I4" s="448">
        <f>+H4*0.0725</f>
        <v>81.812085599999989</v>
      </c>
      <c r="K4"/>
      <c r="L4"/>
      <c r="M4" s="5"/>
    </row>
    <row r="5" spans="1:13" s="3" customFormat="1" x14ac:dyDescent="0.25">
      <c r="A5" s="439" t="s">
        <v>597</v>
      </c>
      <c r="B5" s="439" t="s">
        <v>589</v>
      </c>
      <c r="C5" s="439"/>
      <c r="D5" s="439"/>
      <c r="E5" s="439" t="s">
        <v>590</v>
      </c>
      <c r="F5" s="453">
        <v>4.0000000000000001E-3</v>
      </c>
      <c r="G5" s="447">
        <v>33.99</v>
      </c>
      <c r="H5" s="447">
        <f>G5*F5*$D$3</f>
        <v>279.80568</v>
      </c>
      <c r="I5" s="448">
        <f>+H5*0.0725</f>
        <v>20.285911799999997</v>
      </c>
      <c r="K5"/>
      <c r="L5"/>
      <c r="M5" s="5"/>
    </row>
    <row r="6" spans="1:13" s="3" customFormat="1" x14ac:dyDescent="0.25">
      <c r="A6" s="439" t="s">
        <v>598</v>
      </c>
      <c r="B6" s="439" t="s">
        <v>433</v>
      </c>
      <c r="C6" s="439"/>
      <c r="D6" s="439"/>
      <c r="E6" s="439">
        <v>185342</v>
      </c>
      <c r="F6" s="453">
        <f>10/2526</f>
        <v>3.95882818685669E-3</v>
      </c>
      <c r="G6" s="440">
        <f>147/5</f>
        <v>29.4</v>
      </c>
      <c r="H6" s="447">
        <f>G6*F6*$D$3</f>
        <v>239.5296912114014</v>
      </c>
      <c r="I6" s="448">
        <f>+H6*0.0725</f>
        <v>17.365902612826599</v>
      </c>
      <c r="K6"/>
      <c r="L6"/>
      <c r="M6" s="5"/>
    </row>
    <row r="7" spans="1:13" x14ac:dyDescent="0.25">
      <c r="A7" s="439" t="s">
        <v>599</v>
      </c>
      <c r="B7" s="439" t="s">
        <v>435</v>
      </c>
      <c r="C7" s="439"/>
      <c r="D7" s="439"/>
      <c r="E7" s="439">
        <v>985007</v>
      </c>
      <c r="F7" s="453">
        <f>3/2526</f>
        <v>1.1876484560570072E-3</v>
      </c>
      <c r="G7" s="447">
        <v>52.23</v>
      </c>
      <c r="H7" s="447">
        <f>G7*F7*$D$3</f>
        <v>127.6595486935867</v>
      </c>
      <c r="I7" s="448">
        <f>+H7*0.0725</f>
        <v>9.2553172802850359</v>
      </c>
      <c r="J7"/>
    </row>
    <row r="8" spans="1:13" x14ac:dyDescent="0.25">
      <c r="A8" s="439" t="s">
        <v>448</v>
      </c>
      <c r="B8" s="439"/>
      <c r="C8" s="439"/>
      <c r="D8" s="451">
        <f>+$D$3</f>
        <v>2058</v>
      </c>
      <c r="E8" s="439" t="s">
        <v>450</v>
      </c>
      <c r="F8" s="454">
        <v>5.1528384279475983</v>
      </c>
      <c r="G8" s="447">
        <v>2.41</v>
      </c>
      <c r="H8" s="447">
        <f>F8*$D$3</f>
        <v>10604.541484716157</v>
      </c>
      <c r="I8" s="452"/>
      <c r="J8"/>
    </row>
    <row r="9" spans="1:13" s="3" customFormat="1" x14ac:dyDescent="0.25">
      <c r="F9" s="815" t="s">
        <v>713</v>
      </c>
      <c r="G9" s="816"/>
      <c r="H9" s="816"/>
      <c r="I9" s="30"/>
      <c r="J9" s="1">
        <f>IF(L1="Yes",SUM(H4:H8)+SUM(I4:I8),0)</f>
        <v>0</v>
      </c>
      <c r="K9"/>
      <c r="L9"/>
      <c r="M9" s="5"/>
    </row>
    <row r="10" spans="1:13" s="3" customFormat="1" x14ac:dyDescent="0.25">
      <c r="K10"/>
      <c r="L10"/>
      <c r="M10" s="5"/>
    </row>
    <row r="11" spans="1:13" s="3" customFormat="1" x14ac:dyDescent="0.25">
      <c r="A11" t="s">
        <v>426</v>
      </c>
      <c r="C11" s="32"/>
      <c r="K11"/>
      <c r="L11"/>
      <c r="M11" s="5"/>
    </row>
    <row r="12" spans="1:13" x14ac:dyDescent="0.25">
      <c r="B12" s="148" t="s">
        <v>427</v>
      </c>
      <c r="C12" s="148"/>
      <c r="E12" s="148" t="s">
        <v>428</v>
      </c>
      <c r="F12" s="264">
        <v>0</v>
      </c>
      <c r="G12" s="251">
        <v>68.540000000000006</v>
      </c>
      <c r="H12" s="5">
        <f t="shared" ref="H12:H18" si="0">+F12*G12</f>
        <v>0</v>
      </c>
      <c r="I12" s="26">
        <f t="shared" ref="I12:I18" si="1">+H12*0.0725</f>
        <v>0</v>
      </c>
      <c r="J12"/>
      <c r="M12" s="5"/>
    </row>
    <row r="13" spans="1:13" x14ac:dyDescent="0.25">
      <c r="B13" s="148" t="s">
        <v>605</v>
      </c>
      <c r="C13" s="148" t="s">
        <v>606</v>
      </c>
      <c r="E13" s="148" t="s">
        <v>604</v>
      </c>
      <c r="F13" s="264">
        <v>0</v>
      </c>
      <c r="G13" s="251">
        <f>35.99*5</f>
        <v>179.95000000000002</v>
      </c>
      <c r="H13" s="5">
        <f t="shared" si="0"/>
        <v>0</v>
      </c>
      <c r="I13" s="26">
        <f t="shared" si="1"/>
        <v>0</v>
      </c>
      <c r="J13"/>
      <c r="M13" s="5"/>
    </row>
    <row r="14" spans="1:13" x14ac:dyDescent="0.25">
      <c r="B14" s="148" t="s">
        <v>605</v>
      </c>
      <c r="C14" s="148" t="s">
        <v>607</v>
      </c>
      <c r="E14" s="148" t="s">
        <v>604</v>
      </c>
      <c r="F14" s="264">
        <v>0</v>
      </c>
      <c r="G14" s="251">
        <f>35.99*5</f>
        <v>179.95000000000002</v>
      </c>
      <c r="H14" s="5">
        <f t="shared" si="0"/>
        <v>0</v>
      </c>
      <c r="I14" s="26">
        <f t="shared" si="1"/>
        <v>0</v>
      </c>
      <c r="J14"/>
      <c r="M14" s="5"/>
    </row>
    <row r="15" spans="1:13" x14ac:dyDescent="0.25">
      <c r="B15" s="148" t="s">
        <v>427</v>
      </c>
      <c r="C15" s="148"/>
      <c r="E15" s="148" t="s">
        <v>429</v>
      </c>
      <c r="F15" s="264">
        <v>0</v>
      </c>
      <c r="G15" s="251">
        <v>85.89</v>
      </c>
      <c r="H15" s="5">
        <f t="shared" si="0"/>
        <v>0</v>
      </c>
      <c r="I15" s="26">
        <f t="shared" si="1"/>
        <v>0</v>
      </c>
      <c r="J15"/>
    </row>
    <row r="16" spans="1:13" x14ac:dyDescent="0.25">
      <c r="A16" t="s">
        <v>597</v>
      </c>
      <c r="B16" s="148"/>
      <c r="C16" s="148"/>
      <c r="E16" s="148"/>
      <c r="F16" s="264"/>
      <c r="G16" s="251"/>
      <c r="H16" s="5">
        <f t="shared" si="0"/>
        <v>0</v>
      </c>
      <c r="I16" s="26">
        <f t="shared" si="1"/>
        <v>0</v>
      </c>
      <c r="J16"/>
    </row>
    <row r="17" spans="1:10" x14ac:dyDescent="0.25">
      <c r="B17" s="148" t="s">
        <v>594</v>
      </c>
      <c r="C17" s="148"/>
      <c r="E17" s="148" t="s">
        <v>430</v>
      </c>
      <c r="F17" s="264">
        <v>0</v>
      </c>
      <c r="G17" s="251">
        <v>109.95</v>
      </c>
      <c r="H17" s="5">
        <f t="shared" si="0"/>
        <v>0</v>
      </c>
      <c r="I17" s="26">
        <f t="shared" si="1"/>
        <v>0</v>
      </c>
      <c r="J17"/>
    </row>
    <row r="18" spans="1:10" x14ac:dyDescent="0.25">
      <c r="B18" s="148" t="s">
        <v>431</v>
      </c>
      <c r="C18" s="148"/>
      <c r="E18" s="148" t="s">
        <v>432</v>
      </c>
      <c r="F18" s="264">
        <v>0</v>
      </c>
      <c r="G18" s="251">
        <v>65.64</v>
      </c>
      <c r="H18" s="5">
        <f t="shared" si="0"/>
        <v>0</v>
      </c>
      <c r="I18" s="26">
        <f t="shared" si="1"/>
        <v>0</v>
      </c>
      <c r="J18"/>
    </row>
    <row r="20" spans="1:10" x14ac:dyDescent="0.25">
      <c r="J20"/>
    </row>
    <row r="21" spans="1:10" x14ac:dyDescent="0.25">
      <c r="B21" s="148" t="s">
        <v>591</v>
      </c>
      <c r="C21" s="148"/>
      <c r="E21" s="148" t="s">
        <v>590</v>
      </c>
      <c r="F21" s="264"/>
      <c r="G21" s="251">
        <v>33.99</v>
      </c>
      <c r="H21" s="5">
        <f>+F21*G21</f>
        <v>0</v>
      </c>
      <c r="I21" s="26">
        <f>+H21*0.0725</f>
        <v>0</v>
      </c>
      <c r="J21"/>
    </row>
    <row r="22" spans="1:10" x14ac:dyDescent="0.25">
      <c r="B22" s="148" t="s">
        <v>589</v>
      </c>
      <c r="C22" s="148"/>
      <c r="E22" s="148" t="s">
        <v>590</v>
      </c>
      <c r="F22" s="264"/>
      <c r="G22" s="251">
        <v>33.99</v>
      </c>
      <c r="H22" s="5">
        <f t="shared" ref="H22:H31" si="2">+F22*G22</f>
        <v>0</v>
      </c>
      <c r="I22" s="26">
        <f t="shared" ref="I22:I31" si="3">+H22*0.0725</f>
        <v>0</v>
      </c>
      <c r="J22"/>
    </row>
    <row r="23" spans="1:10" x14ac:dyDescent="0.25">
      <c r="A23" t="s">
        <v>598</v>
      </c>
      <c r="B23" s="148" t="s">
        <v>433</v>
      </c>
      <c r="C23" s="148"/>
      <c r="E23" s="148">
        <v>185342</v>
      </c>
      <c r="F23" s="264"/>
      <c r="G23" s="264">
        <f>147/5</f>
        <v>29.4</v>
      </c>
      <c r="H23" s="5">
        <f t="shared" si="2"/>
        <v>0</v>
      </c>
      <c r="I23" s="26">
        <f t="shared" si="3"/>
        <v>0</v>
      </c>
      <c r="J23"/>
    </row>
    <row r="24" spans="1:10" x14ac:dyDescent="0.25">
      <c r="B24" s="148" t="s">
        <v>592</v>
      </c>
      <c r="C24" s="148"/>
      <c r="E24" s="148" t="s">
        <v>593</v>
      </c>
      <c r="F24" s="264">
        <v>0</v>
      </c>
      <c r="G24" s="251">
        <f>5*25.79</f>
        <v>128.94999999999999</v>
      </c>
      <c r="H24" s="5">
        <f t="shared" si="2"/>
        <v>0</v>
      </c>
      <c r="I24" s="26">
        <f t="shared" si="3"/>
        <v>0</v>
      </c>
      <c r="J24"/>
    </row>
    <row r="25" spans="1:10" x14ac:dyDescent="0.25">
      <c r="A25" t="s">
        <v>599</v>
      </c>
      <c r="B25" s="148"/>
      <c r="C25" s="148"/>
      <c r="E25" s="148"/>
      <c r="F25" s="264"/>
      <c r="G25" s="251"/>
      <c r="H25" s="5">
        <f t="shared" si="2"/>
        <v>0</v>
      </c>
      <c r="I25" s="26">
        <f t="shared" si="3"/>
        <v>0</v>
      </c>
      <c r="J25"/>
    </row>
    <row r="26" spans="1:10" x14ac:dyDescent="0.25">
      <c r="B26" s="148" t="s">
        <v>595</v>
      </c>
      <c r="C26" s="148"/>
      <c r="E26" s="148" t="s">
        <v>596</v>
      </c>
      <c r="F26" s="264">
        <v>0</v>
      </c>
      <c r="G26" s="251">
        <f>5*63.05</f>
        <v>315.25</v>
      </c>
      <c r="H26" s="5">
        <f t="shared" si="2"/>
        <v>0</v>
      </c>
      <c r="I26" s="26">
        <f t="shared" si="3"/>
        <v>0</v>
      </c>
      <c r="J26"/>
    </row>
    <row r="27" spans="1:10" x14ac:dyDescent="0.25">
      <c r="B27" s="148" t="s">
        <v>434</v>
      </c>
      <c r="C27" s="148"/>
      <c r="E27" s="148">
        <v>389832</v>
      </c>
      <c r="F27" s="264">
        <v>0</v>
      </c>
      <c r="G27" s="251">
        <v>39.979999999999997</v>
      </c>
      <c r="H27" s="5">
        <f t="shared" si="2"/>
        <v>0</v>
      </c>
      <c r="I27" s="26">
        <f t="shared" si="3"/>
        <v>0</v>
      </c>
      <c r="J27"/>
    </row>
    <row r="28" spans="1:10" x14ac:dyDescent="0.25">
      <c r="B28" s="148" t="s">
        <v>435</v>
      </c>
      <c r="C28" s="148"/>
      <c r="E28" s="148">
        <v>985007</v>
      </c>
      <c r="F28" s="264"/>
      <c r="G28" s="251">
        <v>52.23</v>
      </c>
      <c r="H28" s="5">
        <f t="shared" si="2"/>
        <v>0</v>
      </c>
      <c r="I28" s="26">
        <f t="shared" si="3"/>
        <v>0</v>
      </c>
      <c r="J28"/>
    </row>
    <row r="29" spans="1:10" x14ac:dyDescent="0.25">
      <c r="B29" s="148" t="s">
        <v>436</v>
      </c>
      <c r="C29" s="148"/>
      <c r="E29" s="148">
        <v>814917</v>
      </c>
      <c r="F29" s="264"/>
      <c r="G29" s="251">
        <f>109/5</f>
        <v>21.8</v>
      </c>
      <c r="H29" s="5">
        <f t="shared" si="2"/>
        <v>0</v>
      </c>
      <c r="I29" s="26">
        <f t="shared" si="3"/>
        <v>0</v>
      </c>
      <c r="J29"/>
    </row>
    <row r="30" spans="1:10" x14ac:dyDescent="0.25">
      <c r="B30" s="148" t="s">
        <v>437</v>
      </c>
      <c r="C30" s="148"/>
      <c r="E30" s="148" t="s">
        <v>438</v>
      </c>
      <c r="F30" s="264">
        <v>0</v>
      </c>
      <c r="G30" s="251">
        <v>40</v>
      </c>
      <c r="H30" s="5">
        <f t="shared" si="2"/>
        <v>0</v>
      </c>
      <c r="I30" s="26">
        <f t="shared" si="3"/>
        <v>0</v>
      </c>
      <c r="J30"/>
    </row>
    <row r="31" spans="1:10" x14ac:dyDescent="0.25">
      <c r="B31" s="2" t="s">
        <v>439</v>
      </c>
      <c r="E31" s="148" t="s">
        <v>440</v>
      </c>
      <c r="F31" s="264">
        <v>0</v>
      </c>
      <c r="G31" s="251">
        <v>50.24</v>
      </c>
      <c r="H31" s="5">
        <f t="shared" si="2"/>
        <v>0</v>
      </c>
      <c r="I31" s="26">
        <f t="shared" si="3"/>
        <v>0</v>
      </c>
    </row>
    <row r="32" spans="1:10" x14ac:dyDescent="0.25">
      <c r="A32" t="s">
        <v>390</v>
      </c>
      <c r="C32" s="32"/>
      <c r="D32" s="149">
        <v>0</v>
      </c>
      <c r="F32"/>
      <c r="G32" s="5"/>
      <c r="I32" s="1"/>
      <c r="J32"/>
    </row>
    <row r="33" spans="1:15" x14ac:dyDescent="0.25">
      <c r="B33" s="148" t="s">
        <v>609</v>
      </c>
      <c r="C33" s="148" t="s">
        <v>610</v>
      </c>
      <c r="D33" s="266"/>
      <c r="E33" s="148" t="s">
        <v>608</v>
      </c>
      <c r="F33" s="264">
        <v>0</v>
      </c>
      <c r="G33" s="251">
        <v>74.37</v>
      </c>
      <c r="H33" s="5">
        <f>+F33*G33</f>
        <v>0</v>
      </c>
      <c r="I33" s="26">
        <f>+H33*0.0725</f>
        <v>0</v>
      </c>
      <c r="J33"/>
    </row>
    <row r="34" spans="1:15" x14ac:dyDescent="0.25">
      <c r="B34" s="148" t="s">
        <v>441</v>
      </c>
      <c r="C34" s="148"/>
      <c r="E34" s="148"/>
      <c r="F34" s="264"/>
      <c r="G34" s="251"/>
      <c r="H34" s="5">
        <f>+F34*G34</f>
        <v>0</v>
      </c>
      <c r="I34" s="26">
        <f>+H34*0.0725</f>
        <v>0</v>
      </c>
      <c r="J34"/>
    </row>
    <row r="35" spans="1:15" x14ac:dyDescent="0.25">
      <c r="D35" s="190">
        <f>+D3</f>
        <v>2058</v>
      </c>
      <c r="F35"/>
      <c r="G35" s="5"/>
      <c r="I35" s="1"/>
      <c r="J35"/>
    </row>
    <row r="36" spans="1:15" x14ac:dyDescent="0.25">
      <c r="A36" t="s">
        <v>612</v>
      </c>
      <c r="C36" s="32"/>
      <c r="D36" s="149">
        <v>0</v>
      </c>
      <c r="F36"/>
      <c r="G36" s="5"/>
      <c r="I36" s="1"/>
      <c r="J36"/>
    </row>
    <row r="37" spans="1:15" x14ac:dyDescent="0.25">
      <c r="B37" s="148" t="s">
        <v>603</v>
      </c>
      <c r="C37" s="148" t="s">
        <v>602</v>
      </c>
      <c r="D37" s="266"/>
      <c r="E37" s="148" t="s">
        <v>600</v>
      </c>
      <c r="F37" s="264"/>
      <c r="G37" s="251">
        <v>55.99</v>
      </c>
      <c r="H37" s="5">
        <f>+F37*G37</f>
        <v>0</v>
      </c>
      <c r="I37" s="26">
        <f>+H37*0.0725</f>
        <v>0</v>
      </c>
      <c r="J37"/>
    </row>
    <row r="38" spans="1:15" x14ac:dyDescent="0.25">
      <c r="A38" t="s">
        <v>442</v>
      </c>
      <c r="C38" s="32"/>
      <c r="D38" s="149">
        <v>500</v>
      </c>
      <c r="F38" s="264"/>
      <c r="G38" s="251"/>
      <c r="H38" s="5">
        <f>+F38*G38</f>
        <v>0</v>
      </c>
      <c r="I38" s="26">
        <f>+H38*0.0725</f>
        <v>0</v>
      </c>
      <c r="J38"/>
    </row>
    <row r="39" spans="1:15" x14ac:dyDescent="0.25">
      <c r="B39" s="148" t="s">
        <v>443</v>
      </c>
      <c r="C39" s="148"/>
      <c r="E39" s="148" t="s">
        <v>444</v>
      </c>
      <c r="F39" s="264">
        <v>0</v>
      </c>
      <c r="G39" s="251">
        <v>47.98</v>
      </c>
      <c r="H39" s="5">
        <f>+F39*G39</f>
        <v>0</v>
      </c>
      <c r="I39" s="26">
        <f>+H39*0.0725</f>
        <v>0</v>
      </c>
      <c r="J39"/>
    </row>
    <row r="40" spans="1:15" x14ac:dyDescent="0.25">
      <c r="B40" s="2" t="s">
        <v>445</v>
      </c>
      <c r="E40" s="148" t="s">
        <v>446</v>
      </c>
      <c r="F40" s="264">
        <v>0</v>
      </c>
      <c r="G40" s="251">
        <v>48.98</v>
      </c>
      <c r="H40" s="5">
        <f>+F40*G40</f>
        <v>0</v>
      </c>
      <c r="I40" s="26">
        <f>+H40*0.0725</f>
        <v>0</v>
      </c>
      <c r="J40"/>
      <c r="K40" s="2"/>
    </row>
    <row r="41" spans="1:15" x14ac:dyDescent="0.25">
      <c r="F41" s="264">
        <v>0</v>
      </c>
      <c r="G41" s="251"/>
      <c r="H41" s="5">
        <f>+F41*G41</f>
        <v>0</v>
      </c>
      <c r="I41" s="26">
        <f>+H41*0.0725</f>
        <v>0</v>
      </c>
      <c r="K41" s="2"/>
    </row>
    <row r="42" spans="1:15" ht="15.75" thickBot="1" x14ac:dyDescent="0.3">
      <c r="F42"/>
      <c r="G42" s="5"/>
      <c r="H42" s="322"/>
      <c r="I42" s="267"/>
      <c r="J42" s="29"/>
    </row>
    <row r="43" spans="1:15" x14ac:dyDescent="0.25">
      <c r="F43" s="815" t="s">
        <v>447</v>
      </c>
      <c r="G43" s="816"/>
      <c r="H43" s="816"/>
      <c r="I43" s="30"/>
      <c r="J43" s="1">
        <f>IF($L$1="No",SUM(H12:H42)+SUM(I12:I42),0)</f>
        <v>0</v>
      </c>
      <c r="O43" s="2"/>
    </row>
    <row r="45" spans="1:15" x14ac:dyDescent="0.25">
      <c r="B45" s="2" t="s">
        <v>448</v>
      </c>
      <c r="F45"/>
      <c r="G45" s="5"/>
      <c r="H45" s="1"/>
      <c r="I45" s="1"/>
      <c r="J45"/>
    </row>
    <row r="46" spans="1:15" x14ac:dyDescent="0.25">
      <c r="B46" s="148" t="s">
        <v>449</v>
      </c>
      <c r="C46" s="148"/>
      <c r="D46" s="190">
        <f>+$D$3</f>
        <v>2058</v>
      </c>
      <c r="E46" s="148" t="s">
        <v>450</v>
      </c>
      <c r="F46" s="264">
        <v>0</v>
      </c>
      <c r="G46" s="251">
        <v>0</v>
      </c>
      <c r="H46" s="1">
        <f>IF(F46="yes",D46*#REF!,G46)</f>
        <v>0</v>
      </c>
      <c r="I46" s="1"/>
      <c r="J46"/>
    </row>
    <row r="47" spans="1:15" x14ac:dyDescent="0.25">
      <c r="B47" s="148" t="s">
        <v>448</v>
      </c>
      <c r="C47" s="148"/>
      <c r="D47" s="190">
        <v>200</v>
      </c>
      <c r="E47" s="148" t="s">
        <v>611</v>
      </c>
      <c r="F47" s="264">
        <v>0</v>
      </c>
      <c r="G47" s="251">
        <v>0</v>
      </c>
      <c r="H47" s="1">
        <f>IF(F47="yes",D47*#REF!,G47)</f>
        <v>0</v>
      </c>
      <c r="I47" s="1"/>
      <c r="J47"/>
    </row>
    <row r="48" spans="1:15" ht="15.75" thickBot="1" x14ac:dyDescent="0.3">
      <c r="B48" s="148" t="s">
        <v>448</v>
      </c>
      <c r="C48" s="148"/>
      <c r="D48" s="190">
        <f>+$D$3</f>
        <v>2058</v>
      </c>
      <c r="E48" s="148" t="s">
        <v>451</v>
      </c>
      <c r="F48" s="264">
        <v>0</v>
      </c>
      <c r="G48" s="251">
        <v>0</v>
      </c>
      <c r="H48" s="1">
        <f>IF(F48="yes",D48*#REF!,G48)</f>
        <v>0</v>
      </c>
      <c r="I48" s="1"/>
      <c r="J48" s="23"/>
      <c r="L48" s="3"/>
    </row>
    <row r="49" spans="6:12" x14ac:dyDescent="0.25">
      <c r="F49"/>
      <c r="G49" s="5"/>
      <c r="H49" s="1"/>
      <c r="I49" s="1"/>
      <c r="J49" s="1">
        <f>IF($L$1="No",SUM(H46:H48)+SUM(I46:I48),0)</f>
        <v>0</v>
      </c>
      <c r="L49" s="1"/>
    </row>
    <row r="50" spans="6:12" x14ac:dyDescent="0.25">
      <c r="F50"/>
      <c r="G50" s="5"/>
      <c r="H50" s="5" t="s">
        <v>714</v>
      </c>
      <c r="K50" s="1">
        <f>SUM(J9:J49)</f>
        <v>0</v>
      </c>
    </row>
    <row r="51" spans="6:12" x14ac:dyDescent="0.25">
      <c r="F51"/>
      <c r="G51" s="5"/>
    </row>
  </sheetData>
  <mergeCells count="5">
    <mergeCell ref="F43:H43"/>
    <mergeCell ref="K1:K2"/>
    <mergeCell ref="L1:L2"/>
    <mergeCell ref="M1:M2"/>
    <mergeCell ref="F9:H9"/>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J26" sqref="J26"/>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452</v>
      </c>
      <c r="B1" s="32"/>
      <c r="J1" s="817" t="s">
        <v>2</v>
      </c>
      <c r="K1" s="817" t="str">
        <f>IF(Profit!Q6,IF(L1,"Yes","No"),"No")</f>
        <v>No</v>
      </c>
      <c r="L1" s="821" t="b">
        <v>1</v>
      </c>
    </row>
    <row r="2" spans="1:12" s="3" customFormat="1" ht="15.75" thickBot="1" x14ac:dyDescent="0.3">
      <c r="A2" s="271" t="s">
        <v>226</v>
      </c>
      <c r="B2" s="271" t="s">
        <v>425</v>
      </c>
      <c r="C2" s="271" t="s">
        <v>244</v>
      </c>
      <c r="D2" s="271" t="s">
        <v>197</v>
      </c>
      <c r="E2" s="271" t="s">
        <v>284</v>
      </c>
      <c r="F2" s="271" t="s">
        <v>285</v>
      </c>
      <c r="G2" s="271" t="s">
        <v>272</v>
      </c>
      <c r="H2" s="271" t="s">
        <v>286</v>
      </c>
      <c r="J2" s="818"/>
      <c r="K2" s="818"/>
      <c r="L2" s="822"/>
    </row>
    <row r="3" spans="1:12" x14ac:dyDescent="0.25">
      <c r="A3" s="444" t="s">
        <v>707</v>
      </c>
      <c r="B3" s="451">
        <f>+Profit!K9</f>
        <v>2058</v>
      </c>
      <c r="C3" s="439"/>
      <c r="D3" s="440"/>
      <c r="E3" s="447"/>
      <c r="F3" s="452"/>
      <c r="G3" s="448"/>
      <c r="H3" s="440"/>
      <c r="J3" s="3"/>
    </row>
    <row r="4" spans="1:12" x14ac:dyDescent="0.25">
      <c r="A4" s="439" t="s">
        <v>453</v>
      </c>
      <c r="B4" s="451">
        <v>1000</v>
      </c>
      <c r="C4" s="439" t="s">
        <v>450</v>
      </c>
      <c r="D4" s="440">
        <v>0</v>
      </c>
      <c r="E4" s="447">
        <f>8146/2526</f>
        <v>3.2248614410134602</v>
      </c>
      <c r="F4" s="452">
        <f>B4*E4*D4</f>
        <v>0</v>
      </c>
      <c r="G4" s="448">
        <f>+F4*0.0725</f>
        <v>0</v>
      </c>
      <c r="H4" s="440"/>
      <c r="J4" s="3"/>
    </row>
    <row r="5" spans="1:12" ht="15.75" thickBot="1" x14ac:dyDescent="0.3">
      <c r="A5" s="439" t="s">
        <v>454</v>
      </c>
      <c r="B5" s="451">
        <f>+B3</f>
        <v>2058</v>
      </c>
      <c r="C5" s="439"/>
      <c r="D5" s="440">
        <v>1</v>
      </c>
      <c r="E5" s="447">
        <v>6.3751677852348996</v>
      </c>
      <c r="F5" s="452">
        <f>B5*E5*D5</f>
        <v>13120.095302013424</v>
      </c>
      <c r="G5" s="448">
        <f>+F5*0.0725</f>
        <v>951.20690939597318</v>
      </c>
      <c r="H5" s="426"/>
      <c r="J5" s="3"/>
    </row>
    <row r="6" spans="1:12" x14ac:dyDescent="0.25">
      <c r="A6" s="439"/>
      <c r="B6" s="451"/>
      <c r="C6" s="439"/>
      <c r="D6" s="440"/>
      <c r="E6" s="447"/>
      <c r="F6" s="452"/>
      <c r="G6" s="448"/>
      <c r="H6" s="441">
        <f>IF(K1="Yes",SUM(F4:G5),0)</f>
        <v>0</v>
      </c>
      <c r="J6" s="3"/>
    </row>
    <row r="7" spans="1:12" x14ac:dyDescent="0.25">
      <c r="B7" s="190"/>
      <c r="D7"/>
      <c r="E7" s="5"/>
      <c r="F7" s="1"/>
      <c r="G7" s="26"/>
      <c r="H7"/>
      <c r="J7" s="3"/>
    </row>
    <row r="8" spans="1:12" x14ac:dyDescent="0.25">
      <c r="A8" s="148" t="s">
        <v>453</v>
      </c>
      <c r="B8" s="205">
        <v>300</v>
      </c>
      <c r="C8" s="148" t="s">
        <v>450</v>
      </c>
      <c r="D8" s="264">
        <v>1</v>
      </c>
      <c r="E8" s="251">
        <f>8146/2526</f>
        <v>3.2248614410134602</v>
      </c>
      <c r="F8" s="452">
        <f t="shared" ref="F8:F20" si="0">B8*E8*D8</f>
        <v>967.45843230403807</v>
      </c>
      <c r="G8" s="26">
        <f t="shared" ref="G8:G20" si="1">+F8*0.0725</f>
        <v>70.140736342042757</v>
      </c>
      <c r="H8"/>
      <c r="I8" s="255"/>
    </row>
    <row r="9" spans="1:12" x14ac:dyDescent="0.25">
      <c r="A9" s="148" t="s">
        <v>552</v>
      </c>
      <c r="B9" s="205">
        <v>800</v>
      </c>
      <c r="C9" s="148"/>
      <c r="D9" s="264">
        <v>0</v>
      </c>
      <c r="E9" s="251">
        <v>6.22</v>
      </c>
      <c r="F9" s="452">
        <f t="shared" si="0"/>
        <v>0</v>
      </c>
      <c r="G9" s="26">
        <f t="shared" si="1"/>
        <v>0</v>
      </c>
      <c r="H9"/>
    </row>
    <row r="10" spans="1:12" x14ac:dyDescent="0.25">
      <c r="A10" s="148" t="s">
        <v>553</v>
      </c>
      <c r="B10" s="205">
        <v>1800</v>
      </c>
      <c r="C10" s="148"/>
      <c r="D10" s="264">
        <v>1</v>
      </c>
      <c r="E10" s="251">
        <v>3</v>
      </c>
      <c r="F10" s="452">
        <f t="shared" si="0"/>
        <v>5400</v>
      </c>
      <c r="G10" s="26">
        <f t="shared" si="1"/>
        <v>391.5</v>
      </c>
      <c r="H10"/>
    </row>
    <row r="11" spans="1:12" x14ac:dyDescent="0.25">
      <c r="A11" s="148"/>
      <c r="B11" s="205"/>
      <c r="C11" s="148"/>
      <c r="D11" s="264"/>
      <c r="E11" s="251"/>
      <c r="F11" s="452">
        <f t="shared" si="0"/>
        <v>0</v>
      </c>
      <c r="G11" s="26">
        <f t="shared" si="1"/>
        <v>0</v>
      </c>
      <c r="H11"/>
    </row>
    <row r="12" spans="1:12" x14ac:dyDescent="0.25">
      <c r="A12" s="148"/>
      <c r="B12" s="205"/>
      <c r="C12" s="148"/>
      <c r="D12" s="264"/>
      <c r="E12" s="251"/>
      <c r="F12" s="452">
        <f t="shared" si="0"/>
        <v>0</v>
      </c>
      <c r="G12" s="26">
        <f t="shared" si="1"/>
        <v>0</v>
      </c>
      <c r="H12"/>
    </row>
    <row r="13" spans="1:12" x14ac:dyDescent="0.25">
      <c r="A13" s="148"/>
      <c r="B13" s="205"/>
      <c r="C13" s="148"/>
      <c r="D13" s="264"/>
      <c r="E13" s="251"/>
      <c r="F13" s="452">
        <f t="shared" si="0"/>
        <v>0</v>
      </c>
      <c r="G13" s="26">
        <f t="shared" si="1"/>
        <v>0</v>
      </c>
      <c r="H13"/>
    </row>
    <row r="14" spans="1:12" x14ac:dyDescent="0.25">
      <c r="A14" s="148"/>
      <c r="B14" s="205"/>
      <c r="C14" s="148"/>
      <c r="D14" s="264"/>
      <c r="E14" s="251"/>
      <c r="F14" s="452">
        <f t="shared" si="0"/>
        <v>0</v>
      </c>
      <c r="G14" s="26">
        <f t="shared" si="1"/>
        <v>0</v>
      </c>
      <c r="H14"/>
    </row>
    <row r="15" spans="1:12" x14ac:dyDescent="0.25">
      <c r="A15" s="148"/>
      <c r="B15" s="205"/>
      <c r="C15" s="148"/>
      <c r="D15" s="264"/>
      <c r="E15" s="251"/>
      <c r="F15" s="452">
        <f t="shared" si="0"/>
        <v>0</v>
      </c>
      <c r="G15" s="26">
        <f t="shared" si="1"/>
        <v>0</v>
      </c>
      <c r="H15"/>
    </row>
    <row r="16" spans="1:12" x14ac:dyDescent="0.25">
      <c r="A16" s="148" t="s">
        <v>626</v>
      </c>
      <c r="B16" s="205"/>
      <c r="C16" s="148"/>
      <c r="D16" s="264">
        <v>0</v>
      </c>
      <c r="E16" s="251">
        <v>0</v>
      </c>
      <c r="F16" s="452">
        <f t="shared" si="0"/>
        <v>0</v>
      </c>
      <c r="G16" s="26">
        <f t="shared" si="1"/>
        <v>0</v>
      </c>
      <c r="H16"/>
    </row>
    <row r="17" spans="1:11" x14ac:dyDescent="0.25">
      <c r="A17" s="148" t="s">
        <v>626</v>
      </c>
      <c r="B17" s="205"/>
      <c r="C17" s="148"/>
      <c r="D17" s="264">
        <v>0</v>
      </c>
      <c r="E17" s="251"/>
      <c r="F17" s="452">
        <f t="shared" si="0"/>
        <v>0</v>
      </c>
      <c r="G17" s="26">
        <f t="shared" si="1"/>
        <v>0</v>
      </c>
      <c r="H17"/>
    </row>
    <row r="18" spans="1:11" x14ac:dyDescent="0.25">
      <c r="A18" s="148" t="s">
        <v>626</v>
      </c>
      <c r="B18" s="205"/>
      <c r="C18" s="148"/>
      <c r="D18" s="264">
        <v>0</v>
      </c>
      <c r="E18" s="251"/>
      <c r="F18" s="452">
        <f t="shared" si="0"/>
        <v>0</v>
      </c>
      <c r="G18" s="26">
        <f t="shared" si="1"/>
        <v>0</v>
      </c>
      <c r="H18"/>
    </row>
    <row r="19" spans="1:11" x14ac:dyDescent="0.25">
      <c r="A19" s="148" t="s">
        <v>626</v>
      </c>
      <c r="B19" s="205"/>
      <c r="C19" s="148"/>
      <c r="D19" s="264">
        <v>0</v>
      </c>
      <c r="E19" s="251"/>
      <c r="F19" s="452">
        <f t="shared" si="0"/>
        <v>0</v>
      </c>
      <c r="G19" s="26">
        <f t="shared" si="1"/>
        <v>0</v>
      </c>
      <c r="H19"/>
    </row>
    <row r="20" spans="1:11" ht="15.75" thickBot="1" x14ac:dyDescent="0.3">
      <c r="A20" s="148" t="s">
        <v>454</v>
      </c>
      <c r="B20" s="205">
        <f>+$B$3</f>
        <v>2058</v>
      </c>
      <c r="C20" s="148"/>
      <c r="D20" s="264">
        <v>0</v>
      </c>
      <c r="E20" s="251">
        <v>1</v>
      </c>
      <c r="F20" s="452">
        <f t="shared" si="0"/>
        <v>0</v>
      </c>
      <c r="G20" s="26">
        <f t="shared" si="1"/>
        <v>0</v>
      </c>
      <c r="H20" s="23"/>
      <c r="K20" s="3"/>
    </row>
    <row r="21" spans="1:11" x14ac:dyDescent="0.25">
      <c r="D21"/>
      <c r="E21" s="5"/>
      <c r="F21" s="1"/>
      <c r="G21" s="1"/>
      <c r="H21" s="14">
        <f>IF(K1="No",SUM(F8:G20),0)</f>
        <v>6829.0991686460811</v>
      </c>
      <c r="J21" s="2"/>
    </row>
    <row r="22" spans="1:11" x14ac:dyDescent="0.25">
      <c r="A22" s="2" t="s">
        <v>455</v>
      </c>
      <c r="D22"/>
      <c r="F22" s="5">
        <v>0</v>
      </c>
      <c r="I22" s="14">
        <f>SUM(H6:H21)</f>
        <v>6829.0991686460811</v>
      </c>
      <c r="J22" s="2"/>
    </row>
    <row r="23" spans="1:11" x14ac:dyDescent="0.25">
      <c r="A23" s="2" t="s">
        <v>151</v>
      </c>
      <c r="D23" t="s">
        <v>151</v>
      </c>
      <c r="E23" s="5" t="s">
        <v>151</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J15" sqref="J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17" t="s">
        <v>2</v>
      </c>
      <c r="K1" s="817" t="str">
        <f>IF(Profit!Q6,IF(L1,"Yes","No"),"No")</f>
        <v>No</v>
      </c>
      <c r="L1" s="821" t="b">
        <v>1</v>
      </c>
    </row>
    <row r="2" spans="1:16" ht="15.75" thickBot="1" x14ac:dyDescent="0.3">
      <c r="A2" s="32" t="s">
        <v>207</v>
      </c>
      <c r="B2" s="32"/>
      <c r="C2" s="32"/>
      <c r="J2" s="818"/>
      <c r="K2" s="818"/>
      <c r="L2" s="822"/>
    </row>
    <row r="3" spans="1:16" s="22" customFormat="1" x14ac:dyDescent="0.25">
      <c r="A3" s="3" t="s">
        <v>323</v>
      </c>
      <c r="B3" s="3" t="s">
        <v>226</v>
      </c>
      <c r="C3" s="3" t="s">
        <v>271</v>
      </c>
      <c r="D3" s="3" t="s">
        <v>456</v>
      </c>
      <c r="E3" s="3" t="s">
        <v>283</v>
      </c>
      <c r="F3" s="8" t="s">
        <v>284</v>
      </c>
      <c r="G3" s="16" t="s">
        <v>327</v>
      </c>
      <c r="H3" s="3" t="s">
        <v>286</v>
      </c>
      <c r="J3" s="3"/>
      <c r="K3" s="3"/>
    </row>
    <row r="4" spans="1:16" s="22" customFormat="1" ht="15.75" thickBot="1" x14ac:dyDescent="0.3">
      <c r="A4" s="440"/>
      <c r="B4" s="440" t="s">
        <v>457</v>
      </c>
      <c r="C4" s="440"/>
      <c r="D4" s="439" t="s">
        <v>458</v>
      </c>
      <c r="E4" s="456">
        <v>1</v>
      </c>
      <c r="F4" s="447">
        <v>7000</v>
      </c>
      <c r="G4" s="448">
        <f>+E4*F4</f>
        <v>7000</v>
      </c>
      <c r="H4" s="457"/>
      <c r="J4" s="3"/>
      <c r="K4" s="3"/>
    </row>
    <row r="5" spans="1:16" s="22" customFormat="1" x14ac:dyDescent="0.25">
      <c r="A5" s="444"/>
      <c r="B5" s="444"/>
      <c r="C5" s="444"/>
      <c r="D5" s="444"/>
      <c r="E5" s="444"/>
      <c r="F5" s="445"/>
      <c r="G5" s="458"/>
      <c r="H5" s="459">
        <f>IF(K1="Yes",+SUM(G4),0)</f>
        <v>0</v>
      </c>
      <c r="J5" s="3"/>
      <c r="K5" s="3"/>
    </row>
    <row r="6" spans="1:16" s="22" customFormat="1" x14ac:dyDescent="0.25">
      <c r="A6" s="3"/>
      <c r="B6" s="3"/>
      <c r="C6" s="3"/>
      <c r="D6" s="3"/>
      <c r="E6" s="3"/>
      <c r="F6" s="8"/>
      <c r="G6" s="16"/>
      <c r="H6" s="3"/>
      <c r="J6" s="3"/>
      <c r="K6" s="3"/>
    </row>
    <row r="7" spans="1:16" s="22" customFormat="1" x14ac:dyDescent="0.25">
      <c r="A7" s="3"/>
      <c r="B7" s="3"/>
      <c r="C7" s="3"/>
      <c r="D7" s="3"/>
      <c r="E7" s="3"/>
      <c r="F7" s="8"/>
      <c r="G7" s="16"/>
      <c r="H7" s="3"/>
      <c r="J7" s="3"/>
      <c r="K7" s="3"/>
    </row>
    <row r="8" spans="1:16" x14ac:dyDescent="0.25">
      <c r="A8"/>
      <c r="B8" t="s">
        <v>457</v>
      </c>
      <c r="C8"/>
      <c r="D8" s="2" t="s">
        <v>458</v>
      </c>
      <c r="E8" s="11">
        <v>0</v>
      </c>
      <c r="F8" s="5">
        <v>6000</v>
      </c>
      <c r="G8" s="26">
        <f>+E8*F8</f>
        <v>0</v>
      </c>
    </row>
    <row r="9" spans="1:16" x14ac:dyDescent="0.25">
      <c r="A9"/>
      <c r="B9" t="s">
        <v>459</v>
      </c>
      <c r="C9"/>
      <c r="D9" s="2" t="s">
        <v>460</v>
      </c>
      <c r="E9" s="11">
        <v>0</v>
      </c>
      <c r="F9" s="5">
        <v>8.98</v>
      </c>
      <c r="G9" s="26">
        <f>+E9*F9</f>
        <v>0</v>
      </c>
    </row>
    <row r="10" spans="1:16" x14ac:dyDescent="0.25">
      <c r="A10"/>
      <c r="B10" t="s">
        <v>562</v>
      </c>
      <c r="C10"/>
      <c r="D10" s="2" t="s">
        <v>561</v>
      </c>
      <c r="E10" s="11">
        <v>0</v>
      </c>
      <c r="F10" s="5">
        <v>22.97</v>
      </c>
      <c r="G10" s="26">
        <f t="shared" ref="G10:G15" si="0">+E10*F10</f>
        <v>0</v>
      </c>
    </row>
    <row r="11" spans="1:16" x14ac:dyDescent="0.25">
      <c r="A11"/>
      <c r="B11" t="s">
        <v>461</v>
      </c>
      <c r="C11"/>
      <c r="D11" s="2" t="s">
        <v>462</v>
      </c>
      <c r="E11" s="11">
        <v>0</v>
      </c>
      <c r="F11" s="5">
        <v>44.93</v>
      </c>
      <c r="G11" s="26">
        <f t="shared" si="0"/>
        <v>0</v>
      </c>
    </row>
    <row r="12" spans="1:16" x14ac:dyDescent="0.25">
      <c r="A12"/>
      <c r="B12" t="s">
        <v>463</v>
      </c>
      <c r="C12"/>
      <c r="D12" s="2" t="s">
        <v>563</v>
      </c>
      <c r="E12" s="11">
        <v>0</v>
      </c>
      <c r="F12" s="5">
        <v>5.98</v>
      </c>
      <c r="G12" s="26">
        <f t="shared" si="0"/>
        <v>0</v>
      </c>
    </row>
    <row r="13" spans="1:16" x14ac:dyDescent="0.25">
      <c r="A13"/>
      <c r="B13" t="s">
        <v>463</v>
      </c>
      <c r="C13"/>
      <c r="D13" s="2" t="s">
        <v>464</v>
      </c>
      <c r="E13" s="11">
        <v>0</v>
      </c>
      <c r="F13" s="5">
        <v>4.97</v>
      </c>
      <c r="G13" s="26">
        <f t="shared" si="0"/>
        <v>0</v>
      </c>
      <c r="K13" s="32"/>
      <c r="L13" s="2"/>
      <c r="N13" s="5"/>
      <c r="O13" s="26"/>
    </row>
    <row r="14" spans="1:16" x14ac:dyDescent="0.25">
      <c r="A14"/>
      <c r="B14" t="s">
        <v>465</v>
      </c>
      <c r="C14"/>
      <c r="D14" s="2" t="s">
        <v>466</v>
      </c>
      <c r="E14" s="11">
        <v>0</v>
      </c>
      <c r="F14" s="5">
        <v>23</v>
      </c>
      <c r="G14" s="26">
        <f t="shared" si="0"/>
        <v>0</v>
      </c>
      <c r="K14" s="3"/>
      <c r="L14" s="3"/>
      <c r="M14" s="3"/>
      <c r="N14" s="8"/>
      <c r="O14" s="16"/>
      <c r="P14" s="3"/>
    </row>
    <row r="15" spans="1:16" x14ac:dyDescent="0.25">
      <c r="A15"/>
      <c r="B15"/>
      <c r="C15"/>
      <c r="E15" s="11"/>
      <c r="G15" s="26">
        <f t="shared" si="0"/>
        <v>0</v>
      </c>
      <c r="L15" s="2"/>
      <c r="M15" s="11"/>
      <c r="N15" s="5"/>
      <c r="O15" s="26"/>
    </row>
    <row r="16" spans="1:16" ht="15.75" thickBot="1" x14ac:dyDescent="0.3">
      <c r="A16" s="2" t="s">
        <v>732</v>
      </c>
      <c r="B16" s="2" t="s">
        <v>467</v>
      </c>
      <c r="C16" s="488">
        <v>45700</v>
      </c>
      <c r="E16">
        <v>1</v>
      </c>
      <c r="F16" s="5">
        <v>254.72</v>
      </c>
      <c r="G16" s="29">
        <f>+E16*F16</f>
        <v>254.72</v>
      </c>
      <c r="H16" s="29"/>
      <c r="L16" s="2"/>
      <c r="M16" s="11"/>
      <c r="N16" s="5"/>
      <c r="O16" s="26"/>
    </row>
    <row r="17" spans="5:16" x14ac:dyDescent="0.25">
      <c r="E17" s="815"/>
      <c r="F17" s="816"/>
      <c r="G17" s="816"/>
      <c r="H17">
        <f>IF(K1="No",+SUM(G8:G16),0)</f>
        <v>254.72</v>
      </c>
      <c r="L17" s="2"/>
      <c r="M17" s="11"/>
      <c r="N17" s="5"/>
      <c r="O17" s="26"/>
    </row>
    <row r="18" spans="5:16" x14ac:dyDescent="0.25">
      <c r="I18" s="1">
        <f>SUM(H5:H17)</f>
        <v>254.72</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15"/>
      <c r="N24" s="816"/>
      <c r="O24" s="816"/>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4" activePane="bottomLeft" state="frozen"/>
      <selection pane="bottomLeft" activeCell="K1" sqref="K1:K2"/>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468</v>
      </c>
      <c r="B1" s="3"/>
      <c r="I1" s="817" t="s">
        <v>2</v>
      </c>
      <c r="J1" s="817" t="str">
        <f>IF(Profit!Q6,IF(K1,"Yes","No"),"No")</f>
        <v>No</v>
      </c>
      <c r="K1" s="821" t="b">
        <v>0</v>
      </c>
    </row>
    <row r="2" spans="1:11" ht="15.75" thickBot="1" x14ac:dyDescent="0.3">
      <c r="C2" s="3"/>
      <c r="D2" s="8"/>
      <c r="E2" s="13"/>
      <c r="F2" s="13"/>
      <c r="G2" s="13"/>
      <c r="I2" s="818"/>
      <c r="J2" s="818"/>
      <c r="K2" s="822"/>
    </row>
    <row r="3" spans="1:11" x14ac:dyDescent="0.25">
      <c r="A3" s="3" t="s">
        <v>226</v>
      </c>
      <c r="B3" s="3" t="s">
        <v>339</v>
      </c>
      <c r="C3" s="3" t="s">
        <v>283</v>
      </c>
      <c r="D3" s="8" t="s">
        <v>284</v>
      </c>
      <c r="E3" s="13" t="s">
        <v>285</v>
      </c>
      <c r="F3" s="13" t="s">
        <v>272</v>
      </c>
      <c r="G3" s="13" t="s">
        <v>286</v>
      </c>
    </row>
    <row r="4" spans="1:11" x14ac:dyDescent="0.25">
      <c r="A4" s="450" t="s">
        <v>556</v>
      </c>
      <c r="B4" s="450" t="s">
        <v>614</v>
      </c>
      <c r="C4" s="440">
        <v>4</v>
      </c>
      <c r="D4" s="447">
        <v>21.97</v>
      </c>
      <c r="E4" s="441">
        <f>+C4*D4</f>
        <v>87.88</v>
      </c>
      <c r="F4" s="448">
        <f>+E4*0.0725</f>
        <v>6.3712999999999989</v>
      </c>
      <c r="G4" s="446"/>
    </row>
    <row r="5" spans="1:11" x14ac:dyDescent="0.25">
      <c r="A5" s="450" t="s">
        <v>568</v>
      </c>
      <c r="B5" s="450" t="s">
        <v>569</v>
      </c>
      <c r="C5" s="440">
        <v>2</v>
      </c>
      <c r="D5" s="447">
        <v>79.97</v>
      </c>
      <c r="E5" s="441">
        <f>+C5*D5</f>
        <v>159.94</v>
      </c>
      <c r="F5" s="448">
        <f>+E5*0.0725</f>
        <v>11.595649999999999</v>
      </c>
      <c r="G5" s="441"/>
    </row>
    <row r="6" spans="1:11" x14ac:dyDescent="0.25">
      <c r="A6" s="450" t="s">
        <v>570</v>
      </c>
      <c r="B6" s="450" t="s">
        <v>571</v>
      </c>
      <c r="C6" s="440">
        <v>1</v>
      </c>
      <c r="D6" s="447">
        <v>123</v>
      </c>
      <c r="E6" s="441">
        <f>+C6*D6</f>
        <v>123</v>
      </c>
      <c r="F6" s="448">
        <f>+E6*0.0725</f>
        <v>8.9174999999999986</v>
      </c>
      <c r="G6" s="441"/>
    </row>
    <row r="7" spans="1:11" ht="15.75" thickBot="1" x14ac:dyDescent="0.3">
      <c r="A7" s="450" t="s">
        <v>574</v>
      </c>
      <c r="B7" s="450" t="s">
        <v>575</v>
      </c>
      <c r="C7" s="440">
        <v>2</v>
      </c>
      <c r="D7" s="447">
        <v>54.98</v>
      </c>
      <c r="E7" s="441">
        <f>+C7*D7</f>
        <v>109.96</v>
      </c>
      <c r="F7" s="448">
        <f>+E7*0.0725</f>
        <v>7.9720999999999993</v>
      </c>
      <c r="G7" s="449"/>
    </row>
    <row r="8" spans="1:11" x14ac:dyDescent="0.25">
      <c r="A8" s="444"/>
      <c r="B8" s="444"/>
      <c r="C8" s="444"/>
      <c r="D8" s="445"/>
      <c r="E8" s="446"/>
      <c r="F8" s="446"/>
      <c r="G8" s="441">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554</v>
      </c>
      <c r="B11" s="3" t="s">
        <v>555</v>
      </c>
      <c r="C11" s="30">
        <v>0</v>
      </c>
      <c r="D11" s="8">
        <v>39.97</v>
      </c>
      <c r="E11" s="14">
        <f>+C11*D11</f>
        <v>0</v>
      </c>
      <c r="F11" s="26">
        <f t="shared" ref="F11:F33" si="0">+E11*0.0725</f>
        <v>0</v>
      </c>
      <c r="G11" s="13"/>
    </row>
    <row r="12" spans="1:11" x14ac:dyDescent="0.25">
      <c r="A12" s="30" t="s">
        <v>556</v>
      </c>
      <c r="B12" s="30" t="s">
        <v>614</v>
      </c>
      <c r="C12">
        <v>0</v>
      </c>
      <c r="D12" s="5">
        <v>21.97</v>
      </c>
      <c r="E12" s="14">
        <f>+C12*D12</f>
        <v>0</v>
      </c>
      <c r="F12" s="26">
        <f t="shared" si="0"/>
        <v>0</v>
      </c>
    </row>
    <row r="13" spans="1:11" x14ac:dyDescent="0.25">
      <c r="A13" s="30" t="s">
        <v>556</v>
      </c>
      <c r="B13" s="30" t="s">
        <v>557</v>
      </c>
      <c r="C13">
        <v>0</v>
      </c>
      <c r="D13" s="5">
        <v>29.97</v>
      </c>
      <c r="E13" s="14">
        <f>+C13*D13</f>
        <v>0</v>
      </c>
      <c r="F13" s="26">
        <f t="shared" si="0"/>
        <v>0</v>
      </c>
    </row>
    <row r="14" spans="1:11" x14ac:dyDescent="0.25">
      <c r="A14" s="30" t="s">
        <v>556</v>
      </c>
      <c r="B14" s="30" t="s">
        <v>558</v>
      </c>
      <c r="C14">
        <v>0</v>
      </c>
      <c r="D14" s="5">
        <v>21.97</v>
      </c>
      <c r="E14" s="14">
        <f>+C14*D14</f>
        <v>0</v>
      </c>
      <c r="F14" s="26">
        <f t="shared" si="0"/>
        <v>0</v>
      </c>
    </row>
    <row r="15" spans="1:11" x14ac:dyDescent="0.25">
      <c r="A15" s="30" t="s">
        <v>556</v>
      </c>
      <c r="B15" s="30" t="s">
        <v>560</v>
      </c>
      <c r="C15">
        <v>0</v>
      </c>
      <c r="D15" s="5">
        <v>69.97</v>
      </c>
      <c r="E15" s="14">
        <f>+C15*D15</f>
        <v>0</v>
      </c>
      <c r="F15" s="26">
        <f t="shared" si="0"/>
        <v>0</v>
      </c>
    </row>
    <row r="16" spans="1:11" x14ac:dyDescent="0.25">
      <c r="A16" s="30" t="s">
        <v>564</v>
      </c>
      <c r="B16" s="30" t="s">
        <v>565</v>
      </c>
      <c r="C16">
        <v>0</v>
      </c>
      <c r="D16" s="5">
        <v>64.97</v>
      </c>
      <c r="E16" s="14">
        <f t="shared" ref="E16:E33" si="1">+C16*D16</f>
        <v>0</v>
      </c>
      <c r="F16" s="26">
        <f t="shared" si="0"/>
        <v>0</v>
      </c>
    </row>
    <row r="17" spans="1:6" x14ac:dyDescent="0.25">
      <c r="A17" s="30" t="s">
        <v>566</v>
      </c>
      <c r="B17" s="30" t="s">
        <v>567</v>
      </c>
      <c r="C17">
        <v>0</v>
      </c>
      <c r="D17" s="5">
        <v>89.97</v>
      </c>
      <c r="E17" s="14">
        <f t="shared" si="1"/>
        <v>0</v>
      </c>
      <c r="F17" s="26">
        <f t="shared" si="0"/>
        <v>0</v>
      </c>
    </row>
    <row r="18" spans="1:6" x14ac:dyDescent="0.25">
      <c r="A18" s="30" t="s">
        <v>469</v>
      </c>
      <c r="B18" s="30">
        <v>2535475</v>
      </c>
      <c r="C18">
        <v>0</v>
      </c>
      <c r="D18" s="5">
        <v>24.98</v>
      </c>
      <c r="E18" s="14">
        <f t="shared" si="1"/>
        <v>0</v>
      </c>
      <c r="F18" s="26">
        <f t="shared" si="0"/>
        <v>0</v>
      </c>
    </row>
    <row r="19" spans="1:6" x14ac:dyDescent="0.25">
      <c r="A19" s="30" t="s">
        <v>470</v>
      </c>
      <c r="B19" s="30"/>
      <c r="C19">
        <v>0</v>
      </c>
      <c r="D19" s="5">
        <v>10.9</v>
      </c>
      <c r="E19" s="14">
        <f t="shared" si="1"/>
        <v>0</v>
      </c>
      <c r="F19" s="26">
        <f t="shared" si="0"/>
        <v>0</v>
      </c>
    </row>
    <row r="20" spans="1:6" x14ac:dyDescent="0.25">
      <c r="A20" s="30" t="s">
        <v>572</v>
      </c>
      <c r="B20" s="30" t="s">
        <v>573</v>
      </c>
      <c r="C20">
        <v>0</v>
      </c>
      <c r="D20" s="5">
        <v>62.97</v>
      </c>
      <c r="E20" s="14">
        <f t="shared" si="1"/>
        <v>0</v>
      </c>
      <c r="F20" s="26">
        <f t="shared" si="0"/>
        <v>0</v>
      </c>
    </row>
    <row r="21" spans="1:6" x14ac:dyDescent="0.25">
      <c r="A21" s="30" t="s">
        <v>574</v>
      </c>
      <c r="B21" s="30" t="s">
        <v>575</v>
      </c>
      <c r="C21">
        <v>0</v>
      </c>
      <c r="D21" s="5">
        <v>54.98</v>
      </c>
      <c r="E21" s="14">
        <f t="shared" si="1"/>
        <v>0</v>
      </c>
      <c r="F21" s="26">
        <f t="shared" si="0"/>
        <v>0</v>
      </c>
    </row>
    <row r="22" spans="1:6" x14ac:dyDescent="0.25">
      <c r="A22" s="30" t="s">
        <v>471</v>
      </c>
      <c r="B22" s="30" t="s">
        <v>472</v>
      </c>
      <c r="C22">
        <v>0</v>
      </c>
      <c r="D22" s="5">
        <v>17.97</v>
      </c>
      <c r="E22" s="14">
        <f t="shared" si="1"/>
        <v>0</v>
      </c>
      <c r="F22" s="26">
        <f t="shared" si="0"/>
        <v>0</v>
      </c>
    </row>
    <row r="23" spans="1:6" x14ac:dyDescent="0.25">
      <c r="A23" s="30" t="s">
        <v>473</v>
      </c>
      <c r="B23" s="30" t="s">
        <v>474</v>
      </c>
      <c r="C23">
        <v>0</v>
      </c>
      <c r="D23" s="5">
        <v>16.98</v>
      </c>
      <c r="E23" s="14">
        <f t="shared" si="1"/>
        <v>0</v>
      </c>
      <c r="F23" s="26">
        <f t="shared" si="0"/>
        <v>0</v>
      </c>
    </row>
    <row r="24" spans="1:6" x14ac:dyDescent="0.25">
      <c r="A24" s="30" t="s">
        <v>475</v>
      </c>
      <c r="B24" s="30" t="s">
        <v>476</v>
      </c>
      <c r="C24">
        <v>0</v>
      </c>
      <c r="D24" s="5">
        <v>3.27</v>
      </c>
      <c r="E24" s="14">
        <f t="shared" si="1"/>
        <v>0</v>
      </c>
      <c r="F24" s="26">
        <f t="shared" si="0"/>
        <v>0</v>
      </c>
    </row>
    <row r="25" spans="1:6" x14ac:dyDescent="0.25">
      <c r="A25" s="30" t="s">
        <v>568</v>
      </c>
      <c r="B25" s="30" t="s">
        <v>569</v>
      </c>
      <c r="C25">
        <v>0</v>
      </c>
      <c r="D25" s="5">
        <v>79.97</v>
      </c>
      <c r="E25" s="14">
        <f t="shared" si="1"/>
        <v>0</v>
      </c>
      <c r="F25" s="26">
        <f t="shared" si="0"/>
        <v>0</v>
      </c>
    </row>
    <row r="26" spans="1:6" x14ac:dyDescent="0.25">
      <c r="A26" s="30" t="s">
        <v>570</v>
      </c>
      <c r="B26" s="30" t="s">
        <v>571</v>
      </c>
      <c r="C26">
        <v>0</v>
      </c>
      <c r="D26" s="5">
        <v>123</v>
      </c>
      <c r="E26" s="14">
        <f t="shared" si="1"/>
        <v>0</v>
      </c>
      <c r="F26" s="26">
        <f t="shared" si="0"/>
        <v>0</v>
      </c>
    </row>
    <row r="27" spans="1:6" x14ac:dyDescent="0.25">
      <c r="A27" s="30" t="s">
        <v>477</v>
      </c>
      <c r="B27" s="30" t="s">
        <v>478</v>
      </c>
      <c r="C27">
        <v>0</v>
      </c>
      <c r="D27" s="5">
        <v>13.98</v>
      </c>
      <c r="E27" s="14">
        <f t="shared" si="1"/>
        <v>0</v>
      </c>
      <c r="F27" s="26">
        <f t="shared" si="0"/>
        <v>0</v>
      </c>
    </row>
    <row r="28" spans="1:6" x14ac:dyDescent="0.25">
      <c r="A28" s="30" t="s">
        <v>479</v>
      </c>
      <c r="B28" s="30">
        <v>39800072986</v>
      </c>
      <c r="C28">
        <v>0</v>
      </c>
      <c r="D28" s="5">
        <v>17.87</v>
      </c>
      <c r="E28" s="14">
        <f t="shared" si="1"/>
        <v>0</v>
      </c>
      <c r="F28" s="26">
        <f t="shared" si="0"/>
        <v>0</v>
      </c>
    </row>
    <row r="29" spans="1:6" x14ac:dyDescent="0.25">
      <c r="A29" s="30" t="s">
        <v>480</v>
      </c>
      <c r="B29" s="292">
        <v>46335120372</v>
      </c>
      <c r="C29">
        <v>0</v>
      </c>
      <c r="D29" s="5">
        <v>99.97</v>
      </c>
      <c r="E29" s="14">
        <f t="shared" si="1"/>
        <v>0</v>
      </c>
      <c r="F29" s="26">
        <f t="shared" si="0"/>
        <v>0</v>
      </c>
    </row>
    <row r="30" spans="1:6" x14ac:dyDescent="0.25">
      <c r="A30" s="30" t="s">
        <v>481</v>
      </c>
      <c r="B30" s="292">
        <v>792145370178</v>
      </c>
      <c r="C30">
        <v>0</v>
      </c>
      <c r="D30" s="5">
        <v>59.97</v>
      </c>
      <c r="E30" s="14">
        <f t="shared" si="1"/>
        <v>0</v>
      </c>
      <c r="F30" s="26">
        <f t="shared" si="0"/>
        <v>0</v>
      </c>
    </row>
    <row r="31" spans="1:6" x14ac:dyDescent="0.25">
      <c r="A31" s="30" t="s">
        <v>482</v>
      </c>
      <c r="B31" s="30">
        <v>82392573331</v>
      </c>
      <c r="C31">
        <v>0</v>
      </c>
      <c r="D31" s="5">
        <v>109</v>
      </c>
      <c r="E31" s="14">
        <f t="shared" si="1"/>
        <v>0</v>
      </c>
      <c r="F31" s="26">
        <f t="shared" si="0"/>
        <v>0</v>
      </c>
    </row>
    <row r="32" spans="1:6" x14ac:dyDescent="0.25">
      <c r="A32" s="30" t="s">
        <v>483</v>
      </c>
      <c r="B32" s="30">
        <v>5190530</v>
      </c>
      <c r="C32">
        <v>0</v>
      </c>
      <c r="D32" s="5">
        <v>18.98</v>
      </c>
      <c r="E32" s="14">
        <f t="shared" si="1"/>
        <v>0</v>
      </c>
      <c r="F32" s="26">
        <f t="shared" si="0"/>
        <v>0</v>
      </c>
    </row>
    <row r="33" spans="1:10" ht="15.75" thickBot="1" x14ac:dyDescent="0.3">
      <c r="A33" s="30" t="s">
        <v>484</v>
      </c>
      <c r="B33" s="30"/>
      <c r="C33">
        <v>0</v>
      </c>
      <c r="D33" s="5">
        <v>-19.98</v>
      </c>
      <c r="E33" s="21">
        <f t="shared" si="1"/>
        <v>0</v>
      </c>
      <c r="F33" s="21">
        <f t="shared" si="0"/>
        <v>0</v>
      </c>
      <c r="G33" s="21"/>
    </row>
    <row r="34" spans="1:10" x14ac:dyDescent="0.25">
      <c r="A34" s="30"/>
      <c r="B34" s="30"/>
    </row>
    <row r="35" spans="1:10" x14ac:dyDescent="0.25">
      <c r="G35" s="14">
        <f>IF(J1="No",SUM(E11:F33),0)</f>
        <v>0</v>
      </c>
      <c r="J35" s="1"/>
    </row>
    <row r="36" spans="1:10" x14ac:dyDescent="0.25">
      <c r="H36" s="14">
        <f>SUM(G8:G35)</f>
        <v>0</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2" customFormat="1" ht="30.75" thickBot="1" x14ac:dyDescent="0.3">
      <c r="A2"/>
      <c r="B2" s="827" t="s">
        <v>662</v>
      </c>
      <c r="C2" s="828"/>
      <c r="D2" s="301" t="s">
        <v>137</v>
      </c>
      <c r="E2" s="307" t="s">
        <v>138</v>
      </c>
      <c r="F2" s="183" t="s">
        <v>139</v>
      </c>
      <c r="G2" s="155"/>
      <c r="H2" s="152"/>
    </row>
    <row r="3" spans="1:11" ht="15.75" thickBot="1" x14ac:dyDescent="0.3">
      <c r="B3" s="179" t="s">
        <v>152</v>
      </c>
      <c r="C3" s="180">
        <f>+SUM(E3:G3)</f>
        <v>335000</v>
      </c>
      <c r="D3" s="180"/>
      <c r="E3" s="254">
        <v>50000</v>
      </c>
      <c r="F3" s="304">
        <v>285000</v>
      </c>
      <c r="G3" s="252"/>
      <c r="I3" s="62"/>
      <c r="J3" s="62"/>
      <c r="K3" s="62"/>
    </row>
    <row r="4" spans="1:11" x14ac:dyDescent="0.25">
      <c r="B4" s="179" t="s">
        <v>153</v>
      </c>
      <c r="C4" s="180">
        <f>+SUM(E4:$G$4)</f>
        <v>89099.277500000011</v>
      </c>
      <c r="D4" s="180"/>
      <c r="E4" s="254">
        <v>10000.13875</v>
      </c>
      <c r="F4" s="305">
        <v>79099.138750000013</v>
      </c>
      <c r="G4" s="252"/>
      <c r="I4" s="62"/>
      <c r="J4" s="62"/>
      <c r="K4" s="62"/>
    </row>
    <row r="5" spans="1:11" x14ac:dyDescent="0.25">
      <c r="B5" s="181" t="s">
        <v>154</v>
      </c>
      <c r="C5" s="182">
        <f>+SUM(E5:G5)</f>
        <v>84974.5</v>
      </c>
      <c r="D5" s="182"/>
      <c r="E5" s="254">
        <v>0</v>
      </c>
      <c r="F5" s="305">
        <v>84974.5</v>
      </c>
      <c r="G5" s="153"/>
      <c r="I5" s="62"/>
      <c r="J5" s="62"/>
      <c r="K5" s="62"/>
    </row>
    <row r="6" spans="1:11" ht="15.75" thickBot="1" x14ac:dyDescent="0.3">
      <c r="B6" s="154" t="s">
        <v>155</v>
      </c>
      <c r="C6" s="150">
        <f>+SUM($E$6:$G$6)</f>
        <v>91406.693999999989</v>
      </c>
      <c r="D6" s="150"/>
      <c r="E6" s="302">
        <v>30489.599999999999</v>
      </c>
      <c r="F6" s="302">
        <v>60917.093999999997</v>
      </c>
      <c r="G6" s="153"/>
      <c r="I6" s="62"/>
      <c r="J6" s="62"/>
      <c r="K6" s="62"/>
    </row>
    <row r="7" spans="1:11" ht="15.75" thickBot="1" x14ac:dyDescent="0.3">
      <c r="B7" s="154" t="s">
        <v>156</v>
      </c>
      <c r="C7" s="150">
        <f>+SUM($E$7:$G$7)</f>
        <v>0</v>
      </c>
      <c r="D7" s="150"/>
      <c r="E7" s="254"/>
      <c r="F7" s="306"/>
      <c r="G7" s="153"/>
      <c r="I7" s="62"/>
      <c r="J7" s="62"/>
      <c r="K7" s="62"/>
    </row>
    <row r="8" spans="1:11" ht="15.75" thickBot="1" x14ac:dyDescent="0.3">
      <c r="B8" s="154" t="s">
        <v>157</v>
      </c>
      <c r="C8" s="823">
        <f>+AVERAGE(E3:F3)</f>
        <v>167500</v>
      </c>
      <c r="D8" s="674"/>
      <c r="E8" s="829"/>
      <c r="F8" s="687"/>
      <c r="G8" s="626"/>
      <c r="I8" s="62"/>
      <c r="J8" s="62"/>
      <c r="K8" s="62"/>
    </row>
    <row r="9" spans="1:11" ht="15.75" thickBot="1" x14ac:dyDescent="0.3">
      <c r="B9" s="154" t="s">
        <v>158</v>
      </c>
      <c r="C9" s="823">
        <f>+AVERAGE(E4:F4)</f>
        <v>44549.638750000006</v>
      </c>
      <c r="D9" s="674"/>
      <c r="E9" s="627"/>
      <c r="F9" s="691"/>
      <c r="G9" s="628"/>
      <c r="I9" s="62"/>
      <c r="J9" s="62"/>
      <c r="K9" s="62"/>
    </row>
    <row r="10" spans="1:11" ht="15.75" thickBot="1" x14ac:dyDescent="0.3">
      <c r="B10" s="154" t="s">
        <v>159</v>
      </c>
      <c r="C10" s="823">
        <f>+AVERAGE(E5:F5)</f>
        <v>42487.25</v>
      </c>
      <c r="D10" s="674"/>
      <c r="E10" s="830" t="s">
        <v>160</v>
      </c>
      <c r="F10" s="600"/>
      <c r="G10" s="598"/>
      <c r="I10" s="62"/>
      <c r="J10" s="62"/>
      <c r="K10" s="62"/>
    </row>
    <row r="11" spans="1:11" ht="15.75" thickBot="1" x14ac:dyDescent="0.3">
      <c r="B11" s="154" t="s">
        <v>161</v>
      </c>
      <c r="C11" s="823">
        <f>+AVERAGE(E6:F6)</f>
        <v>45703.346999999994</v>
      </c>
      <c r="D11" s="674"/>
      <c r="E11" s="824" t="s">
        <v>162</v>
      </c>
      <c r="F11" s="825"/>
      <c r="G11" s="826"/>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18" t="s">
        <v>639</v>
      </c>
      <c r="C1" s="719"/>
      <c r="E1" s="718" t="s">
        <v>643</v>
      </c>
      <c r="F1" s="719"/>
      <c r="H1" s="718" t="s">
        <v>642</v>
      </c>
      <c r="I1" s="719"/>
      <c r="L1" s="718" t="s">
        <v>658</v>
      </c>
      <c r="M1" s="719"/>
    </row>
    <row r="2" spans="1:14" x14ac:dyDescent="0.25">
      <c r="A2" s="2" t="s">
        <v>640</v>
      </c>
    </row>
    <row r="3" spans="1:14" x14ac:dyDescent="0.25">
      <c r="A3" s="2" t="s">
        <v>644</v>
      </c>
      <c r="B3" s="329">
        <v>0.56000000000000005</v>
      </c>
      <c r="E3" s="329">
        <f>+B3</f>
        <v>0.56000000000000005</v>
      </c>
      <c r="H3" s="329">
        <f>+E3</f>
        <v>0.56000000000000005</v>
      </c>
      <c r="L3" s="329">
        <f>+E3</f>
        <v>0.56000000000000005</v>
      </c>
    </row>
    <row r="4" spans="1:14" ht="15.75" thickBot="1" x14ac:dyDescent="0.3">
      <c r="A4" s="2" t="s">
        <v>641</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649</v>
      </c>
      <c r="B12" s="718" t="s">
        <v>639</v>
      </c>
      <c r="C12" s="719"/>
      <c r="D12" s="3"/>
      <c r="E12" s="718" t="s">
        <v>643</v>
      </c>
      <c r="F12" s="719"/>
      <c r="G12" s="3"/>
      <c r="H12" s="718" t="s">
        <v>642</v>
      </c>
      <c r="I12" s="719"/>
      <c r="J12" s="3"/>
      <c r="K12" s="3"/>
    </row>
    <row r="13" spans="1:14" x14ac:dyDescent="0.25">
      <c r="A13" s="2" t="s">
        <v>651</v>
      </c>
      <c r="B13" s="329">
        <v>0.2</v>
      </c>
      <c r="C13">
        <f>+B13*STR!$C$4</f>
        <v>0</v>
      </c>
      <c r="E13" s="329">
        <f>+B13</f>
        <v>0.2</v>
      </c>
      <c r="F13">
        <f>+E13*STR!$F$4</f>
        <v>0</v>
      </c>
      <c r="H13" s="329">
        <f>+E13</f>
        <v>0.2</v>
      </c>
      <c r="I13">
        <f>+H13*STR!$M$4</f>
        <v>0</v>
      </c>
      <c r="K13" s="4">
        <f>+C13+F13+I13</f>
        <v>0</v>
      </c>
    </row>
    <row r="14" spans="1:14" ht="15.75" thickBot="1" x14ac:dyDescent="0.3">
      <c r="A14" s="2" t="s">
        <v>645</v>
      </c>
      <c r="B14" s="329">
        <v>0.05</v>
      </c>
      <c r="C14">
        <f>+B14*STR!$C$4</f>
        <v>0</v>
      </c>
      <c r="E14" s="329">
        <v>0.05</v>
      </c>
      <c r="F14">
        <f>+E14*STR!$C$4</f>
        <v>0</v>
      </c>
      <c r="H14" s="329">
        <v>0.05</v>
      </c>
      <c r="I14">
        <f>+H14*STR!$C$4</f>
        <v>0</v>
      </c>
      <c r="K14" s="330">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H1" sqref="H1:J2"/>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256</v>
      </c>
      <c r="B1" s="16"/>
      <c r="H1" s="817" t="s">
        <v>2</v>
      </c>
      <c r="I1" s="817" t="str">
        <f>IF(Profit!$Q$6,IF(J1="No","No","Yes"),"no")</f>
        <v>no</v>
      </c>
      <c r="J1" s="819"/>
    </row>
    <row r="2" spans="1:10" s="15" customFormat="1" ht="15.75" thickBot="1" x14ac:dyDescent="0.3">
      <c r="A2" s="3" t="s">
        <v>223</v>
      </c>
      <c r="B2" s="17" t="s">
        <v>485</v>
      </c>
      <c r="C2" s="30" t="s">
        <v>486</v>
      </c>
      <c r="D2" s="3" t="s">
        <v>283</v>
      </c>
      <c r="E2" s="8" t="s">
        <v>487</v>
      </c>
      <c r="F2" s="6" t="s">
        <v>488</v>
      </c>
      <c r="G2" s="15" t="s">
        <v>286</v>
      </c>
      <c r="H2" s="818"/>
      <c r="I2" s="818"/>
      <c r="J2" s="820"/>
    </row>
    <row r="4" spans="1:10" x14ac:dyDescent="0.25">
      <c r="A4" s="2" t="s">
        <v>489</v>
      </c>
      <c r="B4" s="18">
        <v>0.79</v>
      </c>
      <c r="C4" s="2">
        <v>500</v>
      </c>
      <c r="D4">
        <v>0</v>
      </c>
      <c r="E4" s="5">
        <v>60</v>
      </c>
      <c r="F4" s="1">
        <f>+C4*B4*D4</f>
        <v>0</v>
      </c>
    </row>
    <row r="5" spans="1:10" x14ac:dyDescent="0.25">
      <c r="A5" s="2" t="s">
        <v>490</v>
      </c>
      <c r="B5" s="18">
        <v>1</v>
      </c>
      <c r="C5" s="2">
        <f>24*10</f>
        <v>240</v>
      </c>
      <c r="D5">
        <v>0</v>
      </c>
      <c r="E5" s="5">
        <v>60</v>
      </c>
      <c r="F5" s="1">
        <f>+C5*B5*D5</f>
        <v>0</v>
      </c>
    </row>
    <row r="6" spans="1:10" x14ac:dyDescent="0.25">
      <c r="A6" s="2" t="s">
        <v>491</v>
      </c>
      <c r="D6">
        <v>0</v>
      </c>
      <c r="E6" s="5">
        <v>150</v>
      </c>
      <c r="F6" s="1">
        <f t="shared" ref="F6:F11" si="0">+D6*E6</f>
        <v>0</v>
      </c>
    </row>
    <row r="7" spans="1:10" x14ac:dyDescent="0.25">
      <c r="A7" s="2" t="s">
        <v>492</v>
      </c>
      <c r="D7">
        <v>0</v>
      </c>
      <c r="E7" s="5">
        <v>3000</v>
      </c>
      <c r="F7" s="1">
        <f t="shared" si="0"/>
        <v>0</v>
      </c>
    </row>
    <row r="8" spans="1:10" x14ac:dyDescent="0.25">
      <c r="A8" s="2" t="s">
        <v>493</v>
      </c>
      <c r="D8">
        <v>0</v>
      </c>
      <c r="E8" s="5">
        <v>165</v>
      </c>
      <c r="F8" s="1">
        <f t="shared" si="0"/>
        <v>0</v>
      </c>
    </row>
    <row r="9" spans="1:10" x14ac:dyDescent="0.25">
      <c r="A9" s="2" t="s">
        <v>494</v>
      </c>
      <c r="D9">
        <v>0</v>
      </c>
      <c r="E9" s="5">
        <v>29</v>
      </c>
      <c r="F9" s="1">
        <f t="shared" si="0"/>
        <v>0</v>
      </c>
    </row>
    <row r="10" spans="1:10" x14ac:dyDescent="0.25">
      <c r="A10" s="2" t="s">
        <v>495</v>
      </c>
      <c r="D10">
        <v>0</v>
      </c>
      <c r="E10" s="5">
        <v>15</v>
      </c>
      <c r="F10" s="1">
        <f t="shared" si="0"/>
        <v>0</v>
      </c>
    </row>
    <row r="11" spans="1:10" x14ac:dyDescent="0.25">
      <c r="A11" s="2" t="s">
        <v>496</v>
      </c>
      <c r="D11">
        <v>0</v>
      </c>
      <c r="E11" s="5">
        <v>1100</v>
      </c>
      <c r="F11" s="1">
        <f t="shared" si="0"/>
        <v>0</v>
      </c>
    </row>
    <row r="12" spans="1:10" x14ac:dyDescent="0.25">
      <c r="A12" s="2" t="s">
        <v>585</v>
      </c>
      <c r="D12">
        <v>0</v>
      </c>
      <c r="E12" s="5">
        <v>285</v>
      </c>
      <c r="F12" s="1">
        <v>0</v>
      </c>
    </row>
    <row r="13" spans="1:10" x14ac:dyDescent="0.25">
      <c r="A13" s="2" t="s">
        <v>584</v>
      </c>
      <c r="D13">
        <v>0</v>
      </c>
      <c r="E13" s="5">
        <v>975</v>
      </c>
      <c r="F13" s="1">
        <f>+D13*E13</f>
        <v>0</v>
      </c>
    </row>
    <row r="14" spans="1:10" x14ac:dyDescent="0.25">
      <c r="A14" s="2" t="s">
        <v>497</v>
      </c>
      <c r="D14">
        <v>0</v>
      </c>
      <c r="E14" s="5">
        <v>60</v>
      </c>
      <c r="F14" s="1">
        <f>+D14*E14</f>
        <v>0</v>
      </c>
    </row>
    <row r="15" spans="1:10" x14ac:dyDescent="0.25">
      <c r="A15" s="2" t="s">
        <v>498</v>
      </c>
      <c r="D15">
        <v>0</v>
      </c>
      <c r="E15" s="5">
        <v>800</v>
      </c>
      <c r="F15" s="1">
        <f>+D15*E15</f>
        <v>0</v>
      </c>
    </row>
    <row r="16" spans="1:10" ht="15.75" thickBot="1" x14ac:dyDescent="0.3">
      <c r="F16" s="29"/>
      <c r="G16" s="23"/>
    </row>
    <row r="17" spans="3:7" x14ac:dyDescent="0.25">
      <c r="C17" s="2">
        <f>+SUM(C4:C16)</f>
        <v>740</v>
      </c>
      <c r="F17" s="15" t="s">
        <v>286</v>
      </c>
      <c r="G17" s="1">
        <f>IF(I1="No",+SUM(F4:F16),0)</f>
        <v>0</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J24"/>
  <sheetViews>
    <sheetView workbookViewId="0">
      <pane ySplit="2" topLeftCell="A3" activePane="bottomLeft" state="frozen"/>
      <selection pane="bottomLeft" activeCell="B10" sqref="B10"/>
    </sheetView>
  </sheetViews>
  <sheetFormatPr defaultRowHeight="15" x14ac:dyDescent="0.25"/>
  <cols>
    <col min="1" max="1" width="35.5703125" style="2" bestFit="1" customWidth="1"/>
    <col min="2" max="2" width="24.7109375" style="2" customWidth="1"/>
    <col min="3" max="3" width="15.28515625" style="18" customWidth="1"/>
    <col min="4" max="4" width="10.140625" bestFit="1" customWidth="1"/>
    <col min="6" max="6" width="10.140625" bestFit="1" customWidth="1"/>
    <col min="8" max="8" width="19.28515625" bestFit="1" customWidth="1"/>
    <col min="9" max="9" width="12.7109375" bestFit="1" customWidth="1"/>
  </cols>
  <sheetData>
    <row r="1" spans="1:10" s="3" customFormat="1" x14ac:dyDescent="0.25">
      <c r="A1" s="32" t="s">
        <v>715</v>
      </c>
      <c r="B1" s="32"/>
      <c r="C1" s="16"/>
      <c r="H1" s="817" t="s">
        <v>2</v>
      </c>
      <c r="I1" s="817" t="str">
        <f>IF(Profit!$Q$6,IF(J1="No","No","Yes"),"no")</f>
        <v>no</v>
      </c>
      <c r="J1" s="819"/>
    </row>
    <row r="2" spans="1:10" s="62" customFormat="1" ht="30.75" thickBot="1" x14ac:dyDescent="0.3">
      <c r="A2" s="62" t="s">
        <v>223</v>
      </c>
      <c r="B2" s="62" t="s">
        <v>197</v>
      </c>
      <c r="C2" s="327" t="s">
        <v>499</v>
      </c>
      <c r="D2" s="62" t="s">
        <v>286</v>
      </c>
      <c r="E2" s="62" t="s">
        <v>500</v>
      </c>
      <c r="F2" s="259"/>
      <c r="G2" s="327">
        <v>20</v>
      </c>
      <c r="H2" s="818"/>
      <c r="I2" s="818"/>
      <c r="J2" s="820"/>
    </row>
    <row r="4" spans="1:10" x14ac:dyDescent="0.25">
      <c r="A4" s="2" t="s">
        <v>211</v>
      </c>
      <c r="B4" s="2">
        <v>0</v>
      </c>
      <c r="C4" s="18">
        <v>800</v>
      </c>
      <c r="D4" s="5">
        <f>+B4*C4</f>
        <v>0</v>
      </c>
    </row>
    <row r="5" spans="1:10" x14ac:dyDescent="0.25">
      <c r="A5" s="2" t="s">
        <v>501</v>
      </c>
      <c r="B5" s="2">
        <v>0</v>
      </c>
      <c r="C5" s="18">
        <v>28.46</v>
      </c>
      <c r="D5" s="5">
        <f t="shared" ref="D5:D15" si="0">+B5*C5</f>
        <v>0</v>
      </c>
    </row>
    <row r="6" spans="1:10" x14ac:dyDescent="0.25">
      <c r="A6" s="2" t="s">
        <v>502</v>
      </c>
      <c r="B6" s="2">
        <v>0</v>
      </c>
      <c r="C6" s="18">
        <v>32.979999999999997</v>
      </c>
      <c r="D6" s="5">
        <f t="shared" si="0"/>
        <v>0</v>
      </c>
    </row>
    <row r="7" spans="1:10" x14ac:dyDescent="0.25">
      <c r="A7" s="2" t="s">
        <v>503</v>
      </c>
      <c r="B7" s="2">
        <v>0</v>
      </c>
      <c r="C7" s="18">
        <v>28.47</v>
      </c>
      <c r="D7" s="5">
        <f t="shared" si="0"/>
        <v>0</v>
      </c>
    </row>
    <row r="8" spans="1:10" x14ac:dyDescent="0.25">
      <c r="A8" s="2" t="s">
        <v>504</v>
      </c>
      <c r="D8" s="5">
        <f t="shared" si="0"/>
        <v>0</v>
      </c>
    </row>
    <row r="9" spans="1:10" x14ac:dyDescent="0.25">
      <c r="A9" s="2" t="s">
        <v>505</v>
      </c>
      <c r="B9" s="2">
        <v>0</v>
      </c>
      <c r="C9" s="18">
        <v>1000</v>
      </c>
      <c r="D9" s="5">
        <f t="shared" si="0"/>
        <v>0</v>
      </c>
    </row>
    <row r="10" spans="1:10" x14ac:dyDescent="0.25">
      <c r="A10" s="2" t="s">
        <v>506</v>
      </c>
      <c r="D10" s="5">
        <f t="shared" si="0"/>
        <v>0</v>
      </c>
    </row>
    <row r="11" spans="1:10" x14ac:dyDescent="0.25">
      <c r="A11" s="2" t="s">
        <v>506</v>
      </c>
      <c r="D11" s="5">
        <f t="shared" si="0"/>
        <v>0</v>
      </c>
    </row>
    <row r="12" spans="1:10" x14ac:dyDescent="0.25">
      <c r="A12" s="2" t="s">
        <v>507</v>
      </c>
      <c r="B12" s="2">
        <v>0</v>
      </c>
      <c r="C12" s="18">
        <v>5500</v>
      </c>
      <c r="D12" s="5">
        <f t="shared" si="0"/>
        <v>0</v>
      </c>
    </row>
    <row r="13" spans="1:10" x14ac:dyDescent="0.25">
      <c r="A13" s="2" t="s">
        <v>508</v>
      </c>
      <c r="C13" s="18">
        <v>1604326</v>
      </c>
      <c r="D13" s="5">
        <f t="shared" si="0"/>
        <v>0</v>
      </c>
    </row>
    <row r="14" spans="1:10" x14ac:dyDescent="0.25">
      <c r="A14" s="2" t="s">
        <v>509</v>
      </c>
      <c r="C14" s="18">
        <v>228556</v>
      </c>
      <c r="D14" s="5">
        <f t="shared" si="0"/>
        <v>0</v>
      </c>
    </row>
    <row r="15" spans="1:10" x14ac:dyDescent="0.25">
      <c r="A15" s="2" t="s">
        <v>510</v>
      </c>
      <c r="B15" s="2">
        <v>0</v>
      </c>
      <c r="C15" s="18">
        <v>400</v>
      </c>
      <c r="D15" s="5">
        <f t="shared" si="0"/>
        <v>0</v>
      </c>
      <c r="I15" s="3" t="s">
        <v>151</v>
      </c>
    </row>
    <row r="16" spans="1:10" x14ac:dyDescent="0.25">
      <c r="A16" s="2" t="s">
        <v>511</v>
      </c>
      <c r="B16" s="2">
        <v>0</v>
      </c>
      <c r="C16" s="18">
        <v>7.33</v>
      </c>
      <c r="D16" s="5">
        <f>+B16*C16</f>
        <v>0</v>
      </c>
      <c r="I16" s="3"/>
    </row>
    <row r="17" spans="1:9" x14ac:dyDescent="0.25">
      <c r="A17" s="2" t="s">
        <v>512</v>
      </c>
      <c r="B17" s="2">
        <v>0</v>
      </c>
      <c r="C17" s="18">
        <v>9.9700000000000006</v>
      </c>
      <c r="D17" s="5">
        <f>+B17*C17</f>
        <v>0</v>
      </c>
      <c r="I17" s="3"/>
    </row>
    <row r="18" spans="1:9" x14ac:dyDescent="0.25">
      <c r="A18" s="2" t="s">
        <v>513</v>
      </c>
      <c r="B18" s="2">
        <v>0</v>
      </c>
      <c r="C18" s="18">
        <v>3.98</v>
      </c>
      <c r="D18" s="5">
        <f>+B18*C18</f>
        <v>0</v>
      </c>
      <c r="I18" s="3"/>
    </row>
    <row r="19" spans="1:9" x14ac:dyDescent="0.25">
      <c r="A19" s="2" t="s">
        <v>559</v>
      </c>
      <c r="B19" s="2">
        <v>0</v>
      </c>
      <c r="C19" s="18">
        <v>7.68</v>
      </c>
      <c r="D19" s="5">
        <f>+B19*C19</f>
        <v>0</v>
      </c>
      <c r="H19" s="1"/>
      <c r="I19" t="s">
        <v>151</v>
      </c>
    </row>
    <row r="20" spans="1:9" x14ac:dyDescent="0.25">
      <c r="A20" s="2" t="s">
        <v>637</v>
      </c>
      <c r="B20" s="2">
        <v>0</v>
      </c>
      <c r="C20" s="18">
        <v>10000</v>
      </c>
      <c r="D20" s="5">
        <f>+B20*C20</f>
        <v>0</v>
      </c>
    </row>
    <row r="22" spans="1:9" x14ac:dyDescent="0.25">
      <c r="F22" s="5">
        <f>IF(I1="No",SUM(D4:D20),0)</f>
        <v>0</v>
      </c>
    </row>
    <row r="23" spans="1:9" x14ac:dyDescent="0.25">
      <c r="I23" s="2"/>
    </row>
    <row r="24" spans="1:9" x14ac:dyDescent="0.25">
      <c r="I24" s="2"/>
    </row>
  </sheetData>
  <mergeCells count="3">
    <mergeCell ref="H1:H2"/>
    <mergeCell ref="I1:I2"/>
    <mergeCell ref="J1:J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2" customFormat="1" ht="30.75" thickBot="1" x14ac:dyDescent="0.3">
      <c r="A2"/>
      <c r="B2" s="827" t="s">
        <v>661</v>
      </c>
      <c r="C2" s="828"/>
      <c r="D2" s="301" t="s">
        <v>137</v>
      </c>
      <c r="E2" s="307" t="s">
        <v>516</v>
      </c>
      <c r="F2" s="183" t="s">
        <v>140</v>
      </c>
      <c r="G2" s="155"/>
      <c r="H2" s="152"/>
    </row>
    <row r="3" spans="1:8" ht="15.75" thickBot="1" x14ac:dyDescent="0.3">
      <c r="B3" s="179" t="s">
        <v>152</v>
      </c>
      <c r="C3" s="180">
        <f>+SUM(E3:G3)</f>
        <v>750000</v>
      </c>
      <c r="D3" s="180"/>
      <c r="E3" s="254">
        <v>435000</v>
      </c>
      <c r="F3" s="304">
        <v>315000</v>
      </c>
      <c r="G3" s="252"/>
    </row>
    <row r="4" spans="1:8" x14ac:dyDescent="0.25">
      <c r="B4" s="179" t="s">
        <v>153</v>
      </c>
      <c r="C4" s="180">
        <f>+SUM(E4:$G$4)</f>
        <v>352369</v>
      </c>
      <c r="D4" s="180"/>
      <c r="E4" s="254">
        <v>249869</v>
      </c>
      <c r="F4" s="305">
        <v>102500</v>
      </c>
      <c r="G4" s="252"/>
    </row>
    <row r="5" spans="1:8" x14ac:dyDescent="0.25">
      <c r="B5" s="181" t="s">
        <v>154</v>
      </c>
      <c r="C5" s="182">
        <f>+SUM(E5:G5)</f>
        <v>242267</v>
      </c>
      <c r="D5" s="182"/>
      <c r="E5" s="254">
        <v>98192</v>
      </c>
      <c r="F5" s="305">
        <f>+F3+-F4-F6</f>
        <v>144075</v>
      </c>
      <c r="G5" s="153"/>
    </row>
    <row r="6" spans="1:8" ht="15.75" thickBot="1" x14ac:dyDescent="0.3">
      <c r="B6" s="154" t="s">
        <v>155</v>
      </c>
      <c r="C6" s="150">
        <f>+SUM($E$6:$G$6)</f>
        <v>155363.89666666667</v>
      </c>
      <c r="D6" s="150"/>
      <c r="E6" s="254">
        <v>86938.896666666667</v>
      </c>
      <c r="F6" s="305">
        <v>68425</v>
      </c>
      <c r="G6" s="153"/>
    </row>
    <row r="7" spans="1:8" ht="15.75" thickBot="1" x14ac:dyDescent="0.3">
      <c r="B7" s="154" t="s">
        <v>156</v>
      </c>
      <c r="C7" s="150">
        <f>+SUM($E$7:$G$7)</f>
        <v>0</v>
      </c>
      <c r="D7" s="150"/>
      <c r="E7" s="254"/>
      <c r="F7" s="306"/>
      <c r="G7" s="153"/>
    </row>
    <row r="8" spans="1:8" ht="15.75" thickBot="1" x14ac:dyDescent="0.3">
      <c r="B8" s="154" t="s">
        <v>157</v>
      </c>
      <c r="C8" s="823">
        <f>+AVERAGE(E3:F3)</f>
        <v>375000</v>
      </c>
      <c r="D8" s="674"/>
      <c r="E8" s="829"/>
      <c r="F8" s="687"/>
      <c r="G8" s="626"/>
    </row>
    <row r="9" spans="1:8" ht="15.75" thickBot="1" x14ac:dyDescent="0.3">
      <c r="B9" s="154" t="s">
        <v>158</v>
      </c>
      <c r="C9" s="823">
        <f>+AVERAGE(E4:F4)</f>
        <v>176184.5</v>
      </c>
      <c r="D9" s="674"/>
      <c r="E9" s="627"/>
      <c r="F9" s="691"/>
      <c r="G9" s="628"/>
    </row>
    <row r="10" spans="1:8" ht="15.75" thickBot="1" x14ac:dyDescent="0.3">
      <c r="B10" s="154" t="s">
        <v>159</v>
      </c>
      <c r="C10" s="823">
        <f>+AVERAGE(E5:F5)</f>
        <v>121133.5</v>
      </c>
      <c r="D10" s="674"/>
      <c r="E10" s="830" t="s">
        <v>160</v>
      </c>
      <c r="F10" s="600"/>
      <c r="G10" s="598"/>
    </row>
    <row r="11" spans="1:8" ht="15.75" thickBot="1" x14ac:dyDescent="0.3">
      <c r="B11" s="154" t="s">
        <v>161</v>
      </c>
      <c r="C11" s="823">
        <f>+AVERAGE(E6:F6)</f>
        <v>77681.948333333334</v>
      </c>
      <c r="D11" s="674"/>
      <c r="E11" s="824" t="s">
        <v>162</v>
      </c>
      <c r="F11" s="825"/>
      <c r="G11" s="826"/>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2" customFormat="1" ht="45.75" thickBot="1" x14ac:dyDescent="0.3">
      <c r="A2" s="156"/>
      <c r="B2" s="827" t="s">
        <v>517</v>
      </c>
      <c r="C2" s="834"/>
      <c r="D2" s="301" t="s">
        <v>137</v>
      </c>
      <c r="E2" s="178" t="s">
        <v>141</v>
      </c>
      <c r="F2" s="178" t="s">
        <v>142</v>
      </c>
      <c r="G2" s="178" t="s">
        <v>143</v>
      </c>
      <c r="H2" s="183" t="s">
        <v>144</v>
      </c>
      <c r="I2" s="155"/>
      <c r="J2" s="152"/>
    </row>
    <row r="3" spans="1:10" ht="15.75" thickBot="1" x14ac:dyDescent="0.3">
      <c r="A3" s="157"/>
      <c r="B3" s="179" t="s">
        <v>152</v>
      </c>
      <c r="C3" s="180">
        <f>+SUM(E3:I3)</f>
        <v>1262529</v>
      </c>
      <c r="D3" s="180"/>
      <c r="E3" s="254">
        <v>210000</v>
      </c>
      <c r="F3" s="254">
        <v>423529</v>
      </c>
      <c r="G3" s="254">
        <v>330000</v>
      </c>
      <c r="H3" s="253">
        <v>299000</v>
      </c>
      <c r="I3" s="252"/>
    </row>
    <row r="4" spans="1:10" x14ac:dyDescent="0.25">
      <c r="A4" s="157"/>
      <c r="B4" s="179" t="s">
        <v>153</v>
      </c>
      <c r="C4" s="180">
        <f>+SUM(E4:$I$4)</f>
        <v>554594.92000000004</v>
      </c>
      <c r="D4" s="180"/>
      <c r="E4" s="254">
        <v>127000</v>
      </c>
      <c r="F4" s="254">
        <v>174585.47</v>
      </c>
      <c r="G4" s="254">
        <v>85975.790000000008</v>
      </c>
      <c r="H4" s="253">
        <v>167033.66</v>
      </c>
      <c r="I4" s="252"/>
    </row>
    <row r="5" spans="1:10" x14ac:dyDescent="0.25">
      <c r="A5" s="157"/>
      <c r="B5" s="181" t="s">
        <v>154</v>
      </c>
      <c r="C5" s="182">
        <f>+SUM(E5:I5)</f>
        <v>148708.10749999998</v>
      </c>
      <c r="D5" s="182"/>
      <c r="E5" s="254">
        <v>15000</v>
      </c>
      <c r="F5" s="254">
        <v>12223</v>
      </c>
      <c r="G5" s="254">
        <v>82805.727499999994</v>
      </c>
      <c r="H5" s="253">
        <v>38679.380000000005</v>
      </c>
      <c r="I5" s="153"/>
    </row>
    <row r="6" spans="1:10" ht="15.75" thickBot="1" x14ac:dyDescent="0.3">
      <c r="A6" s="157"/>
      <c r="B6" s="154" t="s">
        <v>155</v>
      </c>
      <c r="C6" s="150">
        <f>+SUM($E$6:$I$6)</f>
        <v>471212.07700000005</v>
      </c>
      <c r="D6" s="150"/>
      <c r="E6" s="254">
        <v>67485.868000000002</v>
      </c>
      <c r="F6" s="254">
        <v>154708.03800000003</v>
      </c>
      <c r="G6" s="254">
        <v>154490.20250000001</v>
      </c>
      <c r="H6" s="253">
        <v>94527.968499999988</v>
      </c>
      <c r="I6" s="153"/>
    </row>
    <row r="7" spans="1:10" ht="15.75" thickBot="1" x14ac:dyDescent="0.3">
      <c r="A7" s="157"/>
      <c r="B7" s="154" t="s">
        <v>156</v>
      </c>
      <c r="C7" s="150">
        <f>+SUM($E$7:$I$7)</f>
        <v>15470.803800000003</v>
      </c>
      <c r="D7" s="150"/>
      <c r="E7" s="303"/>
      <c r="F7" s="310">
        <v>15470.803800000003</v>
      </c>
      <c r="G7" s="310"/>
      <c r="H7" s="312"/>
      <c r="I7" s="153"/>
    </row>
    <row r="8" spans="1:10" ht="15.75" thickBot="1" x14ac:dyDescent="0.3">
      <c r="A8" s="157"/>
      <c r="B8" s="154" t="s">
        <v>157</v>
      </c>
      <c r="C8" s="823">
        <f>+AVERAGE(E3:H3)</f>
        <v>315632.25</v>
      </c>
      <c r="D8" s="831"/>
      <c r="E8" s="829"/>
      <c r="F8" s="687"/>
      <c r="G8" s="687"/>
      <c r="H8" s="687"/>
      <c r="I8" s="626"/>
    </row>
    <row r="9" spans="1:10" ht="15.75" thickBot="1" x14ac:dyDescent="0.3">
      <c r="A9" s="157"/>
      <c r="B9" s="154" t="s">
        <v>158</v>
      </c>
      <c r="C9" s="823">
        <f>+AVERAGE(E4:H4)</f>
        <v>138648.73000000001</v>
      </c>
      <c r="D9" s="831"/>
      <c r="E9" s="627"/>
      <c r="F9" s="691"/>
      <c r="G9" s="691"/>
      <c r="H9" s="691"/>
      <c r="I9" s="628"/>
    </row>
    <row r="10" spans="1:10" ht="15.75" thickBot="1" x14ac:dyDescent="0.3">
      <c r="A10" s="157"/>
      <c r="B10" s="154" t="s">
        <v>159</v>
      </c>
      <c r="C10" s="823">
        <f>+AVERAGE(E5:H5)</f>
        <v>37177.026874999996</v>
      </c>
      <c r="D10" s="831"/>
      <c r="E10" s="830" t="s">
        <v>160</v>
      </c>
      <c r="F10" s="835"/>
      <c r="G10" s="835"/>
      <c r="H10" s="835"/>
      <c r="I10" s="836"/>
    </row>
    <row r="11" spans="1:10" ht="15.75" thickBot="1" x14ac:dyDescent="0.3">
      <c r="B11" s="154" t="s">
        <v>161</v>
      </c>
      <c r="C11" s="823">
        <f>+AVERAGE(E6:H6)</f>
        <v>117803.01925000001</v>
      </c>
      <c r="D11" s="831"/>
      <c r="E11" s="824" t="s">
        <v>162</v>
      </c>
      <c r="F11" s="832"/>
      <c r="G11" s="832"/>
      <c r="H11" s="832"/>
      <c r="I11" s="833"/>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27" t="s">
        <v>517</v>
      </c>
      <c r="C2" s="828"/>
      <c r="D2" s="301" t="s">
        <v>137</v>
      </c>
      <c r="E2" s="307" t="s">
        <v>145</v>
      </c>
      <c r="F2" s="307" t="s">
        <v>146</v>
      </c>
      <c r="G2" s="183" t="s">
        <v>147</v>
      </c>
      <c r="H2" s="155"/>
      <c r="I2" s="152"/>
    </row>
    <row r="3" spans="1:9" ht="15.75" thickBot="1" x14ac:dyDescent="0.3">
      <c r="B3" s="179" t="s">
        <v>152</v>
      </c>
      <c r="C3" s="180">
        <f>+SUM(E3:H3)</f>
        <v>811800</v>
      </c>
      <c r="D3" s="180"/>
      <c r="E3" s="254">
        <v>363900</v>
      </c>
      <c r="F3" s="308">
        <v>210000</v>
      </c>
      <c r="G3" s="304">
        <v>237900</v>
      </c>
      <c r="H3" s="252"/>
    </row>
    <row r="4" spans="1:9" x14ac:dyDescent="0.25">
      <c r="B4" s="179" t="s">
        <v>153</v>
      </c>
      <c r="C4" s="180">
        <f>+SUM(E4:$H$4)</f>
        <v>401770.9</v>
      </c>
      <c r="D4" s="180"/>
      <c r="E4" s="254">
        <v>220000</v>
      </c>
      <c r="F4" s="309">
        <v>107061.9</v>
      </c>
      <c r="G4" s="305">
        <v>74709</v>
      </c>
      <c r="H4" s="252"/>
    </row>
    <row r="5" spans="1:9" x14ac:dyDescent="0.25">
      <c r="B5" s="181" t="s">
        <v>154</v>
      </c>
      <c r="C5" s="182">
        <f>+SUM(E5:H5)</f>
        <v>146350.07515412499</v>
      </c>
      <c r="D5" s="182"/>
      <c r="E5" s="254">
        <v>27507.698</v>
      </c>
      <c r="F5" s="309">
        <v>47760.57</v>
      </c>
      <c r="G5" s="305">
        <v>71081.80715412501</v>
      </c>
      <c r="H5" s="153"/>
    </row>
    <row r="6" spans="1:9" ht="15.75" thickBot="1" x14ac:dyDescent="0.3">
      <c r="B6" s="154" t="s">
        <v>155</v>
      </c>
      <c r="C6" s="150">
        <f>+SUM($E$6:$H$6)</f>
        <v>257067.10484587503</v>
      </c>
      <c r="D6" s="150"/>
      <c r="E6" s="254">
        <v>92658.781999999992</v>
      </c>
      <c r="F6" s="309">
        <v>64240.530000000028</v>
      </c>
      <c r="G6" s="305">
        <v>100167.792845875</v>
      </c>
      <c r="H6" s="153"/>
    </row>
    <row r="7" spans="1:9" ht="15.75" thickBot="1" x14ac:dyDescent="0.3">
      <c r="B7" s="154" t="s">
        <v>156</v>
      </c>
      <c r="C7" s="150">
        <f>+SUM($E$7:$H$7)</f>
        <v>0</v>
      </c>
      <c r="D7" s="150"/>
      <c r="E7" s="303"/>
      <c r="F7" s="310"/>
      <c r="G7" s="311"/>
      <c r="H7" s="153"/>
    </row>
    <row r="8" spans="1:9" ht="15.75" thickBot="1" x14ac:dyDescent="0.3">
      <c r="B8" s="154" t="s">
        <v>157</v>
      </c>
      <c r="C8" s="823">
        <f>+AVERAGE(E3:G3)</f>
        <v>270600</v>
      </c>
      <c r="D8" s="674"/>
      <c r="E8" s="829"/>
      <c r="F8" s="837"/>
      <c r="G8" s="687"/>
      <c r="H8" s="626"/>
    </row>
    <row r="9" spans="1:9" ht="15.75" thickBot="1" x14ac:dyDescent="0.3">
      <c r="B9" s="154" t="s">
        <v>158</v>
      </c>
      <c r="C9" s="823">
        <f>+AVERAGE(E4:G4)</f>
        <v>133923.63333333333</v>
      </c>
      <c r="D9" s="674"/>
      <c r="E9" s="627"/>
      <c r="F9" s="691"/>
      <c r="G9" s="691"/>
      <c r="H9" s="628"/>
    </row>
    <row r="10" spans="1:9" ht="15.75" thickBot="1" x14ac:dyDescent="0.3">
      <c r="B10" s="154" t="s">
        <v>159</v>
      </c>
      <c r="C10" s="823">
        <f>+AVERAGE(E5:G5)</f>
        <v>48783.358384708328</v>
      </c>
      <c r="D10" s="674"/>
      <c r="E10" s="830" t="s">
        <v>160</v>
      </c>
      <c r="F10" s="835"/>
      <c r="G10" s="600"/>
      <c r="H10" s="598"/>
    </row>
    <row r="11" spans="1:9" ht="15.75" thickBot="1" x14ac:dyDescent="0.3">
      <c r="B11" s="154" t="s">
        <v>161</v>
      </c>
      <c r="C11" s="823">
        <f>+AVERAGE(E6:G6)</f>
        <v>85689.034948625005</v>
      </c>
      <c r="D11" s="674"/>
      <c r="E11" s="824" t="s">
        <v>162</v>
      </c>
      <c r="F11" s="832"/>
      <c r="G11" s="825"/>
      <c r="H11" s="826"/>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2" customFormat="1" ht="30.75" thickBot="1" x14ac:dyDescent="0.3">
      <c r="A2"/>
      <c r="B2" s="827" t="s">
        <v>517</v>
      </c>
      <c r="C2" s="828"/>
      <c r="D2" s="301" t="s">
        <v>137</v>
      </c>
      <c r="E2" s="307" t="s">
        <v>148</v>
      </c>
      <c r="F2" s="307" t="s">
        <v>149</v>
      </c>
      <c r="G2" s="183" t="s">
        <v>150</v>
      </c>
      <c r="H2" s="155"/>
      <c r="I2" s="152"/>
    </row>
    <row r="3" spans="1:9" ht="15.75" thickBot="1" x14ac:dyDescent="0.3">
      <c r="B3" s="179" t="s">
        <v>152</v>
      </c>
      <c r="C3" s="180">
        <f>+SUM(E3:H3)</f>
        <v>540000</v>
      </c>
      <c r="D3" s="180"/>
      <c r="E3" s="254">
        <v>150000</v>
      </c>
      <c r="F3" s="308">
        <v>195000</v>
      </c>
      <c r="G3" s="304">
        <v>195000</v>
      </c>
      <c r="H3" s="252"/>
    </row>
    <row r="4" spans="1:9" x14ac:dyDescent="0.25">
      <c r="B4" s="179" t="s">
        <v>153</v>
      </c>
      <c r="C4" s="180">
        <f>+SUM(E4:$H$4)</f>
        <v>310642.71000000002</v>
      </c>
      <c r="D4" s="180"/>
      <c r="E4" s="254">
        <v>71644.86</v>
      </c>
      <c r="F4" s="309">
        <v>110309.86</v>
      </c>
      <c r="G4" s="305">
        <v>128687.99</v>
      </c>
      <c r="H4" s="252"/>
    </row>
    <row r="5" spans="1:9" x14ac:dyDescent="0.25">
      <c r="B5" s="181" t="s">
        <v>154</v>
      </c>
      <c r="C5" s="182">
        <f>+SUM(E5:H5)</f>
        <v>49980.701499999996</v>
      </c>
      <c r="D5" s="182"/>
      <c r="E5" s="254">
        <v>6302.96</v>
      </c>
      <c r="F5" s="309">
        <v>20425.14</v>
      </c>
      <c r="G5" s="305">
        <v>23252.601500000001</v>
      </c>
      <c r="H5" s="153"/>
    </row>
    <row r="6" spans="1:9" ht="15.75" thickBot="1" x14ac:dyDescent="0.3">
      <c r="B6" s="154" t="s">
        <v>155</v>
      </c>
      <c r="C6" s="150">
        <f>+SUM($E$6:$H$6)</f>
        <v>116039.9257777778</v>
      </c>
      <c r="D6" s="150"/>
      <c r="E6" s="254">
        <v>37694.072</v>
      </c>
      <c r="F6" s="309">
        <v>52771.490000000005</v>
      </c>
      <c r="G6" s="305">
        <v>25574.363777777784</v>
      </c>
      <c r="H6" s="153"/>
    </row>
    <row r="7" spans="1:9" ht="15.75" thickBot="1" x14ac:dyDescent="0.3">
      <c r="B7" s="154" t="s">
        <v>156</v>
      </c>
      <c r="C7" s="150">
        <f>+SUM($E$7:$H$7)</f>
        <v>0</v>
      </c>
      <c r="D7" s="150"/>
      <c r="E7" s="303"/>
      <c r="F7" s="310"/>
      <c r="G7" s="311"/>
      <c r="H7" s="153"/>
    </row>
    <row r="8" spans="1:9" ht="15.75" thickBot="1" x14ac:dyDescent="0.3">
      <c r="B8" s="154" t="s">
        <v>157</v>
      </c>
      <c r="C8" s="823">
        <f>+AVERAGE(E3:G3)</f>
        <v>180000</v>
      </c>
      <c r="D8" s="674"/>
      <c r="E8" s="829"/>
      <c r="F8" s="837"/>
      <c r="G8" s="687"/>
      <c r="H8" s="626"/>
    </row>
    <row r="9" spans="1:9" ht="15.75" thickBot="1" x14ac:dyDescent="0.3">
      <c r="B9" s="154" t="s">
        <v>158</v>
      </c>
      <c r="C9" s="823">
        <f>+AVERAGE(E4:G4)</f>
        <v>103547.57</v>
      </c>
      <c r="D9" s="674"/>
      <c r="E9" s="627"/>
      <c r="F9" s="691"/>
      <c r="G9" s="691"/>
      <c r="H9" s="628"/>
    </row>
    <row r="10" spans="1:9" ht="15.75" thickBot="1" x14ac:dyDescent="0.3">
      <c r="B10" s="154" t="s">
        <v>159</v>
      </c>
      <c r="C10" s="823">
        <f>+AVERAGE(E5:G5)</f>
        <v>16660.233833333332</v>
      </c>
      <c r="D10" s="674"/>
      <c r="E10" s="830" t="s">
        <v>160</v>
      </c>
      <c r="F10" s="835"/>
      <c r="G10" s="600"/>
      <c r="H10" s="598"/>
    </row>
    <row r="11" spans="1:9" ht="15.75" thickBot="1" x14ac:dyDescent="0.3">
      <c r="B11" s="154" t="s">
        <v>161</v>
      </c>
      <c r="C11" s="823">
        <f>+AVERAGE(E6:G6)</f>
        <v>38679.975259259263</v>
      </c>
      <c r="D11" s="674"/>
      <c r="E11" s="824" t="s">
        <v>162</v>
      </c>
      <c r="F11" s="832"/>
      <c r="G11" s="825"/>
      <c r="H11" s="826"/>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646</v>
      </c>
      <c r="C2">
        <v>1000</v>
      </c>
    </row>
    <row r="3" spans="1:3" x14ac:dyDescent="0.25">
      <c r="A3" t="s">
        <v>648</v>
      </c>
      <c r="C3">
        <v>9000</v>
      </c>
    </row>
    <row r="18" spans="6:7" x14ac:dyDescent="0.25">
      <c r="F18" s="30" t="s">
        <v>653</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3.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4.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5.xml><?xml version="1.0" encoding="utf-8"?>
<ds:datastoreItem xmlns:ds="http://schemas.openxmlformats.org/officeDocument/2006/customXml" ds:itemID="{18E7B320-F7C3-4FDF-AC35-84A79F5317E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6.xml><?xml version="1.0" encoding="utf-8"?>
<ds:datastoreItem xmlns:ds="http://schemas.openxmlformats.org/officeDocument/2006/customXml" ds:itemID="{98C4DA37-4AFD-4CD2-9A66-0C8B8DF4AF27}">
  <ds:schemaRefs>
    <ds:schemaRef ds:uri="http://schemas.microsoft.com/office/2006/metadata/properties"/>
    <ds:schemaRef ds:uri="http://schemas.microsoft.com/office/2006/documentManagement/types"/>
    <ds:schemaRef ds:uri="ab9fedca-001d-4cc9-b244-d9c3be5a27d3"/>
    <ds:schemaRef ds:uri="http://purl.org/dc/dcmitype/"/>
    <ds:schemaRef ds:uri="http://purl.org/dc/elements/1.1/"/>
    <ds:schemaRef ds:uri="http://purl.org/dc/terms/"/>
    <ds:schemaRef ds:uri="42cc25d9-27fe-4f07-accb-ded05ec47eee"/>
    <ds:schemaRef ds:uri="http://www.w3.org/XML/1998/namespace"/>
    <ds:schemaRef ds:uri="http://schemas.microsoft.com/office/infopath/2007/PartnerControls"/>
    <ds:schemaRef ds:uri="http://schemas.openxmlformats.org/package/2006/metadata/core-properties"/>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31</vt:i4>
      </vt:variant>
      <vt:variant>
        <vt:lpstr>Named Ranges</vt:lpstr>
      </vt:variant>
      <vt:variant>
        <vt:i4>3</vt:i4>
      </vt:variant>
    </vt:vector>
  </HeadingPairs>
  <TitlesOfParts>
    <vt:vector size="34" baseType="lpstr">
      <vt:lpstr>Profit</vt:lpstr>
      <vt:lpstr>Amortization</vt:lpstr>
      <vt:lpstr>Docs</vt:lpstr>
      <vt:lpstr>MOG</vt:lpstr>
      <vt:lpstr>Contact</vt:lpstr>
      <vt:lpstr>Carrying</vt:lpstr>
      <vt:lpstr>Contract</vt:lpstr>
      <vt:lpstr>UpdateContract</vt:lpstr>
      <vt:lpstr>Gnatt Chart</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2024</vt:lpstr>
      <vt:lpstr>STR</vt:lpstr>
      <vt:lpstr>Landscape</vt:lpstr>
      <vt:lpstr>Exterior</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2025-02-21T15:25:51Z</cp:lastPrinted>
  <dcterms:created xsi:type="dcterms:W3CDTF">2019-07-25T11:32:14Z</dcterms:created>
  <dcterms:modified xsi:type="dcterms:W3CDTF">2026-05-30T02:18:14Z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